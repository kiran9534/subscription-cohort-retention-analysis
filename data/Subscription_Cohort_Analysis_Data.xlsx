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8_{B02CB70B-3D18-4B1D-9B8E-B0386EBD8FBA}" xr6:coauthVersionLast="47" xr6:coauthVersionMax="47" xr10:uidLastSave="{00000000-0000-0000-0000-000000000000}"/>
  <bookViews>
    <workbookView xWindow="-108" yWindow="-108" windowWidth="23256" windowHeight="12456" activeTab="1" xr2:uid="{7175A010-2936-4444-9EED-569B2DC4BE45}"/>
  </bookViews>
  <sheets>
    <sheet name="Subscription Cohort Analysis Da" sheetId="1" r:id="rId1"/>
    <sheet name="Sheet3" sheetId="4" r:id="rId2"/>
    <sheet name="Sheet1" sheetId="2" r:id="rId3"/>
    <sheet name="Sheet2" sheetId="3" r:id="rId4"/>
  </sheets>
  <calcPr calcId="0"/>
  <pivotCaches>
    <pivotCache cacheId="18" r:id="rId5"/>
  </pivotCaches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I2461" i="2"/>
  <c r="I2763" i="2"/>
  <c r="I2881" i="2"/>
  <c r="H5" i="2"/>
  <c r="I5" i="2" s="1"/>
  <c r="H6" i="2"/>
  <c r="I6" i="2" s="1"/>
  <c r="H10" i="2"/>
  <c r="I10" i="2" s="1"/>
  <c r="H12" i="2"/>
  <c r="I12" i="2" s="1"/>
  <c r="H14" i="2"/>
  <c r="I14" i="2" s="1"/>
  <c r="H52" i="2"/>
  <c r="I52" i="2" s="1"/>
  <c r="H111" i="2"/>
  <c r="I111" i="2" s="1"/>
  <c r="H114" i="2"/>
  <c r="I114" i="2" s="1"/>
  <c r="H143" i="2"/>
  <c r="I143" i="2" s="1"/>
  <c r="H170" i="2"/>
  <c r="I170" i="2" s="1"/>
  <c r="H181" i="2"/>
  <c r="I181" i="2" s="1"/>
  <c r="H241" i="2"/>
  <c r="I241" i="2" s="1"/>
  <c r="H245" i="2"/>
  <c r="I245" i="2" s="1"/>
  <c r="H277" i="2"/>
  <c r="I277" i="2" s="1"/>
  <c r="H278" i="2"/>
  <c r="I278" i="2" s="1"/>
  <c r="H298" i="2"/>
  <c r="I298" i="2" s="1"/>
  <c r="H373" i="2"/>
  <c r="I373" i="2" s="1"/>
  <c r="H374" i="2"/>
  <c r="I374" i="2" s="1"/>
  <c r="H376" i="2"/>
  <c r="I376" i="2" s="1"/>
  <c r="H416" i="2"/>
  <c r="I416" i="2" s="1"/>
  <c r="H445" i="2"/>
  <c r="I445" i="2" s="1"/>
  <c r="H457" i="2"/>
  <c r="I457" i="2" s="1"/>
  <c r="H458" i="2"/>
  <c r="I458" i="2" s="1"/>
  <c r="H479" i="2"/>
  <c r="I479" i="2" s="1"/>
  <c r="H507" i="2"/>
  <c r="I507" i="2" s="1"/>
  <c r="H531" i="2"/>
  <c r="I531" i="2" s="1"/>
  <c r="H542" i="2"/>
  <c r="I542" i="2" s="1"/>
  <c r="H543" i="2"/>
  <c r="I543" i="2" s="1"/>
  <c r="H569" i="2"/>
  <c r="I569" i="2" s="1"/>
  <c r="H577" i="2"/>
  <c r="I577" i="2" s="1"/>
  <c r="H593" i="2"/>
  <c r="I593" i="2" s="1"/>
  <c r="H598" i="2"/>
  <c r="I598" i="2" s="1"/>
  <c r="H625" i="2"/>
  <c r="I625" i="2" s="1"/>
  <c r="H627" i="2"/>
  <c r="I627" i="2" s="1"/>
  <c r="H628" i="2"/>
  <c r="I628" i="2" s="1"/>
  <c r="H629" i="2"/>
  <c r="I629" i="2" s="1"/>
  <c r="H649" i="2"/>
  <c r="I649" i="2" s="1"/>
  <c r="H675" i="2"/>
  <c r="I675" i="2" s="1"/>
  <c r="H676" i="2"/>
  <c r="I676" i="2" s="1"/>
  <c r="H677" i="2"/>
  <c r="I677" i="2" s="1"/>
  <c r="H694" i="2"/>
  <c r="I694" i="2" s="1"/>
  <c r="H721" i="2"/>
  <c r="I721" i="2" s="1"/>
  <c r="H722" i="2"/>
  <c r="I722" i="2" s="1"/>
  <c r="H723" i="2"/>
  <c r="I723" i="2" s="1"/>
  <c r="H737" i="2"/>
  <c r="I737" i="2" s="1"/>
  <c r="H742" i="2"/>
  <c r="I742" i="2" s="1"/>
  <c r="H769" i="2"/>
  <c r="I769" i="2" s="1"/>
  <c r="H770" i="2"/>
  <c r="I770" i="2" s="1"/>
  <c r="H771" i="2"/>
  <c r="I771" i="2" s="1"/>
  <c r="H785" i="2"/>
  <c r="I785" i="2" s="1"/>
  <c r="H788" i="2"/>
  <c r="I788" i="2" s="1"/>
  <c r="H819" i="2"/>
  <c r="I819" i="2" s="1"/>
  <c r="H833" i="2"/>
  <c r="I833" i="2" s="1"/>
  <c r="H836" i="2"/>
  <c r="I836" i="2" s="1"/>
  <c r="H865" i="2"/>
  <c r="I865" i="2" s="1"/>
  <c r="H879" i="2"/>
  <c r="I879" i="2" s="1"/>
  <c r="H884" i="2"/>
  <c r="I884" i="2" s="1"/>
  <c r="H913" i="2"/>
  <c r="I913" i="2" s="1"/>
  <c r="H927" i="2"/>
  <c r="I927" i="2" s="1"/>
  <c r="H930" i="2"/>
  <c r="I930" i="2" s="1"/>
  <c r="H973" i="2"/>
  <c r="I973" i="2" s="1"/>
  <c r="H978" i="2"/>
  <c r="I978" i="2" s="1"/>
  <c r="H1021" i="2"/>
  <c r="I1021" i="2" s="1"/>
  <c r="H1023" i="2"/>
  <c r="I1023" i="2" s="1"/>
  <c r="H1024" i="2"/>
  <c r="I1024" i="2" s="1"/>
  <c r="H1069" i="2"/>
  <c r="I1069" i="2" s="1"/>
  <c r="H1071" i="2"/>
  <c r="I1071" i="2" s="1"/>
  <c r="H1072" i="2"/>
  <c r="I1072" i="2" s="1"/>
  <c r="H1117" i="2"/>
  <c r="I1117" i="2" s="1"/>
  <c r="H1141" i="2"/>
  <c r="I1141" i="2" s="1"/>
  <c r="H1142" i="2"/>
  <c r="I1142" i="2" s="1"/>
  <c r="H1143" i="2"/>
  <c r="I1143" i="2" s="1"/>
  <c r="H1156" i="2"/>
  <c r="I1156" i="2" s="1"/>
  <c r="H1161" i="2"/>
  <c r="I1161" i="2" s="1"/>
  <c r="H1178" i="2"/>
  <c r="I1178" i="2" s="1"/>
  <c r="H1180" i="2"/>
  <c r="I1180" i="2" s="1"/>
  <c r="H1181" i="2"/>
  <c r="I1181" i="2" s="1"/>
  <c r="H1182" i="2"/>
  <c r="I1182" i="2" s="1"/>
  <c r="H1204" i="2"/>
  <c r="I1204" i="2" s="1"/>
  <c r="H1225" i="2"/>
  <c r="I1225" i="2" s="1"/>
  <c r="H1226" i="2"/>
  <c r="I1226" i="2" s="1"/>
  <c r="H1227" i="2"/>
  <c r="I1227" i="2" s="1"/>
  <c r="H1240" i="2"/>
  <c r="I1240" i="2" s="1"/>
  <c r="H1243" i="2"/>
  <c r="I1243" i="2" s="1"/>
  <c r="H1285" i="2"/>
  <c r="I1285" i="2" s="1"/>
  <c r="H1286" i="2"/>
  <c r="I1286" i="2" s="1"/>
  <c r="H1309" i="2"/>
  <c r="I1309" i="2" s="1"/>
  <c r="H1322" i="2"/>
  <c r="I1322" i="2" s="1"/>
  <c r="H1330" i="2"/>
  <c r="I1330" i="2" s="1"/>
  <c r="H1346" i="2"/>
  <c r="I1346" i="2" s="1"/>
  <c r="H1348" i="2"/>
  <c r="I1348" i="2" s="1"/>
  <c r="H1349" i="2"/>
  <c r="I1349" i="2" s="1"/>
  <c r="H1350" i="2"/>
  <c r="I1350" i="2" s="1"/>
  <c r="H1362" i="2"/>
  <c r="I1362" i="2" s="1"/>
  <c r="H1367" i="2"/>
  <c r="I1367" i="2" s="1"/>
  <c r="H1382" i="2"/>
  <c r="I1382" i="2" s="1"/>
  <c r="H1405" i="2"/>
  <c r="I1405" i="2" s="1"/>
  <c r="H1406" i="2"/>
  <c r="I1406" i="2" s="1"/>
  <c r="H1443" i="2"/>
  <c r="I1443" i="2" s="1"/>
  <c r="H1490" i="2"/>
  <c r="I1490" i="2" s="1"/>
  <c r="H1526" i="2"/>
  <c r="I1526" i="2" s="1"/>
  <c r="H1528" i="2"/>
  <c r="I1528" i="2" s="1"/>
  <c r="H1529" i="2"/>
  <c r="I1529" i="2" s="1"/>
  <c r="H1530" i="2"/>
  <c r="I1530" i="2" s="1"/>
  <c r="H1541" i="2"/>
  <c r="I1541" i="2" s="1"/>
  <c r="H1562" i="2"/>
  <c r="I1562" i="2" s="1"/>
  <c r="H1564" i="2"/>
  <c r="I1564" i="2" s="1"/>
  <c r="H1565" i="2"/>
  <c r="I1565" i="2" s="1"/>
  <c r="H1566" i="2"/>
  <c r="I1566" i="2" s="1"/>
  <c r="H1577" i="2"/>
  <c r="I1577" i="2" s="1"/>
  <c r="H1580" i="2"/>
  <c r="I1580" i="2" s="1"/>
  <c r="H1600" i="2"/>
  <c r="I1600" i="2" s="1"/>
  <c r="H1601" i="2"/>
  <c r="I1601" i="2" s="1"/>
  <c r="H1602" i="2"/>
  <c r="I1602" i="2" s="1"/>
  <c r="H1613" i="2"/>
  <c r="I1613" i="2" s="1"/>
  <c r="H1616" i="2"/>
  <c r="I1616" i="2" s="1"/>
  <c r="H1633" i="2"/>
  <c r="I1633" i="2" s="1"/>
  <c r="H1634" i="2"/>
  <c r="I1634" i="2" s="1"/>
  <c r="H1635" i="2"/>
  <c r="I1635" i="2" s="1"/>
  <c r="H1648" i="2"/>
  <c r="I1648" i="2" s="1"/>
  <c r="H1659" i="2"/>
  <c r="I1659" i="2" s="1"/>
  <c r="H1669" i="2"/>
  <c r="I1669" i="2" s="1"/>
  <c r="H1670" i="2"/>
  <c r="I1670" i="2" s="1"/>
  <c r="H1681" i="2"/>
  <c r="I1681" i="2" s="1"/>
  <c r="H1693" i="2"/>
  <c r="I1693" i="2" s="1"/>
  <c r="H1696" i="2"/>
  <c r="I1696" i="2" s="1"/>
  <c r="H1697" i="2"/>
  <c r="I1697" i="2" s="1"/>
  <c r="H1698" i="2"/>
  <c r="I1698" i="2" s="1"/>
  <c r="H1718" i="2"/>
  <c r="I1718" i="2" s="1"/>
  <c r="H1719" i="2"/>
  <c r="I1719" i="2" s="1"/>
  <c r="H1729" i="2"/>
  <c r="I1729" i="2" s="1"/>
  <c r="H1732" i="2"/>
  <c r="I1732" i="2" s="1"/>
  <c r="H1763" i="2"/>
  <c r="I1763" i="2" s="1"/>
  <c r="H1767" i="2"/>
  <c r="I1767" i="2" s="1"/>
  <c r="H1777" i="2"/>
  <c r="I1777" i="2" s="1"/>
  <c r="H1778" i="2"/>
  <c r="I1778" i="2" s="1"/>
  <c r="H1779" i="2"/>
  <c r="I1779" i="2" s="1"/>
  <c r="H1782" i="2"/>
  <c r="I1782" i="2" s="1"/>
  <c r="H1806" i="2"/>
  <c r="I1806" i="2" s="1"/>
  <c r="H1813" i="2"/>
  <c r="I1813" i="2" s="1"/>
  <c r="H1815" i="2"/>
  <c r="I1815" i="2" s="1"/>
  <c r="H1827" i="2"/>
  <c r="I1827" i="2" s="1"/>
  <c r="H1837" i="2"/>
  <c r="I1837" i="2" s="1"/>
  <c r="H1839" i="2"/>
  <c r="I1839" i="2" s="1"/>
  <c r="H1840" i="2"/>
  <c r="I1840" i="2" s="1"/>
  <c r="H1841" i="2"/>
  <c r="I1841" i="2" s="1"/>
  <c r="H1842" i="2"/>
  <c r="I1842" i="2" s="1"/>
  <c r="H1861" i="2"/>
  <c r="I1861" i="2" s="1"/>
  <c r="H1862" i="2"/>
  <c r="I1862" i="2" s="1"/>
  <c r="H1863" i="2"/>
  <c r="I1863" i="2" s="1"/>
  <c r="H1885" i="2"/>
  <c r="I1885" i="2" s="1"/>
  <c r="H1886" i="2"/>
  <c r="I1886" i="2" s="1"/>
  <c r="H1887" i="2"/>
  <c r="I1887" i="2" s="1"/>
  <c r="H1890" i="2"/>
  <c r="I1890" i="2" s="1"/>
  <c r="H1910" i="2"/>
  <c r="I1910" i="2" s="1"/>
  <c r="H1911" i="2"/>
  <c r="I1911" i="2" s="1"/>
  <c r="H1922" i="2"/>
  <c r="I1922" i="2" s="1"/>
  <c r="H1923" i="2"/>
  <c r="I1923" i="2" s="1"/>
  <c r="H1924" i="2"/>
  <c r="I1924" i="2" s="1"/>
  <c r="H1925" i="2"/>
  <c r="I1925" i="2" s="1"/>
  <c r="H1933" i="2"/>
  <c r="I1933" i="2" s="1"/>
  <c r="H1945" i="2"/>
  <c r="I1945" i="2" s="1"/>
  <c r="H1950" i="2"/>
  <c r="I1950" i="2" s="1"/>
  <c r="H1957" i="2"/>
  <c r="I1957" i="2" s="1"/>
  <c r="H1959" i="2"/>
  <c r="I1959" i="2" s="1"/>
  <c r="H1960" i="2"/>
  <c r="I1960" i="2" s="1"/>
  <c r="H1969" i="2"/>
  <c r="I1969" i="2" s="1"/>
  <c r="H1970" i="2"/>
  <c r="I1970" i="2" s="1"/>
  <c r="H1981" i="2"/>
  <c r="I1981" i="2" s="1"/>
  <c r="H1982" i="2"/>
  <c r="I1982" i="2" s="1"/>
  <c r="H1983" i="2"/>
  <c r="I1983" i="2" s="1"/>
  <c r="H1984" i="2"/>
  <c r="I1984" i="2" s="1"/>
  <c r="H1990" i="2"/>
  <c r="I1990" i="2" s="1"/>
  <c r="H2006" i="2"/>
  <c r="I2006" i="2" s="1"/>
  <c r="H2007" i="2"/>
  <c r="I2007" i="2" s="1"/>
  <c r="H2018" i="2"/>
  <c r="I2018" i="2" s="1"/>
  <c r="H2019" i="2"/>
  <c r="I2019" i="2" s="1"/>
  <c r="H2020" i="2"/>
  <c r="I2020" i="2" s="1"/>
  <c r="H2021" i="2"/>
  <c r="I2021" i="2" s="1"/>
  <c r="H2029" i="2"/>
  <c r="I2029" i="2" s="1"/>
  <c r="H2041" i="2"/>
  <c r="I2041" i="2" s="1"/>
  <c r="H2046" i="2"/>
  <c r="I2046" i="2" s="1"/>
  <c r="H2053" i="2"/>
  <c r="I2053" i="2" s="1"/>
  <c r="H2055" i="2"/>
  <c r="I2055" i="2" s="1"/>
  <c r="H2056" i="2"/>
  <c r="I2056" i="2" s="1"/>
  <c r="H2065" i="2"/>
  <c r="I2065" i="2" s="1"/>
  <c r="H2066" i="2"/>
  <c r="I2066" i="2" s="1"/>
  <c r="H2077" i="2"/>
  <c r="I2077" i="2" s="1"/>
  <c r="H2078" i="2"/>
  <c r="I2078" i="2" s="1"/>
  <c r="H2079" i="2"/>
  <c r="I2079" i="2" s="1"/>
  <c r="H2080" i="2"/>
  <c r="I2080" i="2" s="1"/>
  <c r="H2086" i="2"/>
  <c r="I2086" i="2" s="1"/>
  <c r="H2102" i="2"/>
  <c r="I2102" i="2" s="1"/>
  <c r="H2103" i="2"/>
  <c r="I2103" i="2" s="1"/>
  <c r="H2114" i="2"/>
  <c r="I2114" i="2" s="1"/>
  <c r="H2115" i="2"/>
  <c r="I2115" i="2" s="1"/>
  <c r="H2116" i="2"/>
  <c r="I2116" i="2" s="1"/>
  <c r="H2117" i="2"/>
  <c r="I2117" i="2" s="1"/>
  <c r="H2125" i="2"/>
  <c r="I2125" i="2" s="1"/>
  <c r="H2137" i="2"/>
  <c r="I2137" i="2" s="1"/>
  <c r="H2142" i="2"/>
  <c r="I2142" i="2" s="1"/>
  <c r="H2149" i="2"/>
  <c r="I2149" i="2" s="1"/>
  <c r="H2151" i="2"/>
  <c r="I2151" i="2" s="1"/>
  <c r="H2152" i="2"/>
  <c r="I2152" i="2" s="1"/>
  <c r="H2161" i="2"/>
  <c r="I2161" i="2" s="1"/>
  <c r="H2162" i="2"/>
  <c r="I2162" i="2" s="1"/>
  <c r="H2173" i="2"/>
  <c r="I2173" i="2" s="1"/>
  <c r="H2174" i="2"/>
  <c r="I2174" i="2" s="1"/>
  <c r="H2175" i="2"/>
  <c r="I2175" i="2" s="1"/>
  <c r="H2176" i="2"/>
  <c r="I2176" i="2" s="1"/>
  <c r="H2182" i="2"/>
  <c r="I2182" i="2" s="1"/>
  <c r="H2198" i="2"/>
  <c r="I2198" i="2" s="1"/>
  <c r="H2199" i="2"/>
  <c r="I2199" i="2" s="1"/>
  <c r="H2210" i="2"/>
  <c r="I2210" i="2" s="1"/>
  <c r="H2211" i="2"/>
  <c r="I2211" i="2" s="1"/>
  <c r="H2212" i="2"/>
  <c r="I2212" i="2" s="1"/>
  <c r="H2213" i="2"/>
  <c r="I2213" i="2" s="1"/>
  <c r="H2221" i="2"/>
  <c r="I2221" i="2" s="1"/>
  <c r="H2233" i="2"/>
  <c r="I2233" i="2" s="1"/>
  <c r="H2238" i="2"/>
  <c r="I2238" i="2" s="1"/>
  <c r="H2245" i="2"/>
  <c r="I2245" i="2" s="1"/>
  <c r="H2247" i="2"/>
  <c r="I2247" i="2" s="1"/>
  <c r="H2248" i="2"/>
  <c r="I2248" i="2" s="1"/>
  <c r="H2257" i="2"/>
  <c r="I2257" i="2" s="1"/>
  <c r="H2258" i="2"/>
  <c r="I2258" i="2" s="1"/>
  <c r="H2269" i="2"/>
  <c r="I2269" i="2" s="1"/>
  <c r="H2270" i="2"/>
  <c r="I2270" i="2" s="1"/>
  <c r="H2271" i="2"/>
  <c r="I2271" i="2" s="1"/>
  <c r="H2272" i="2"/>
  <c r="I2272" i="2" s="1"/>
  <c r="H2278" i="2"/>
  <c r="I2278" i="2" s="1"/>
  <c r="H2294" i="2"/>
  <c r="I2294" i="2" s="1"/>
  <c r="H2295" i="2"/>
  <c r="I2295" i="2" s="1"/>
  <c r="H2306" i="2"/>
  <c r="I2306" i="2" s="1"/>
  <c r="H2307" i="2"/>
  <c r="I2307" i="2" s="1"/>
  <c r="H2308" i="2"/>
  <c r="I2308" i="2" s="1"/>
  <c r="H2309" i="2"/>
  <c r="I2309" i="2" s="1"/>
  <c r="H2317" i="2"/>
  <c r="I2317" i="2" s="1"/>
  <c r="H2329" i="2"/>
  <c r="I2329" i="2" s="1"/>
  <c r="H2334" i="2"/>
  <c r="I2334" i="2" s="1"/>
  <c r="H2341" i="2"/>
  <c r="I2341" i="2" s="1"/>
  <c r="H2343" i="2"/>
  <c r="I2343" i="2" s="1"/>
  <c r="H2344" i="2"/>
  <c r="I2344" i="2" s="1"/>
  <c r="H2353" i="2"/>
  <c r="I2353" i="2" s="1"/>
  <c r="H2354" i="2"/>
  <c r="I2354" i="2" s="1"/>
  <c r="H2365" i="2"/>
  <c r="I2365" i="2" s="1"/>
  <c r="H2366" i="2"/>
  <c r="I2366" i="2" s="1"/>
  <c r="H2367" i="2"/>
  <c r="I2367" i="2" s="1"/>
  <c r="H2368" i="2"/>
  <c r="I2368" i="2" s="1"/>
  <c r="H2374" i="2"/>
  <c r="I2374" i="2" s="1"/>
  <c r="H2390" i="2"/>
  <c r="I2390" i="2" s="1"/>
  <c r="H2391" i="2"/>
  <c r="I2391" i="2" s="1"/>
  <c r="H2402" i="2"/>
  <c r="I2402" i="2" s="1"/>
  <c r="H2403" i="2"/>
  <c r="I2403" i="2" s="1"/>
  <c r="H2404" i="2"/>
  <c r="I2404" i="2" s="1"/>
  <c r="H2405" i="2"/>
  <c r="I2405" i="2" s="1"/>
  <c r="H2413" i="2"/>
  <c r="I2413" i="2" s="1"/>
  <c r="H2425" i="2"/>
  <c r="I2425" i="2" s="1"/>
  <c r="H2430" i="2"/>
  <c r="I2430" i="2" s="1"/>
  <c r="H2437" i="2"/>
  <c r="I2437" i="2" s="1"/>
  <c r="H2439" i="2"/>
  <c r="I2439" i="2" s="1"/>
  <c r="H2440" i="2"/>
  <c r="I2440" i="2" s="1"/>
  <c r="H2449" i="2"/>
  <c r="I2449" i="2" s="1"/>
  <c r="H2450" i="2"/>
  <c r="I2450" i="2" s="1"/>
  <c r="H2461" i="2"/>
  <c r="H2462" i="2"/>
  <c r="I2462" i="2" s="1"/>
  <c r="H2463" i="2"/>
  <c r="I2463" i="2" s="1"/>
  <c r="H2464" i="2"/>
  <c r="I2464" i="2" s="1"/>
  <c r="H2470" i="2"/>
  <c r="I2470" i="2" s="1"/>
  <c r="H2486" i="2"/>
  <c r="I2486" i="2" s="1"/>
  <c r="H2487" i="2"/>
  <c r="I2487" i="2" s="1"/>
  <c r="H2498" i="2"/>
  <c r="I2498" i="2" s="1"/>
  <c r="H2499" i="2"/>
  <c r="I2499" i="2" s="1"/>
  <c r="H2500" i="2"/>
  <c r="I2500" i="2" s="1"/>
  <c r="H2501" i="2"/>
  <c r="I2501" i="2" s="1"/>
  <c r="H2509" i="2"/>
  <c r="I2509" i="2" s="1"/>
  <c r="H2521" i="2"/>
  <c r="I2521" i="2" s="1"/>
  <c r="H2526" i="2"/>
  <c r="I2526" i="2" s="1"/>
  <c r="H2533" i="2"/>
  <c r="I2533" i="2" s="1"/>
  <c r="H2535" i="2"/>
  <c r="I2535" i="2" s="1"/>
  <c r="H2536" i="2"/>
  <c r="I2536" i="2" s="1"/>
  <c r="H2545" i="2"/>
  <c r="I2545" i="2" s="1"/>
  <c r="H2546" i="2"/>
  <c r="I2546" i="2" s="1"/>
  <c r="H2557" i="2"/>
  <c r="I2557" i="2" s="1"/>
  <c r="H2558" i="2"/>
  <c r="I2558" i="2" s="1"/>
  <c r="H2559" i="2"/>
  <c r="I2559" i="2" s="1"/>
  <c r="H2560" i="2"/>
  <c r="I2560" i="2" s="1"/>
  <c r="H2566" i="2"/>
  <c r="I2566" i="2" s="1"/>
  <c r="H2582" i="2"/>
  <c r="I2582" i="2" s="1"/>
  <c r="H2583" i="2"/>
  <c r="I2583" i="2" s="1"/>
  <c r="H2594" i="2"/>
  <c r="I2594" i="2" s="1"/>
  <c r="H2595" i="2"/>
  <c r="I2595" i="2" s="1"/>
  <c r="H2596" i="2"/>
  <c r="I2596" i="2" s="1"/>
  <c r="H2597" i="2"/>
  <c r="I2597" i="2" s="1"/>
  <c r="H2605" i="2"/>
  <c r="I2605" i="2" s="1"/>
  <c r="H2617" i="2"/>
  <c r="I2617" i="2" s="1"/>
  <c r="H2622" i="2"/>
  <c r="I2622" i="2" s="1"/>
  <c r="H2629" i="2"/>
  <c r="I2629" i="2" s="1"/>
  <c r="H2631" i="2"/>
  <c r="I2631" i="2" s="1"/>
  <c r="H2632" i="2"/>
  <c r="I2632" i="2" s="1"/>
  <c r="H2641" i="2"/>
  <c r="I2641" i="2" s="1"/>
  <c r="H2642" i="2"/>
  <c r="I2642" i="2" s="1"/>
  <c r="H2653" i="2"/>
  <c r="I2653" i="2" s="1"/>
  <c r="H2654" i="2"/>
  <c r="I2654" i="2" s="1"/>
  <c r="H2655" i="2"/>
  <c r="I2655" i="2" s="1"/>
  <c r="H2656" i="2"/>
  <c r="I2656" i="2" s="1"/>
  <c r="H2662" i="2"/>
  <c r="I2662" i="2" s="1"/>
  <c r="H2678" i="2"/>
  <c r="I2678" i="2" s="1"/>
  <c r="H2679" i="2"/>
  <c r="I2679" i="2" s="1"/>
  <c r="H2690" i="2"/>
  <c r="I2690" i="2" s="1"/>
  <c r="H2691" i="2"/>
  <c r="I2691" i="2" s="1"/>
  <c r="H2692" i="2"/>
  <c r="I2692" i="2" s="1"/>
  <c r="H2693" i="2"/>
  <c r="I2693" i="2" s="1"/>
  <c r="H2701" i="2"/>
  <c r="I2701" i="2" s="1"/>
  <c r="H2713" i="2"/>
  <c r="I2713" i="2" s="1"/>
  <c r="H2716" i="2"/>
  <c r="I2716" i="2" s="1"/>
  <c r="H2717" i="2"/>
  <c r="I2717" i="2" s="1"/>
  <c r="H2726" i="2"/>
  <c r="I2726" i="2" s="1"/>
  <c r="H2727" i="2"/>
  <c r="I2727" i="2" s="1"/>
  <c r="H2728" i="2"/>
  <c r="I2728" i="2" s="1"/>
  <c r="H2729" i="2"/>
  <c r="I2729" i="2" s="1"/>
  <c r="H2749" i="2"/>
  <c r="I2749" i="2" s="1"/>
  <c r="H2751" i="2"/>
  <c r="I2751" i="2" s="1"/>
  <c r="H2752" i="2"/>
  <c r="I2752" i="2" s="1"/>
  <c r="H2761" i="2"/>
  <c r="I2761" i="2" s="1"/>
  <c r="H2762" i="2"/>
  <c r="I2762" i="2" s="1"/>
  <c r="H2764" i="2"/>
  <c r="I2764" i="2" s="1"/>
  <c r="H2765" i="2"/>
  <c r="I2765" i="2" s="1"/>
  <c r="H2771" i="2"/>
  <c r="I2771" i="2" s="1"/>
  <c r="H2775" i="2"/>
  <c r="I2775" i="2" s="1"/>
  <c r="H2777" i="2"/>
  <c r="I2777" i="2" s="1"/>
  <c r="H2786" i="2"/>
  <c r="I2786" i="2" s="1"/>
  <c r="H2787" i="2"/>
  <c r="I2787" i="2" s="1"/>
  <c r="H2797" i="2"/>
  <c r="I2797" i="2" s="1"/>
  <c r="H2798" i="2"/>
  <c r="I2798" i="2" s="1"/>
  <c r="H2799" i="2"/>
  <c r="I2799" i="2" s="1"/>
  <c r="H2800" i="2"/>
  <c r="I2800" i="2" s="1"/>
  <c r="H2806" i="2"/>
  <c r="I2806" i="2" s="1"/>
  <c r="H2810" i="2"/>
  <c r="I2810" i="2" s="1"/>
  <c r="H2813" i="2"/>
  <c r="I2813" i="2" s="1"/>
  <c r="H2814" i="2"/>
  <c r="I2814" i="2" s="1"/>
  <c r="H2821" i="2"/>
  <c r="I2821" i="2" s="1"/>
  <c r="H2822" i="2"/>
  <c r="I2822" i="2" s="1"/>
  <c r="H2833" i="2"/>
  <c r="I2833" i="2" s="1"/>
  <c r="H2834" i="2"/>
  <c r="I2834" i="2" s="1"/>
  <c r="H2835" i="2"/>
  <c r="I2835" i="2" s="1"/>
  <c r="H2837" i="2"/>
  <c r="I2837" i="2" s="1"/>
  <c r="H2838" i="2"/>
  <c r="I2838" i="2" s="1"/>
  <c r="H2846" i="2"/>
  <c r="I2846" i="2" s="1"/>
  <c r="H2848" i="2"/>
  <c r="I2848" i="2" s="1"/>
  <c r="H2849" i="2"/>
  <c r="I2849" i="2" s="1"/>
  <c r="H2850" i="2"/>
  <c r="I2850" i="2" s="1"/>
  <c r="H2857" i="2"/>
  <c r="I2857" i="2" s="1"/>
  <c r="H2869" i="2"/>
  <c r="I2869" i="2" s="1"/>
  <c r="H2870" i="2"/>
  <c r="I2870" i="2" s="1"/>
  <c r="H2872" i="2"/>
  <c r="I2872" i="2" s="1"/>
  <c r="H2873" i="2"/>
  <c r="I2873" i="2" s="1"/>
  <c r="H2881" i="2"/>
  <c r="H2883" i="2"/>
  <c r="I2883" i="2" s="1"/>
  <c r="H2884" i="2"/>
  <c r="I2884" i="2" s="1"/>
  <c r="H2885" i="2"/>
  <c r="I2885" i="2" s="1"/>
  <c r="H2886" i="2"/>
  <c r="I2886" i="2" s="1"/>
  <c r="H2893" i="2"/>
  <c r="I2893" i="2" s="1"/>
  <c r="H2905" i="2"/>
  <c r="I2905" i="2" s="1"/>
  <c r="H2908" i="2"/>
  <c r="I2908" i="2" s="1"/>
  <c r="H2909" i="2"/>
  <c r="I2909" i="2" s="1"/>
  <c r="H2918" i="2"/>
  <c r="I2918" i="2" s="1"/>
  <c r="H2919" i="2"/>
  <c r="I2919" i="2" s="1"/>
  <c r="H2920" i="2"/>
  <c r="I2920" i="2" s="1"/>
  <c r="H2921" i="2"/>
  <c r="I2921" i="2" s="1"/>
  <c r="H2941" i="2"/>
  <c r="I2941" i="2" s="1"/>
  <c r="H2943" i="2"/>
  <c r="I2943" i="2" s="1"/>
  <c r="H2944" i="2"/>
  <c r="I2944" i="2" s="1"/>
  <c r="H2953" i="2"/>
  <c r="I2953" i="2" s="1"/>
  <c r="H2954" i="2"/>
  <c r="I2954" i="2" s="1"/>
  <c r="H2956" i="2"/>
  <c r="I2956" i="2" s="1"/>
  <c r="H2957" i="2"/>
  <c r="I2957" i="2" s="1"/>
  <c r="H2963" i="2"/>
  <c r="I2963" i="2" s="1"/>
  <c r="H2967" i="2"/>
  <c r="I2967" i="2" s="1"/>
  <c r="H2969" i="2"/>
  <c r="I2969" i="2" s="1"/>
  <c r="H2978" i="2"/>
  <c r="I2978" i="2" s="1"/>
  <c r="H2979" i="2"/>
  <c r="I2979" i="2" s="1"/>
  <c r="H2989" i="2"/>
  <c r="I2989" i="2" s="1"/>
  <c r="H2990" i="2"/>
  <c r="I2990" i="2" s="1"/>
  <c r="H2991" i="2"/>
  <c r="I2991" i="2" s="1"/>
  <c r="H2992" i="2"/>
  <c r="I2992" i="2" s="1"/>
  <c r="H2998" i="2"/>
  <c r="I2998" i="2" s="1"/>
  <c r="H3002" i="2"/>
  <c r="I3002" i="2" s="1"/>
  <c r="H3005" i="2"/>
  <c r="I3005" i="2" s="1"/>
  <c r="H3006" i="2"/>
  <c r="I3006" i="2" s="1"/>
  <c r="H3013" i="2"/>
  <c r="I3013" i="2" s="1"/>
  <c r="H3014" i="2"/>
  <c r="I3014" i="2" s="1"/>
  <c r="H3025" i="2"/>
  <c r="I3025" i="2" s="1"/>
  <c r="H3026" i="2"/>
  <c r="I3026" i="2" s="1"/>
  <c r="H3027" i="2"/>
  <c r="I3027" i="2" s="1"/>
  <c r="H3029" i="2"/>
  <c r="I3029" i="2" s="1"/>
  <c r="H3030" i="2"/>
  <c r="I3030" i="2" s="1"/>
  <c r="H3038" i="2"/>
  <c r="I3038" i="2" s="1"/>
  <c r="H3040" i="2"/>
  <c r="I3040" i="2" s="1"/>
  <c r="H3041" i="2"/>
  <c r="I3041" i="2" s="1"/>
  <c r="H3042" i="2"/>
  <c r="I3042" i="2" s="1"/>
  <c r="H3049" i="2"/>
  <c r="I3049" i="2" s="1"/>
  <c r="H3061" i="2"/>
  <c r="I3061" i="2" s="1"/>
  <c r="H3062" i="2"/>
  <c r="I3062" i="2" s="1"/>
  <c r="H3064" i="2"/>
  <c r="I3064" i="2" s="1"/>
  <c r="H3065" i="2"/>
  <c r="I3065" i="2" s="1"/>
  <c r="G3" i="2"/>
  <c r="H3" i="2" s="1"/>
  <c r="I3" i="2" s="1"/>
  <c r="G4" i="2"/>
  <c r="H4" i="2" s="1"/>
  <c r="I4" i="2" s="1"/>
  <c r="G5" i="2"/>
  <c r="G6" i="2"/>
  <c r="G7" i="2"/>
  <c r="H7" i="2" s="1"/>
  <c r="I7" i="2" s="1"/>
  <c r="G8" i="2"/>
  <c r="H8" i="2" s="1"/>
  <c r="I8" i="2" s="1"/>
  <c r="G9" i="2"/>
  <c r="H9" i="2" s="1"/>
  <c r="I9" i="2" s="1"/>
  <c r="G10" i="2"/>
  <c r="G11" i="2"/>
  <c r="H11" i="2" s="1"/>
  <c r="I11" i="2" s="1"/>
  <c r="G12" i="2"/>
  <c r="G13" i="2"/>
  <c r="H13" i="2" s="1"/>
  <c r="I13" i="2" s="1"/>
  <c r="G14" i="2"/>
  <c r="G15" i="2"/>
  <c r="H15" i="2" s="1"/>
  <c r="I15" i="2" s="1"/>
  <c r="G16" i="2"/>
  <c r="H16" i="2" s="1"/>
  <c r="I16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G22" i="2"/>
  <c r="H22" i="2" s="1"/>
  <c r="I22" i="2" s="1"/>
  <c r="G23" i="2"/>
  <c r="H23" i="2" s="1"/>
  <c r="I23" i="2" s="1"/>
  <c r="G24" i="2"/>
  <c r="H24" i="2" s="1"/>
  <c r="I24" i="2" s="1"/>
  <c r="G25" i="2"/>
  <c r="H25" i="2" s="1"/>
  <c r="I25" i="2" s="1"/>
  <c r="G26" i="2"/>
  <c r="H26" i="2" s="1"/>
  <c r="I26" i="2" s="1"/>
  <c r="G27" i="2"/>
  <c r="H27" i="2" s="1"/>
  <c r="I27" i="2" s="1"/>
  <c r="G28" i="2"/>
  <c r="H28" i="2" s="1"/>
  <c r="I2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G33" i="2"/>
  <c r="H33" i="2" s="1"/>
  <c r="I33" i="2" s="1"/>
  <c r="G34" i="2"/>
  <c r="H34" i="2" s="1"/>
  <c r="I34" i="2" s="1"/>
  <c r="G35" i="2"/>
  <c r="H35" i="2" s="1"/>
  <c r="I35" i="2" s="1"/>
  <c r="G36" i="2"/>
  <c r="H36" i="2" s="1"/>
  <c r="I36" i="2" s="1"/>
  <c r="G37" i="2"/>
  <c r="H37" i="2" s="1"/>
  <c r="I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I41" i="2" s="1"/>
  <c r="G42" i="2"/>
  <c r="H42" i="2" s="1"/>
  <c r="I42" i="2" s="1"/>
  <c r="G43" i="2"/>
  <c r="H43" i="2" s="1"/>
  <c r="I43" i="2" s="1"/>
  <c r="G44" i="2"/>
  <c r="H44" i="2" s="1"/>
  <c r="I44" i="2" s="1"/>
  <c r="G45" i="2"/>
  <c r="H45" i="2" s="1"/>
  <c r="I45" i="2" s="1"/>
  <c r="G46" i="2"/>
  <c r="H46" i="2" s="1"/>
  <c r="I46" i="2" s="1"/>
  <c r="G47" i="2"/>
  <c r="H47" i="2" s="1"/>
  <c r="I47" i="2" s="1"/>
  <c r="G48" i="2"/>
  <c r="H48" i="2" s="1"/>
  <c r="I48" i="2" s="1"/>
  <c r="G49" i="2"/>
  <c r="H49" i="2" s="1"/>
  <c r="I49" i="2" s="1"/>
  <c r="G50" i="2"/>
  <c r="H50" i="2" s="1"/>
  <c r="I50" i="2" s="1"/>
  <c r="G51" i="2"/>
  <c r="H51" i="2" s="1"/>
  <c r="I51" i="2" s="1"/>
  <c r="G52" i="2"/>
  <c r="G53" i="2"/>
  <c r="H53" i="2" s="1"/>
  <c r="I53" i="2" s="1"/>
  <c r="G54" i="2"/>
  <c r="H54" i="2" s="1"/>
  <c r="I54" i="2" s="1"/>
  <c r="G55" i="2"/>
  <c r="H55" i="2" s="1"/>
  <c r="I55" i="2" s="1"/>
  <c r="G56" i="2"/>
  <c r="H56" i="2" s="1"/>
  <c r="I56" i="2" s="1"/>
  <c r="G57" i="2"/>
  <c r="H57" i="2" s="1"/>
  <c r="I57" i="2" s="1"/>
  <c r="G58" i="2"/>
  <c r="H58" i="2" s="1"/>
  <c r="I58" i="2" s="1"/>
  <c r="G59" i="2"/>
  <c r="H59" i="2" s="1"/>
  <c r="I59" i="2" s="1"/>
  <c r="G60" i="2"/>
  <c r="H60" i="2" s="1"/>
  <c r="I60" i="2" s="1"/>
  <c r="G61" i="2"/>
  <c r="H61" i="2" s="1"/>
  <c r="I61" i="2" s="1"/>
  <c r="G62" i="2"/>
  <c r="H62" i="2" s="1"/>
  <c r="I62" i="2" s="1"/>
  <c r="G63" i="2"/>
  <c r="H63" i="2" s="1"/>
  <c r="I63" i="2" s="1"/>
  <c r="G64" i="2"/>
  <c r="H64" i="2" s="1"/>
  <c r="I64" i="2" s="1"/>
  <c r="G65" i="2"/>
  <c r="H65" i="2" s="1"/>
  <c r="I65" i="2" s="1"/>
  <c r="G66" i="2"/>
  <c r="H66" i="2" s="1"/>
  <c r="I66" i="2" s="1"/>
  <c r="G67" i="2"/>
  <c r="H67" i="2" s="1"/>
  <c r="I67" i="2" s="1"/>
  <c r="G68" i="2"/>
  <c r="H68" i="2" s="1"/>
  <c r="I68" i="2" s="1"/>
  <c r="G69" i="2"/>
  <c r="H69" i="2" s="1"/>
  <c r="I69" i="2" s="1"/>
  <c r="G70" i="2"/>
  <c r="H70" i="2" s="1"/>
  <c r="I70" i="2" s="1"/>
  <c r="G71" i="2"/>
  <c r="H71" i="2" s="1"/>
  <c r="I71" i="2" s="1"/>
  <c r="G72" i="2"/>
  <c r="H72" i="2" s="1"/>
  <c r="I72" i="2" s="1"/>
  <c r="G73" i="2"/>
  <c r="H73" i="2" s="1"/>
  <c r="I73" i="2" s="1"/>
  <c r="G74" i="2"/>
  <c r="H74" i="2" s="1"/>
  <c r="I74" i="2" s="1"/>
  <c r="G75" i="2"/>
  <c r="H75" i="2" s="1"/>
  <c r="I75" i="2" s="1"/>
  <c r="G76" i="2"/>
  <c r="H76" i="2" s="1"/>
  <c r="I76" i="2" s="1"/>
  <c r="G77" i="2"/>
  <c r="H77" i="2" s="1"/>
  <c r="I77" i="2" s="1"/>
  <c r="G78" i="2"/>
  <c r="H78" i="2" s="1"/>
  <c r="I78" i="2" s="1"/>
  <c r="G79" i="2"/>
  <c r="H79" i="2" s="1"/>
  <c r="I79" i="2" s="1"/>
  <c r="G80" i="2"/>
  <c r="H80" i="2" s="1"/>
  <c r="I80" i="2" s="1"/>
  <c r="G81" i="2"/>
  <c r="H81" i="2" s="1"/>
  <c r="I81" i="2" s="1"/>
  <c r="G82" i="2"/>
  <c r="H82" i="2" s="1"/>
  <c r="I82" i="2" s="1"/>
  <c r="G83" i="2"/>
  <c r="H83" i="2" s="1"/>
  <c r="I83" i="2" s="1"/>
  <c r="G84" i="2"/>
  <c r="H84" i="2" s="1"/>
  <c r="I84" i="2" s="1"/>
  <c r="G85" i="2"/>
  <c r="H85" i="2" s="1"/>
  <c r="I85" i="2" s="1"/>
  <c r="G86" i="2"/>
  <c r="H86" i="2" s="1"/>
  <c r="I86" i="2" s="1"/>
  <c r="G87" i="2"/>
  <c r="H87" i="2" s="1"/>
  <c r="I87" i="2" s="1"/>
  <c r="G88" i="2"/>
  <c r="H88" i="2" s="1"/>
  <c r="I88" i="2" s="1"/>
  <c r="G89" i="2"/>
  <c r="H89" i="2" s="1"/>
  <c r="I89" i="2" s="1"/>
  <c r="G90" i="2"/>
  <c r="H90" i="2" s="1"/>
  <c r="I90" i="2" s="1"/>
  <c r="G91" i="2"/>
  <c r="H91" i="2" s="1"/>
  <c r="I91" i="2" s="1"/>
  <c r="G92" i="2"/>
  <c r="H92" i="2" s="1"/>
  <c r="I92" i="2" s="1"/>
  <c r="G93" i="2"/>
  <c r="H93" i="2" s="1"/>
  <c r="I93" i="2" s="1"/>
  <c r="G94" i="2"/>
  <c r="H94" i="2" s="1"/>
  <c r="I94" i="2" s="1"/>
  <c r="G95" i="2"/>
  <c r="H95" i="2" s="1"/>
  <c r="I95" i="2" s="1"/>
  <c r="G96" i="2"/>
  <c r="H96" i="2" s="1"/>
  <c r="I96" i="2" s="1"/>
  <c r="G97" i="2"/>
  <c r="H97" i="2" s="1"/>
  <c r="I97" i="2" s="1"/>
  <c r="G98" i="2"/>
  <c r="H98" i="2" s="1"/>
  <c r="I98" i="2" s="1"/>
  <c r="G99" i="2"/>
  <c r="H99" i="2" s="1"/>
  <c r="I99" i="2" s="1"/>
  <c r="G100" i="2"/>
  <c r="H100" i="2" s="1"/>
  <c r="I100" i="2" s="1"/>
  <c r="G101" i="2"/>
  <c r="H101" i="2" s="1"/>
  <c r="I101" i="2" s="1"/>
  <c r="G102" i="2"/>
  <c r="H102" i="2" s="1"/>
  <c r="I102" i="2" s="1"/>
  <c r="G103" i="2"/>
  <c r="H103" i="2" s="1"/>
  <c r="I103" i="2" s="1"/>
  <c r="G104" i="2"/>
  <c r="H104" i="2" s="1"/>
  <c r="I104" i="2" s="1"/>
  <c r="G105" i="2"/>
  <c r="H105" i="2" s="1"/>
  <c r="I105" i="2" s="1"/>
  <c r="G106" i="2"/>
  <c r="H106" i="2" s="1"/>
  <c r="I106" i="2" s="1"/>
  <c r="G107" i="2"/>
  <c r="H107" i="2" s="1"/>
  <c r="I107" i="2" s="1"/>
  <c r="G108" i="2"/>
  <c r="H108" i="2" s="1"/>
  <c r="I108" i="2" s="1"/>
  <c r="G109" i="2"/>
  <c r="H109" i="2" s="1"/>
  <c r="I109" i="2" s="1"/>
  <c r="G110" i="2"/>
  <c r="H110" i="2" s="1"/>
  <c r="I110" i="2" s="1"/>
  <c r="G111" i="2"/>
  <c r="G112" i="2"/>
  <c r="H112" i="2" s="1"/>
  <c r="I112" i="2" s="1"/>
  <c r="G113" i="2"/>
  <c r="H113" i="2" s="1"/>
  <c r="I113" i="2" s="1"/>
  <c r="G114" i="2"/>
  <c r="G115" i="2"/>
  <c r="H115" i="2" s="1"/>
  <c r="I115" i="2" s="1"/>
  <c r="G116" i="2"/>
  <c r="H116" i="2" s="1"/>
  <c r="I116" i="2" s="1"/>
  <c r="G117" i="2"/>
  <c r="H117" i="2" s="1"/>
  <c r="I117" i="2" s="1"/>
  <c r="G118" i="2"/>
  <c r="H118" i="2" s="1"/>
  <c r="I118" i="2" s="1"/>
  <c r="G119" i="2"/>
  <c r="H119" i="2" s="1"/>
  <c r="I119" i="2" s="1"/>
  <c r="G120" i="2"/>
  <c r="H120" i="2" s="1"/>
  <c r="I120" i="2" s="1"/>
  <c r="G121" i="2"/>
  <c r="H121" i="2" s="1"/>
  <c r="I121" i="2" s="1"/>
  <c r="G122" i="2"/>
  <c r="H122" i="2" s="1"/>
  <c r="I122" i="2" s="1"/>
  <c r="G123" i="2"/>
  <c r="H123" i="2" s="1"/>
  <c r="I123" i="2" s="1"/>
  <c r="G124" i="2"/>
  <c r="H124" i="2" s="1"/>
  <c r="I124" i="2" s="1"/>
  <c r="G125" i="2"/>
  <c r="H125" i="2" s="1"/>
  <c r="I125" i="2" s="1"/>
  <c r="G126" i="2"/>
  <c r="H126" i="2" s="1"/>
  <c r="I126" i="2" s="1"/>
  <c r="G127" i="2"/>
  <c r="H127" i="2" s="1"/>
  <c r="I127" i="2" s="1"/>
  <c r="G128" i="2"/>
  <c r="H128" i="2" s="1"/>
  <c r="I128" i="2" s="1"/>
  <c r="G129" i="2"/>
  <c r="H129" i="2" s="1"/>
  <c r="I129" i="2" s="1"/>
  <c r="G130" i="2"/>
  <c r="H130" i="2" s="1"/>
  <c r="I130" i="2" s="1"/>
  <c r="G131" i="2"/>
  <c r="H131" i="2" s="1"/>
  <c r="I131" i="2" s="1"/>
  <c r="G132" i="2"/>
  <c r="H132" i="2" s="1"/>
  <c r="I132" i="2" s="1"/>
  <c r="G133" i="2"/>
  <c r="H133" i="2" s="1"/>
  <c r="I133" i="2" s="1"/>
  <c r="G134" i="2"/>
  <c r="H134" i="2" s="1"/>
  <c r="I134" i="2" s="1"/>
  <c r="G135" i="2"/>
  <c r="H135" i="2" s="1"/>
  <c r="I135" i="2" s="1"/>
  <c r="G136" i="2"/>
  <c r="H136" i="2" s="1"/>
  <c r="I136" i="2" s="1"/>
  <c r="G137" i="2"/>
  <c r="H137" i="2" s="1"/>
  <c r="I137" i="2" s="1"/>
  <c r="G138" i="2"/>
  <c r="H138" i="2" s="1"/>
  <c r="I138" i="2" s="1"/>
  <c r="G139" i="2"/>
  <c r="H139" i="2" s="1"/>
  <c r="I139" i="2" s="1"/>
  <c r="G140" i="2"/>
  <c r="H140" i="2" s="1"/>
  <c r="I140" i="2" s="1"/>
  <c r="G141" i="2"/>
  <c r="H141" i="2" s="1"/>
  <c r="I141" i="2" s="1"/>
  <c r="G142" i="2"/>
  <c r="H142" i="2" s="1"/>
  <c r="I142" i="2" s="1"/>
  <c r="G143" i="2"/>
  <c r="G144" i="2"/>
  <c r="H144" i="2" s="1"/>
  <c r="I144" i="2" s="1"/>
  <c r="G145" i="2"/>
  <c r="H145" i="2" s="1"/>
  <c r="I145" i="2" s="1"/>
  <c r="G146" i="2"/>
  <c r="H146" i="2" s="1"/>
  <c r="I146" i="2" s="1"/>
  <c r="G147" i="2"/>
  <c r="H147" i="2" s="1"/>
  <c r="I147" i="2" s="1"/>
  <c r="G148" i="2"/>
  <c r="H148" i="2" s="1"/>
  <c r="I148" i="2" s="1"/>
  <c r="G149" i="2"/>
  <c r="H149" i="2" s="1"/>
  <c r="I149" i="2" s="1"/>
  <c r="G150" i="2"/>
  <c r="H150" i="2" s="1"/>
  <c r="I150" i="2" s="1"/>
  <c r="G151" i="2"/>
  <c r="H151" i="2" s="1"/>
  <c r="I151" i="2" s="1"/>
  <c r="G152" i="2"/>
  <c r="H152" i="2" s="1"/>
  <c r="I152" i="2" s="1"/>
  <c r="G153" i="2"/>
  <c r="H153" i="2" s="1"/>
  <c r="I153" i="2" s="1"/>
  <c r="G154" i="2"/>
  <c r="H154" i="2" s="1"/>
  <c r="I154" i="2" s="1"/>
  <c r="G155" i="2"/>
  <c r="H155" i="2" s="1"/>
  <c r="I155" i="2" s="1"/>
  <c r="G156" i="2"/>
  <c r="H156" i="2" s="1"/>
  <c r="I156" i="2" s="1"/>
  <c r="G157" i="2"/>
  <c r="H157" i="2" s="1"/>
  <c r="I157" i="2" s="1"/>
  <c r="G158" i="2"/>
  <c r="H158" i="2" s="1"/>
  <c r="I158" i="2" s="1"/>
  <c r="G159" i="2"/>
  <c r="H159" i="2" s="1"/>
  <c r="I159" i="2" s="1"/>
  <c r="G160" i="2"/>
  <c r="H160" i="2" s="1"/>
  <c r="I160" i="2" s="1"/>
  <c r="G161" i="2"/>
  <c r="H161" i="2" s="1"/>
  <c r="I161" i="2" s="1"/>
  <c r="G162" i="2"/>
  <c r="H162" i="2" s="1"/>
  <c r="I162" i="2" s="1"/>
  <c r="G163" i="2"/>
  <c r="H163" i="2" s="1"/>
  <c r="I163" i="2" s="1"/>
  <c r="G164" i="2"/>
  <c r="H164" i="2" s="1"/>
  <c r="I164" i="2" s="1"/>
  <c r="G165" i="2"/>
  <c r="H165" i="2" s="1"/>
  <c r="I165" i="2" s="1"/>
  <c r="G166" i="2"/>
  <c r="H166" i="2" s="1"/>
  <c r="I166" i="2" s="1"/>
  <c r="G167" i="2"/>
  <c r="H167" i="2" s="1"/>
  <c r="I167" i="2" s="1"/>
  <c r="G168" i="2"/>
  <c r="H168" i="2" s="1"/>
  <c r="I168" i="2" s="1"/>
  <c r="G169" i="2"/>
  <c r="H169" i="2" s="1"/>
  <c r="I169" i="2" s="1"/>
  <c r="G170" i="2"/>
  <c r="G171" i="2"/>
  <c r="H171" i="2" s="1"/>
  <c r="I171" i="2" s="1"/>
  <c r="G172" i="2"/>
  <c r="H172" i="2" s="1"/>
  <c r="I172" i="2" s="1"/>
  <c r="G173" i="2"/>
  <c r="H173" i="2" s="1"/>
  <c r="I173" i="2" s="1"/>
  <c r="G174" i="2"/>
  <c r="H174" i="2" s="1"/>
  <c r="I174" i="2" s="1"/>
  <c r="G175" i="2"/>
  <c r="H175" i="2" s="1"/>
  <c r="I175" i="2" s="1"/>
  <c r="G176" i="2"/>
  <c r="H176" i="2" s="1"/>
  <c r="I176" i="2" s="1"/>
  <c r="G177" i="2"/>
  <c r="H177" i="2" s="1"/>
  <c r="I177" i="2" s="1"/>
  <c r="G178" i="2"/>
  <c r="H178" i="2" s="1"/>
  <c r="I178" i="2" s="1"/>
  <c r="G179" i="2"/>
  <c r="H179" i="2" s="1"/>
  <c r="I179" i="2" s="1"/>
  <c r="G180" i="2"/>
  <c r="H180" i="2" s="1"/>
  <c r="I180" i="2" s="1"/>
  <c r="G181" i="2"/>
  <c r="G182" i="2"/>
  <c r="H182" i="2" s="1"/>
  <c r="I182" i="2" s="1"/>
  <c r="G183" i="2"/>
  <c r="H183" i="2" s="1"/>
  <c r="I183" i="2" s="1"/>
  <c r="G184" i="2"/>
  <c r="H184" i="2" s="1"/>
  <c r="I184" i="2" s="1"/>
  <c r="G185" i="2"/>
  <c r="H185" i="2" s="1"/>
  <c r="I185" i="2" s="1"/>
  <c r="G186" i="2"/>
  <c r="H186" i="2" s="1"/>
  <c r="I186" i="2" s="1"/>
  <c r="G187" i="2"/>
  <c r="H187" i="2" s="1"/>
  <c r="I187" i="2" s="1"/>
  <c r="G188" i="2"/>
  <c r="H188" i="2" s="1"/>
  <c r="I188" i="2" s="1"/>
  <c r="G189" i="2"/>
  <c r="H189" i="2" s="1"/>
  <c r="I189" i="2" s="1"/>
  <c r="G190" i="2"/>
  <c r="H190" i="2" s="1"/>
  <c r="I190" i="2" s="1"/>
  <c r="G191" i="2"/>
  <c r="H191" i="2" s="1"/>
  <c r="I191" i="2" s="1"/>
  <c r="G192" i="2"/>
  <c r="H192" i="2" s="1"/>
  <c r="I192" i="2" s="1"/>
  <c r="G193" i="2"/>
  <c r="H193" i="2" s="1"/>
  <c r="I193" i="2" s="1"/>
  <c r="G194" i="2"/>
  <c r="H194" i="2" s="1"/>
  <c r="I194" i="2" s="1"/>
  <c r="G195" i="2"/>
  <c r="H195" i="2" s="1"/>
  <c r="I195" i="2" s="1"/>
  <c r="G196" i="2"/>
  <c r="H196" i="2" s="1"/>
  <c r="I196" i="2" s="1"/>
  <c r="G197" i="2"/>
  <c r="H197" i="2" s="1"/>
  <c r="I197" i="2" s="1"/>
  <c r="G198" i="2"/>
  <c r="H198" i="2" s="1"/>
  <c r="I198" i="2" s="1"/>
  <c r="G199" i="2"/>
  <c r="H199" i="2" s="1"/>
  <c r="I199" i="2" s="1"/>
  <c r="G200" i="2"/>
  <c r="H200" i="2" s="1"/>
  <c r="I200" i="2" s="1"/>
  <c r="G201" i="2"/>
  <c r="H201" i="2" s="1"/>
  <c r="I201" i="2" s="1"/>
  <c r="G202" i="2"/>
  <c r="H202" i="2" s="1"/>
  <c r="I202" i="2" s="1"/>
  <c r="G203" i="2"/>
  <c r="H203" i="2" s="1"/>
  <c r="I203" i="2" s="1"/>
  <c r="G204" i="2"/>
  <c r="H204" i="2" s="1"/>
  <c r="I204" i="2" s="1"/>
  <c r="G205" i="2"/>
  <c r="H205" i="2" s="1"/>
  <c r="I205" i="2" s="1"/>
  <c r="G206" i="2"/>
  <c r="H206" i="2" s="1"/>
  <c r="I206" i="2" s="1"/>
  <c r="G207" i="2"/>
  <c r="H207" i="2" s="1"/>
  <c r="I207" i="2" s="1"/>
  <c r="G208" i="2"/>
  <c r="H208" i="2" s="1"/>
  <c r="I208" i="2" s="1"/>
  <c r="G209" i="2"/>
  <c r="H209" i="2" s="1"/>
  <c r="I209" i="2" s="1"/>
  <c r="G210" i="2"/>
  <c r="H210" i="2" s="1"/>
  <c r="I210" i="2" s="1"/>
  <c r="G211" i="2"/>
  <c r="H211" i="2" s="1"/>
  <c r="I211" i="2" s="1"/>
  <c r="G212" i="2"/>
  <c r="H212" i="2" s="1"/>
  <c r="I212" i="2" s="1"/>
  <c r="G213" i="2"/>
  <c r="H213" i="2" s="1"/>
  <c r="I213" i="2" s="1"/>
  <c r="G214" i="2"/>
  <c r="H214" i="2" s="1"/>
  <c r="I214" i="2" s="1"/>
  <c r="G215" i="2"/>
  <c r="H215" i="2" s="1"/>
  <c r="I215" i="2" s="1"/>
  <c r="G216" i="2"/>
  <c r="H216" i="2" s="1"/>
  <c r="I216" i="2" s="1"/>
  <c r="G217" i="2"/>
  <c r="H217" i="2" s="1"/>
  <c r="I217" i="2" s="1"/>
  <c r="G218" i="2"/>
  <c r="H218" i="2" s="1"/>
  <c r="I218" i="2" s="1"/>
  <c r="G219" i="2"/>
  <c r="H219" i="2" s="1"/>
  <c r="I219" i="2" s="1"/>
  <c r="G220" i="2"/>
  <c r="H220" i="2" s="1"/>
  <c r="I220" i="2" s="1"/>
  <c r="G221" i="2"/>
  <c r="H221" i="2" s="1"/>
  <c r="I221" i="2" s="1"/>
  <c r="G222" i="2"/>
  <c r="H222" i="2" s="1"/>
  <c r="I222" i="2" s="1"/>
  <c r="G223" i="2"/>
  <c r="H223" i="2" s="1"/>
  <c r="I223" i="2" s="1"/>
  <c r="G224" i="2"/>
  <c r="H224" i="2" s="1"/>
  <c r="I224" i="2" s="1"/>
  <c r="G225" i="2"/>
  <c r="H225" i="2" s="1"/>
  <c r="I225" i="2" s="1"/>
  <c r="G226" i="2"/>
  <c r="H226" i="2" s="1"/>
  <c r="I226" i="2" s="1"/>
  <c r="G227" i="2"/>
  <c r="H227" i="2" s="1"/>
  <c r="I227" i="2" s="1"/>
  <c r="G228" i="2"/>
  <c r="H228" i="2" s="1"/>
  <c r="I228" i="2" s="1"/>
  <c r="G229" i="2"/>
  <c r="H229" i="2" s="1"/>
  <c r="I229" i="2" s="1"/>
  <c r="G230" i="2"/>
  <c r="H230" i="2" s="1"/>
  <c r="I230" i="2" s="1"/>
  <c r="G231" i="2"/>
  <c r="H231" i="2" s="1"/>
  <c r="I231" i="2" s="1"/>
  <c r="G232" i="2"/>
  <c r="H232" i="2" s="1"/>
  <c r="I232" i="2" s="1"/>
  <c r="G233" i="2"/>
  <c r="H233" i="2" s="1"/>
  <c r="I233" i="2" s="1"/>
  <c r="G234" i="2"/>
  <c r="H234" i="2" s="1"/>
  <c r="I234" i="2" s="1"/>
  <c r="G235" i="2"/>
  <c r="H235" i="2" s="1"/>
  <c r="I235" i="2" s="1"/>
  <c r="G236" i="2"/>
  <c r="H236" i="2" s="1"/>
  <c r="I236" i="2" s="1"/>
  <c r="G237" i="2"/>
  <c r="H237" i="2" s="1"/>
  <c r="I237" i="2" s="1"/>
  <c r="G238" i="2"/>
  <c r="H238" i="2" s="1"/>
  <c r="I238" i="2" s="1"/>
  <c r="G239" i="2"/>
  <c r="H239" i="2" s="1"/>
  <c r="I239" i="2" s="1"/>
  <c r="G240" i="2"/>
  <c r="H240" i="2" s="1"/>
  <c r="I240" i="2" s="1"/>
  <c r="G241" i="2"/>
  <c r="G242" i="2"/>
  <c r="H242" i="2" s="1"/>
  <c r="I242" i="2" s="1"/>
  <c r="G243" i="2"/>
  <c r="H243" i="2" s="1"/>
  <c r="I243" i="2" s="1"/>
  <c r="G244" i="2"/>
  <c r="H244" i="2" s="1"/>
  <c r="I244" i="2" s="1"/>
  <c r="G245" i="2"/>
  <c r="G246" i="2"/>
  <c r="H246" i="2" s="1"/>
  <c r="I246" i="2" s="1"/>
  <c r="G247" i="2"/>
  <c r="H247" i="2" s="1"/>
  <c r="I247" i="2" s="1"/>
  <c r="G248" i="2"/>
  <c r="H248" i="2" s="1"/>
  <c r="I248" i="2" s="1"/>
  <c r="G249" i="2"/>
  <c r="H249" i="2" s="1"/>
  <c r="I249" i="2" s="1"/>
  <c r="G250" i="2"/>
  <c r="H250" i="2" s="1"/>
  <c r="I250" i="2" s="1"/>
  <c r="G251" i="2"/>
  <c r="H251" i="2" s="1"/>
  <c r="I251" i="2" s="1"/>
  <c r="G252" i="2"/>
  <c r="H252" i="2" s="1"/>
  <c r="I252" i="2" s="1"/>
  <c r="G253" i="2"/>
  <c r="H253" i="2" s="1"/>
  <c r="I253" i="2" s="1"/>
  <c r="G254" i="2"/>
  <c r="H254" i="2" s="1"/>
  <c r="I254" i="2" s="1"/>
  <c r="G255" i="2"/>
  <c r="H255" i="2" s="1"/>
  <c r="I255" i="2" s="1"/>
  <c r="G256" i="2"/>
  <c r="H256" i="2" s="1"/>
  <c r="I256" i="2" s="1"/>
  <c r="G257" i="2"/>
  <c r="H257" i="2" s="1"/>
  <c r="I257" i="2" s="1"/>
  <c r="G258" i="2"/>
  <c r="H258" i="2" s="1"/>
  <c r="I258" i="2" s="1"/>
  <c r="G259" i="2"/>
  <c r="H259" i="2" s="1"/>
  <c r="I259" i="2" s="1"/>
  <c r="G260" i="2"/>
  <c r="H260" i="2" s="1"/>
  <c r="I260" i="2" s="1"/>
  <c r="G261" i="2"/>
  <c r="H261" i="2" s="1"/>
  <c r="I261" i="2" s="1"/>
  <c r="G262" i="2"/>
  <c r="H262" i="2" s="1"/>
  <c r="I262" i="2" s="1"/>
  <c r="G263" i="2"/>
  <c r="H263" i="2" s="1"/>
  <c r="I263" i="2" s="1"/>
  <c r="G264" i="2"/>
  <c r="H264" i="2" s="1"/>
  <c r="I264" i="2" s="1"/>
  <c r="G265" i="2"/>
  <c r="H265" i="2" s="1"/>
  <c r="I265" i="2" s="1"/>
  <c r="G266" i="2"/>
  <c r="H266" i="2" s="1"/>
  <c r="I266" i="2" s="1"/>
  <c r="G267" i="2"/>
  <c r="H267" i="2" s="1"/>
  <c r="I267" i="2" s="1"/>
  <c r="G268" i="2"/>
  <c r="H268" i="2" s="1"/>
  <c r="I268" i="2" s="1"/>
  <c r="G269" i="2"/>
  <c r="H269" i="2" s="1"/>
  <c r="I269" i="2" s="1"/>
  <c r="G270" i="2"/>
  <c r="H270" i="2" s="1"/>
  <c r="I270" i="2" s="1"/>
  <c r="G271" i="2"/>
  <c r="H271" i="2" s="1"/>
  <c r="I271" i="2" s="1"/>
  <c r="G272" i="2"/>
  <c r="H272" i="2" s="1"/>
  <c r="I272" i="2" s="1"/>
  <c r="G273" i="2"/>
  <c r="H273" i="2" s="1"/>
  <c r="I273" i="2" s="1"/>
  <c r="G274" i="2"/>
  <c r="H274" i="2" s="1"/>
  <c r="I274" i="2" s="1"/>
  <c r="G275" i="2"/>
  <c r="H275" i="2" s="1"/>
  <c r="I275" i="2" s="1"/>
  <c r="G276" i="2"/>
  <c r="H276" i="2" s="1"/>
  <c r="I276" i="2" s="1"/>
  <c r="G277" i="2"/>
  <c r="G278" i="2"/>
  <c r="G279" i="2"/>
  <c r="H279" i="2" s="1"/>
  <c r="I279" i="2" s="1"/>
  <c r="G280" i="2"/>
  <c r="H280" i="2" s="1"/>
  <c r="I280" i="2" s="1"/>
  <c r="G281" i="2"/>
  <c r="H281" i="2" s="1"/>
  <c r="I281" i="2" s="1"/>
  <c r="G282" i="2"/>
  <c r="H282" i="2" s="1"/>
  <c r="I282" i="2" s="1"/>
  <c r="G283" i="2"/>
  <c r="H283" i="2" s="1"/>
  <c r="I283" i="2" s="1"/>
  <c r="G284" i="2"/>
  <c r="H284" i="2" s="1"/>
  <c r="I284" i="2" s="1"/>
  <c r="G285" i="2"/>
  <c r="H285" i="2" s="1"/>
  <c r="I285" i="2" s="1"/>
  <c r="G286" i="2"/>
  <c r="H286" i="2" s="1"/>
  <c r="I286" i="2" s="1"/>
  <c r="G287" i="2"/>
  <c r="H287" i="2" s="1"/>
  <c r="I287" i="2" s="1"/>
  <c r="G288" i="2"/>
  <c r="H288" i="2" s="1"/>
  <c r="I288" i="2" s="1"/>
  <c r="G289" i="2"/>
  <c r="H289" i="2" s="1"/>
  <c r="I289" i="2" s="1"/>
  <c r="G290" i="2"/>
  <c r="H290" i="2" s="1"/>
  <c r="I290" i="2" s="1"/>
  <c r="G291" i="2"/>
  <c r="H291" i="2" s="1"/>
  <c r="I291" i="2" s="1"/>
  <c r="G292" i="2"/>
  <c r="H292" i="2" s="1"/>
  <c r="I292" i="2" s="1"/>
  <c r="G293" i="2"/>
  <c r="H293" i="2" s="1"/>
  <c r="I293" i="2" s="1"/>
  <c r="G294" i="2"/>
  <c r="H294" i="2" s="1"/>
  <c r="I294" i="2" s="1"/>
  <c r="G295" i="2"/>
  <c r="H295" i="2" s="1"/>
  <c r="I295" i="2" s="1"/>
  <c r="G296" i="2"/>
  <c r="H296" i="2" s="1"/>
  <c r="I296" i="2" s="1"/>
  <c r="G297" i="2"/>
  <c r="H297" i="2" s="1"/>
  <c r="I297" i="2" s="1"/>
  <c r="G298" i="2"/>
  <c r="G299" i="2"/>
  <c r="H299" i="2" s="1"/>
  <c r="I299" i="2" s="1"/>
  <c r="G300" i="2"/>
  <c r="H300" i="2" s="1"/>
  <c r="I300" i="2" s="1"/>
  <c r="G301" i="2"/>
  <c r="H301" i="2" s="1"/>
  <c r="I301" i="2" s="1"/>
  <c r="G302" i="2"/>
  <c r="H302" i="2" s="1"/>
  <c r="I302" i="2" s="1"/>
  <c r="G303" i="2"/>
  <c r="H303" i="2" s="1"/>
  <c r="I303" i="2" s="1"/>
  <c r="G304" i="2"/>
  <c r="H304" i="2" s="1"/>
  <c r="I304" i="2" s="1"/>
  <c r="G305" i="2"/>
  <c r="H305" i="2" s="1"/>
  <c r="I305" i="2" s="1"/>
  <c r="G306" i="2"/>
  <c r="H306" i="2" s="1"/>
  <c r="I306" i="2" s="1"/>
  <c r="G307" i="2"/>
  <c r="H307" i="2" s="1"/>
  <c r="I307" i="2" s="1"/>
  <c r="G308" i="2"/>
  <c r="H308" i="2" s="1"/>
  <c r="I308" i="2" s="1"/>
  <c r="G309" i="2"/>
  <c r="H309" i="2" s="1"/>
  <c r="I309" i="2" s="1"/>
  <c r="G310" i="2"/>
  <c r="H310" i="2" s="1"/>
  <c r="I310" i="2" s="1"/>
  <c r="G311" i="2"/>
  <c r="H311" i="2" s="1"/>
  <c r="I311" i="2" s="1"/>
  <c r="G312" i="2"/>
  <c r="H312" i="2" s="1"/>
  <c r="I312" i="2" s="1"/>
  <c r="G313" i="2"/>
  <c r="H313" i="2" s="1"/>
  <c r="I313" i="2" s="1"/>
  <c r="G314" i="2"/>
  <c r="H314" i="2" s="1"/>
  <c r="I314" i="2" s="1"/>
  <c r="G315" i="2"/>
  <c r="H315" i="2" s="1"/>
  <c r="I315" i="2" s="1"/>
  <c r="G316" i="2"/>
  <c r="H316" i="2" s="1"/>
  <c r="I316" i="2" s="1"/>
  <c r="G317" i="2"/>
  <c r="H317" i="2" s="1"/>
  <c r="I317" i="2" s="1"/>
  <c r="G318" i="2"/>
  <c r="H318" i="2" s="1"/>
  <c r="I318" i="2" s="1"/>
  <c r="G319" i="2"/>
  <c r="H319" i="2" s="1"/>
  <c r="I319" i="2" s="1"/>
  <c r="G320" i="2"/>
  <c r="H320" i="2" s="1"/>
  <c r="I320" i="2" s="1"/>
  <c r="G321" i="2"/>
  <c r="H321" i="2" s="1"/>
  <c r="I321" i="2" s="1"/>
  <c r="G322" i="2"/>
  <c r="H322" i="2" s="1"/>
  <c r="I322" i="2" s="1"/>
  <c r="G323" i="2"/>
  <c r="H323" i="2" s="1"/>
  <c r="I323" i="2" s="1"/>
  <c r="G324" i="2"/>
  <c r="H324" i="2" s="1"/>
  <c r="I324" i="2" s="1"/>
  <c r="G325" i="2"/>
  <c r="H325" i="2" s="1"/>
  <c r="I325" i="2" s="1"/>
  <c r="G326" i="2"/>
  <c r="H326" i="2" s="1"/>
  <c r="I326" i="2" s="1"/>
  <c r="G327" i="2"/>
  <c r="H327" i="2" s="1"/>
  <c r="I327" i="2" s="1"/>
  <c r="G328" i="2"/>
  <c r="H328" i="2" s="1"/>
  <c r="I328" i="2" s="1"/>
  <c r="G329" i="2"/>
  <c r="H329" i="2" s="1"/>
  <c r="I329" i="2" s="1"/>
  <c r="G330" i="2"/>
  <c r="H330" i="2" s="1"/>
  <c r="I330" i="2" s="1"/>
  <c r="G331" i="2"/>
  <c r="H331" i="2" s="1"/>
  <c r="I331" i="2" s="1"/>
  <c r="G332" i="2"/>
  <c r="H332" i="2" s="1"/>
  <c r="I332" i="2" s="1"/>
  <c r="G333" i="2"/>
  <c r="H333" i="2" s="1"/>
  <c r="I333" i="2" s="1"/>
  <c r="G334" i="2"/>
  <c r="H334" i="2" s="1"/>
  <c r="I334" i="2" s="1"/>
  <c r="G335" i="2"/>
  <c r="H335" i="2" s="1"/>
  <c r="I335" i="2" s="1"/>
  <c r="G336" i="2"/>
  <c r="H336" i="2" s="1"/>
  <c r="I336" i="2" s="1"/>
  <c r="G337" i="2"/>
  <c r="H337" i="2" s="1"/>
  <c r="I337" i="2" s="1"/>
  <c r="G338" i="2"/>
  <c r="H338" i="2" s="1"/>
  <c r="I338" i="2" s="1"/>
  <c r="G339" i="2"/>
  <c r="H339" i="2" s="1"/>
  <c r="I339" i="2" s="1"/>
  <c r="G340" i="2"/>
  <c r="H340" i="2" s="1"/>
  <c r="I340" i="2" s="1"/>
  <c r="G341" i="2"/>
  <c r="H341" i="2" s="1"/>
  <c r="I341" i="2" s="1"/>
  <c r="G342" i="2"/>
  <c r="H342" i="2" s="1"/>
  <c r="I342" i="2" s="1"/>
  <c r="G343" i="2"/>
  <c r="H343" i="2" s="1"/>
  <c r="I343" i="2" s="1"/>
  <c r="G344" i="2"/>
  <c r="H344" i="2" s="1"/>
  <c r="I344" i="2" s="1"/>
  <c r="G345" i="2"/>
  <c r="H345" i="2" s="1"/>
  <c r="I345" i="2" s="1"/>
  <c r="G346" i="2"/>
  <c r="H346" i="2" s="1"/>
  <c r="I346" i="2" s="1"/>
  <c r="G347" i="2"/>
  <c r="H347" i="2" s="1"/>
  <c r="I347" i="2" s="1"/>
  <c r="G348" i="2"/>
  <c r="H348" i="2" s="1"/>
  <c r="I348" i="2" s="1"/>
  <c r="G349" i="2"/>
  <c r="H349" i="2" s="1"/>
  <c r="I349" i="2" s="1"/>
  <c r="G350" i="2"/>
  <c r="H350" i="2" s="1"/>
  <c r="I350" i="2" s="1"/>
  <c r="G351" i="2"/>
  <c r="H351" i="2" s="1"/>
  <c r="I351" i="2" s="1"/>
  <c r="G352" i="2"/>
  <c r="H352" i="2" s="1"/>
  <c r="I352" i="2" s="1"/>
  <c r="G353" i="2"/>
  <c r="H353" i="2" s="1"/>
  <c r="I353" i="2" s="1"/>
  <c r="G354" i="2"/>
  <c r="H354" i="2" s="1"/>
  <c r="I354" i="2" s="1"/>
  <c r="G355" i="2"/>
  <c r="H355" i="2" s="1"/>
  <c r="I355" i="2" s="1"/>
  <c r="G356" i="2"/>
  <c r="H356" i="2" s="1"/>
  <c r="I356" i="2" s="1"/>
  <c r="G357" i="2"/>
  <c r="H357" i="2" s="1"/>
  <c r="I357" i="2" s="1"/>
  <c r="G358" i="2"/>
  <c r="H358" i="2" s="1"/>
  <c r="I358" i="2" s="1"/>
  <c r="G359" i="2"/>
  <c r="H359" i="2" s="1"/>
  <c r="I359" i="2" s="1"/>
  <c r="G360" i="2"/>
  <c r="H360" i="2" s="1"/>
  <c r="I360" i="2" s="1"/>
  <c r="G361" i="2"/>
  <c r="H361" i="2" s="1"/>
  <c r="I361" i="2" s="1"/>
  <c r="G362" i="2"/>
  <c r="H362" i="2" s="1"/>
  <c r="I362" i="2" s="1"/>
  <c r="G363" i="2"/>
  <c r="H363" i="2" s="1"/>
  <c r="I363" i="2" s="1"/>
  <c r="G364" i="2"/>
  <c r="H364" i="2" s="1"/>
  <c r="I364" i="2" s="1"/>
  <c r="G365" i="2"/>
  <c r="H365" i="2" s="1"/>
  <c r="I365" i="2" s="1"/>
  <c r="G366" i="2"/>
  <c r="H366" i="2" s="1"/>
  <c r="I366" i="2" s="1"/>
  <c r="G367" i="2"/>
  <c r="H367" i="2" s="1"/>
  <c r="I367" i="2" s="1"/>
  <c r="G368" i="2"/>
  <c r="H368" i="2" s="1"/>
  <c r="I368" i="2" s="1"/>
  <c r="G369" i="2"/>
  <c r="H369" i="2" s="1"/>
  <c r="I369" i="2" s="1"/>
  <c r="G370" i="2"/>
  <c r="H370" i="2" s="1"/>
  <c r="I370" i="2" s="1"/>
  <c r="G371" i="2"/>
  <c r="H371" i="2" s="1"/>
  <c r="I371" i="2" s="1"/>
  <c r="G372" i="2"/>
  <c r="H372" i="2" s="1"/>
  <c r="I372" i="2" s="1"/>
  <c r="G373" i="2"/>
  <c r="G374" i="2"/>
  <c r="G375" i="2"/>
  <c r="H375" i="2" s="1"/>
  <c r="I375" i="2" s="1"/>
  <c r="G376" i="2"/>
  <c r="G377" i="2"/>
  <c r="H377" i="2" s="1"/>
  <c r="I377" i="2" s="1"/>
  <c r="G378" i="2"/>
  <c r="H378" i="2" s="1"/>
  <c r="I378" i="2" s="1"/>
  <c r="G379" i="2"/>
  <c r="H379" i="2" s="1"/>
  <c r="I379" i="2" s="1"/>
  <c r="G380" i="2"/>
  <c r="H380" i="2" s="1"/>
  <c r="I380" i="2" s="1"/>
  <c r="G381" i="2"/>
  <c r="H381" i="2" s="1"/>
  <c r="I381" i="2" s="1"/>
  <c r="G382" i="2"/>
  <c r="H382" i="2" s="1"/>
  <c r="I382" i="2" s="1"/>
  <c r="G383" i="2"/>
  <c r="H383" i="2" s="1"/>
  <c r="I383" i="2" s="1"/>
  <c r="G384" i="2"/>
  <c r="H384" i="2" s="1"/>
  <c r="I384" i="2" s="1"/>
  <c r="G385" i="2"/>
  <c r="H385" i="2" s="1"/>
  <c r="I385" i="2" s="1"/>
  <c r="G386" i="2"/>
  <c r="H386" i="2" s="1"/>
  <c r="I386" i="2" s="1"/>
  <c r="G387" i="2"/>
  <c r="H387" i="2" s="1"/>
  <c r="I387" i="2" s="1"/>
  <c r="G388" i="2"/>
  <c r="H388" i="2" s="1"/>
  <c r="I388" i="2" s="1"/>
  <c r="G389" i="2"/>
  <c r="H389" i="2" s="1"/>
  <c r="I389" i="2" s="1"/>
  <c r="G390" i="2"/>
  <c r="H390" i="2" s="1"/>
  <c r="I390" i="2" s="1"/>
  <c r="G391" i="2"/>
  <c r="H391" i="2" s="1"/>
  <c r="I391" i="2" s="1"/>
  <c r="G392" i="2"/>
  <c r="H392" i="2" s="1"/>
  <c r="I392" i="2" s="1"/>
  <c r="G393" i="2"/>
  <c r="H393" i="2" s="1"/>
  <c r="I393" i="2" s="1"/>
  <c r="G394" i="2"/>
  <c r="H394" i="2" s="1"/>
  <c r="I394" i="2" s="1"/>
  <c r="G395" i="2"/>
  <c r="H395" i="2" s="1"/>
  <c r="I395" i="2" s="1"/>
  <c r="G396" i="2"/>
  <c r="H396" i="2" s="1"/>
  <c r="I396" i="2" s="1"/>
  <c r="G397" i="2"/>
  <c r="H397" i="2" s="1"/>
  <c r="I397" i="2" s="1"/>
  <c r="G398" i="2"/>
  <c r="H398" i="2" s="1"/>
  <c r="I398" i="2" s="1"/>
  <c r="G399" i="2"/>
  <c r="H399" i="2" s="1"/>
  <c r="I399" i="2" s="1"/>
  <c r="G400" i="2"/>
  <c r="H400" i="2" s="1"/>
  <c r="I400" i="2" s="1"/>
  <c r="G401" i="2"/>
  <c r="H401" i="2" s="1"/>
  <c r="I401" i="2" s="1"/>
  <c r="G402" i="2"/>
  <c r="H402" i="2" s="1"/>
  <c r="I402" i="2" s="1"/>
  <c r="G403" i="2"/>
  <c r="H403" i="2" s="1"/>
  <c r="I403" i="2" s="1"/>
  <c r="G404" i="2"/>
  <c r="H404" i="2" s="1"/>
  <c r="I404" i="2" s="1"/>
  <c r="G405" i="2"/>
  <c r="H405" i="2" s="1"/>
  <c r="I405" i="2" s="1"/>
  <c r="G406" i="2"/>
  <c r="H406" i="2" s="1"/>
  <c r="I406" i="2" s="1"/>
  <c r="G407" i="2"/>
  <c r="H407" i="2" s="1"/>
  <c r="I407" i="2" s="1"/>
  <c r="G408" i="2"/>
  <c r="H408" i="2" s="1"/>
  <c r="I408" i="2" s="1"/>
  <c r="G409" i="2"/>
  <c r="H409" i="2" s="1"/>
  <c r="I409" i="2" s="1"/>
  <c r="G410" i="2"/>
  <c r="H410" i="2" s="1"/>
  <c r="I410" i="2" s="1"/>
  <c r="G411" i="2"/>
  <c r="H411" i="2" s="1"/>
  <c r="I411" i="2" s="1"/>
  <c r="G412" i="2"/>
  <c r="H412" i="2" s="1"/>
  <c r="I412" i="2" s="1"/>
  <c r="G413" i="2"/>
  <c r="H413" i="2" s="1"/>
  <c r="I413" i="2" s="1"/>
  <c r="G414" i="2"/>
  <c r="H414" i="2" s="1"/>
  <c r="I414" i="2" s="1"/>
  <c r="G415" i="2"/>
  <c r="H415" i="2" s="1"/>
  <c r="I415" i="2" s="1"/>
  <c r="G416" i="2"/>
  <c r="G417" i="2"/>
  <c r="H417" i="2" s="1"/>
  <c r="I417" i="2" s="1"/>
  <c r="G418" i="2"/>
  <c r="H418" i="2" s="1"/>
  <c r="I418" i="2" s="1"/>
  <c r="G419" i="2"/>
  <c r="H419" i="2" s="1"/>
  <c r="I419" i="2" s="1"/>
  <c r="G420" i="2"/>
  <c r="H420" i="2" s="1"/>
  <c r="I420" i="2" s="1"/>
  <c r="G421" i="2"/>
  <c r="H421" i="2" s="1"/>
  <c r="I421" i="2" s="1"/>
  <c r="G422" i="2"/>
  <c r="H422" i="2" s="1"/>
  <c r="I422" i="2" s="1"/>
  <c r="G423" i="2"/>
  <c r="H423" i="2" s="1"/>
  <c r="I423" i="2" s="1"/>
  <c r="G424" i="2"/>
  <c r="H424" i="2" s="1"/>
  <c r="I424" i="2" s="1"/>
  <c r="G425" i="2"/>
  <c r="H425" i="2" s="1"/>
  <c r="I425" i="2" s="1"/>
  <c r="G426" i="2"/>
  <c r="H426" i="2" s="1"/>
  <c r="I426" i="2" s="1"/>
  <c r="G427" i="2"/>
  <c r="H427" i="2" s="1"/>
  <c r="I427" i="2" s="1"/>
  <c r="G428" i="2"/>
  <c r="H428" i="2" s="1"/>
  <c r="I428" i="2" s="1"/>
  <c r="G429" i="2"/>
  <c r="H429" i="2" s="1"/>
  <c r="I429" i="2" s="1"/>
  <c r="G430" i="2"/>
  <c r="H430" i="2" s="1"/>
  <c r="I430" i="2" s="1"/>
  <c r="G431" i="2"/>
  <c r="H431" i="2" s="1"/>
  <c r="I431" i="2" s="1"/>
  <c r="G432" i="2"/>
  <c r="H432" i="2" s="1"/>
  <c r="I432" i="2" s="1"/>
  <c r="G433" i="2"/>
  <c r="H433" i="2" s="1"/>
  <c r="I433" i="2" s="1"/>
  <c r="G434" i="2"/>
  <c r="H434" i="2" s="1"/>
  <c r="I434" i="2" s="1"/>
  <c r="G435" i="2"/>
  <c r="H435" i="2" s="1"/>
  <c r="I435" i="2" s="1"/>
  <c r="G436" i="2"/>
  <c r="H436" i="2" s="1"/>
  <c r="I436" i="2" s="1"/>
  <c r="G437" i="2"/>
  <c r="H437" i="2" s="1"/>
  <c r="I437" i="2" s="1"/>
  <c r="G438" i="2"/>
  <c r="H438" i="2" s="1"/>
  <c r="I438" i="2" s="1"/>
  <c r="G439" i="2"/>
  <c r="H439" i="2" s="1"/>
  <c r="I439" i="2" s="1"/>
  <c r="G440" i="2"/>
  <c r="H440" i="2" s="1"/>
  <c r="I440" i="2" s="1"/>
  <c r="G441" i="2"/>
  <c r="H441" i="2" s="1"/>
  <c r="I441" i="2" s="1"/>
  <c r="G442" i="2"/>
  <c r="H442" i="2" s="1"/>
  <c r="I442" i="2" s="1"/>
  <c r="G443" i="2"/>
  <c r="H443" i="2" s="1"/>
  <c r="I443" i="2" s="1"/>
  <c r="G444" i="2"/>
  <c r="H444" i="2" s="1"/>
  <c r="I444" i="2" s="1"/>
  <c r="G445" i="2"/>
  <c r="G446" i="2"/>
  <c r="H446" i="2" s="1"/>
  <c r="I446" i="2" s="1"/>
  <c r="G447" i="2"/>
  <c r="H447" i="2" s="1"/>
  <c r="I447" i="2" s="1"/>
  <c r="G448" i="2"/>
  <c r="H448" i="2" s="1"/>
  <c r="I448" i="2" s="1"/>
  <c r="G449" i="2"/>
  <c r="H449" i="2" s="1"/>
  <c r="I449" i="2" s="1"/>
  <c r="G450" i="2"/>
  <c r="H450" i="2" s="1"/>
  <c r="I450" i="2" s="1"/>
  <c r="G451" i="2"/>
  <c r="H451" i="2" s="1"/>
  <c r="I451" i="2" s="1"/>
  <c r="G452" i="2"/>
  <c r="H452" i="2" s="1"/>
  <c r="I452" i="2" s="1"/>
  <c r="G453" i="2"/>
  <c r="H453" i="2" s="1"/>
  <c r="I453" i="2" s="1"/>
  <c r="G454" i="2"/>
  <c r="H454" i="2" s="1"/>
  <c r="I454" i="2" s="1"/>
  <c r="G455" i="2"/>
  <c r="H455" i="2" s="1"/>
  <c r="I455" i="2" s="1"/>
  <c r="G456" i="2"/>
  <c r="H456" i="2" s="1"/>
  <c r="I456" i="2" s="1"/>
  <c r="G457" i="2"/>
  <c r="G458" i="2"/>
  <c r="G459" i="2"/>
  <c r="H459" i="2" s="1"/>
  <c r="I459" i="2" s="1"/>
  <c r="G460" i="2"/>
  <c r="H460" i="2" s="1"/>
  <c r="I460" i="2" s="1"/>
  <c r="G461" i="2"/>
  <c r="H461" i="2" s="1"/>
  <c r="I461" i="2" s="1"/>
  <c r="G462" i="2"/>
  <c r="H462" i="2" s="1"/>
  <c r="I462" i="2" s="1"/>
  <c r="G463" i="2"/>
  <c r="H463" i="2" s="1"/>
  <c r="I463" i="2" s="1"/>
  <c r="G464" i="2"/>
  <c r="H464" i="2" s="1"/>
  <c r="I464" i="2" s="1"/>
  <c r="G465" i="2"/>
  <c r="H465" i="2" s="1"/>
  <c r="I465" i="2" s="1"/>
  <c r="G466" i="2"/>
  <c r="H466" i="2" s="1"/>
  <c r="I466" i="2" s="1"/>
  <c r="G467" i="2"/>
  <c r="H467" i="2" s="1"/>
  <c r="I467" i="2" s="1"/>
  <c r="G468" i="2"/>
  <c r="H468" i="2" s="1"/>
  <c r="I468" i="2" s="1"/>
  <c r="G469" i="2"/>
  <c r="H469" i="2" s="1"/>
  <c r="I469" i="2" s="1"/>
  <c r="G470" i="2"/>
  <c r="H470" i="2" s="1"/>
  <c r="I470" i="2" s="1"/>
  <c r="G471" i="2"/>
  <c r="H471" i="2" s="1"/>
  <c r="I471" i="2" s="1"/>
  <c r="G472" i="2"/>
  <c r="H472" i="2" s="1"/>
  <c r="I472" i="2" s="1"/>
  <c r="G473" i="2"/>
  <c r="H473" i="2" s="1"/>
  <c r="I473" i="2" s="1"/>
  <c r="G474" i="2"/>
  <c r="H474" i="2" s="1"/>
  <c r="I474" i="2" s="1"/>
  <c r="G475" i="2"/>
  <c r="H475" i="2" s="1"/>
  <c r="I475" i="2" s="1"/>
  <c r="G476" i="2"/>
  <c r="H476" i="2" s="1"/>
  <c r="I476" i="2" s="1"/>
  <c r="G477" i="2"/>
  <c r="H477" i="2" s="1"/>
  <c r="I477" i="2" s="1"/>
  <c r="G478" i="2"/>
  <c r="H478" i="2" s="1"/>
  <c r="I478" i="2" s="1"/>
  <c r="G479" i="2"/>
  <c r="G480" i="2"/>
  <c r="H480" i="2" s="1"/>
  <c r="I480" i="2" s="1"/>
  <c r="G481" i="2"/>
  <c r="H481" i="2" s="1"/>
  <c r="I481" i="2" s="1"/>
  <c r="G482" i="2"/>
  <c r="H482" i="2" s="1"/>
  <c r="I482" i="2" s="1"/>
  <c r="G483" i="2"/>
  <c r="H483" i="2" s="1"/>
  <c r="I483" i="2" s="1"/>
  <c r="G484" i="2"/>
  <c r="H484" i="2" s="1"/>
  <c r="I484" i="2" s="1"/>
  <c r="G485" i="2"/>
  <c r="H485" i="2" s="1"/>
  <c r="I485" i="2" s="1"/>
  <c r="G486" i="2"/>
  <c r="H486" i="2" s="1"/>
  <c r="I486" i="2" s="1"/>
  <c r="G487" i="2"/>
  <c r="H487" i="2" s="1"/>
  <c r="I487" i="2" s="1"/>
  <c r="G488" i="2"/>
  <c r="H488" i="2" s="1"/>
  <c r="I488" i="2" s="1"/>
  <c r="G489" i="2"/>
  <c r="H489" i="2" s="1"/>
  <c r="I489" i="2" s="1"/>
  <c r="G490" i="2"/>
  <c r="H490" i="2" s="1"/>
  <c r="I490" i="2" s="1"/>
  <c r="G491" i="2"/>
  <c r="H491" i="2" s="1"/>
  <c r="I491" i="2" s="1"/>
  <c r="G492" i="2"/>
  <c r="H492" i="2" s="1"/>
  <c r="I492" i="2" s="1"/>
  <c r="G493" i="2"/>
  <c r="H493" i="2" s="1"/>
  <c r="I493" i="2" s="1"/>
  <c r="G494" i="2"/>
  <c r="H494" i="2" s="1"/>
  <c r="I494" i="2" s="1"/>
  <c r="G495" i="2"/>
  <c r="H495" i="2" s="1"/>
  <c r="I495" i="2" s="1"/>
  <c r="G496" i="2"/>
  <c r="H496" i="2" s="1"/>
  <c r="I496" i="2" s="1"/>
  <c r="G497" i="2"/>
  <c r="H497" i="2" s="1"/>
  <c r="I497" i="2" s="1"/>
  <c r="G498" i="2"/>
  <c r="H498" i="2" s="1"/>
  <c r="I498" i="2" s="1"/>
  <c r="G499" i="2"/>
  <c r="H499" i="2" s="1"/>
  <c r="I499" i="2" s="1"/>
  <c r="G500" i="2"/>
  <c r="H500" i="2" s="1"/>
  <c r="I500" i="2" s="1"/>
  <c r="G501" i="2"/>
  <c r="H501" i="2" s="1"/>
  <c r="I501" i="2" s="1"/>
  <c r="G502" i="2"/>
  <c r="H502" i="2" s="1"/>
  <c r="I502" i="2" s="1"/>
  <c r="G503" i="2"/>
  <c r="H503" i="2" s="1"/>
  <c r="I503" i="2" s="1"/>
  <c r="G504" i="2"/>
  <c r="H504" i="2" s="1"/>
  <c r="I504" i="2" s="1"/>
  <c r="G505" i="2"/>
  <c r="H505" i="2" s="1"/>
  <c r="I505" i="2" s="1"/>
  <c r="G506" i="2"/>
  <c r="H506" i="2" s="1"/>
  <c r="I506" i="2" s="1"/>
  <c r="G507" i="2"/>
  <c r="G508" i="2"/>
  <c r="H508" i="2" s="1"/>
  <c r="I508" i="2" s="1"/>
  <c r="G509" i="2"/>
  <c r="H509" i="2" s="1"/>
  <c r="I509" i="2" s="1"/>
  <c r="G510" i="2"/>
  <c r="H510" i="2" s="1"/>
  <c r="I510" i="2" s="1"/>
  <c r="G511" i="2"/>
  <c r="H511" i="2" s="1"/>
  <c r="I511" i="2" s="1"/>
  <c r="G512" i="2"/>
  <c r="H512" i="2" s="1"/>
  <c r="I512" i="2" s="1"/>
  <c r="G513" i="2"/>
  <c r="H513" i="2" s="1"/>
  <c r="I513" i="2" s="1"/>
  <c r="G514" i="2"/>
  <c r="H514" i="2" s="1"/>
  <c r="I514" i="2" s="1"/>
  <c r="G515" i="2"/>
  <c r="H515" i="2" s="1"/>
  <c r="I515" i="2" s="1"/>
  <c r="G516" i="2"/>
  <c r="H516" i="2" s="1"/>
  <c r="I516" i="2" s="1"/>
  <c r="G517" i="2"/>
  <c r="H517" i="2" s="1"/>
  <c r="I517" i="2" s="1"/>
  <c r="G518" i="2"/>
  <c r="H518" i="2" s="1"/>
  <c r="I518" i="2" s="1"/>
  <c r="G519" i="2"/>
  <c r="H519" i="2" s="1"/>
  <c r="I519" i="2" s="1"/>
  <c r="G520" i="2"/>
  <c r="H520" i="2" s="1"/>
  <c r="I520" i="2" s="1"/>
  <c r="G521" i="2"/>
  <c r="H521" i="2" s="1"/>
  <c r="I521" i="2" s="1"/>
  <c r="G522" i="2"/>
  <c r="H522" i="2" s="1"/>
  <c r="I522" i="2" s="1"/>
  <c r="G523" i="2"/>
  <c r="H523" i="2" s="1"/>
  <c r="I523" i="2" s="1"/>
  <c r="G524" i="2"/>
  <c r="H524" i="2" s="1"/>
  <c r="I524" i="2" s="1"/>
  <c r="G525" i="2"/>
  <c r="H525" i="2" s="1"/>
  <c r="I525" i="2" s="1"/>
  <c r="G526" i="2"/>
  <c r="H526" i="2" s="1"/>
  <c r="I526" i="2" s="1"/>
  <c r="G527" i="2"/>
  <c r="H527" i="2" s="1"/>
  <c r="I527" i="2" s="1"/>
  <c r="G528" i="2"/>
  <c r="H528" i="2" s="1"/>
  <c r="I528" i="2" s="1"/>
  <c r="G529" i="2"/>
  <c r="H529" i="2" s="1"/>
  <c r="I529" i="2" s="1"/>
  <c r="G530" i="2"/>
  <c r="H530" i="2" s="1"/>
  <c r="I530" i="2" s="1"/>
  <c r="G531" i="2"/>
  <c r="G532" i="2"/>
  <c r="H532" i="2" s="1"/>
  <c r="I532" i="2" s="1"/>
  <c r="G533" i="2"/>
  <c r="H533" i="2" s="1"/>
  <c r="I533" i="2" s="1"/>
  <c r="G534" i="2"/>
  <c r="H534" i="2" s="1"/>
  <c r="I534" i="2" s="1"/>
  <c r="G535" i="2"/>
  <c r="H535" i="2" s="1"/>
  <c r="I535" i="2" s="1"/>
  <c r="G536" i="2"/>
  <c r="H536" i="2" s="1"/>
  <c r="I536" i="2" s="1"/>
  <c r="G537" i="2"/>
  <c r="H537" i="2" s="1"/>
  <c r="I537" i="2" s="1"/>
  <c r="G538" i="2"/>
  <c r="H538" i="2" s="1"/>
  <c r="I538" i="2" s="1"/>
  <c r="G539" i="2"/>
  <c r="H539" i="2" s="1"/>
  <c r="I539" i="2" s="1"/>
  <c r="G540" i="2"/>
  <c r="H540" i="2" s="1"/>
  <c r="I540" i="2" s="1"/>
  <c r="G541" i="2"/>
  <c r="H541" i="2" s="1"/>
  <c r="I541" i="2" s="1"/>
  <c r="G542" i="2"/>
  <c r="G543" i="2"/>
  <c r="G544" i="2"/>
  <c r="H544" i="2" s="1"/>
  <c r="I544" i="2" s="1"/>
  <c r="G545" i="2"/>
  <c r="H545" i="2" s="1"/>
  <c r="I545" i="2" s="1"/>
  <c r="G546" i="2"/>
  <c r="H546" i="2" s="1"/>
  <c r="I546" i="2" s="1"/>
  <c r="G547" i="2"/>
  <c r="H547" i="2" s="1"/>
  <c r="I547" i="2" s="1"/>
  <c r="G548" i="2"/>
  <c r="H548" i="2" s="1"/>
  <c r="I548" i="2" s="1"/>
  <c r="G549" i="2"/>
  <c r="H549" i="2" s="1"/>
  <c r="I549" i="2" s="1"/>
  <c r="G550" i="2"/>
  <c r="H550" i="2" s="1"/>
  <c r="I550" i="2" s="1"/>
  <c r="G551" i="2"/>
  <c r="H551" i="2" s="1"/>
  <c r="I551" i="2" s="1"/>
  <c r="G552" i="2"/>
  <c r="H552" i="2" s="1"/>
  <c r="I552" i="2" s="1"/>
  <c r="G553" i="2"/>
  <c r="H553" i="2" s="1"/>
  <c r="I553" i="2" s="1"/>
  <c r="G554" i="2"/>
  <c r="H554" i="2" s="1"/>
  <c r="I554" i="2" s="1"/>
  <c r="G555" i="2"/>
  <c r="H555" i="2" s="1"/>
  <c r="I555" i="2" s="1"/>
  <c r="G556" i="2"/>
  <c r="H556" i="2" s="1"/>
  <c r="I556" i="2" s="1"/>
  <c r="G557" i="2"/>
  <c r="H557" i="2" s="1"/>
  <c r="I557" i="2" s="1"/>
  <c r="G558" i="2"/>
  <c r="H558" i="2" s="1"/>
  <c r="I558" i="2" s="1"/>
  <c r="G559" i="2"/>
  <c r="H559" i="2" s="1"/>
  <c r="I559" i="2" s="1"/>
  <c r="G560" i="2"/>
  <c r="H560" i="2" s="1"/>
  <c r="I560" i="2" s="1"/>
  <c r="G561" i="2"/>
  <c r="H561" i="2" s="1"/>
  <c r="I561" i="2" s="1"/>
  <c r="G562" i="2"/>
  <c r="H562" i="2" s="1"/>
  <c r="I562" i="2" s="1"/>
  <c r="G563" i="2"/>
  <c r="H563" i="2" s="1"/>
  <c r="I563" i="2" s="1"/>
  <c r="G564" i="2"/>
  <c r="H564" i="2" s="1"/>
  <c r="I564" i="2" s="1"/>
  <c r="G565" i="2"/>
  <c r="H565" i="2" s="1"/>
  <c r="I565" i="2" s="1"/>
  <c r="G566" i="2"/>
  <c r="H566" i="2" s="1"/>
  <c r="I566" i="2" s="1"/>
  <c r="G567" i="2"/>
  <c r="H567" i="2" s="1"/>
  <c r="I567" i="2" s="1"/>
  <c r="G568" i="2"/>
  <c r="H568" i="2" s="1"/>
  <c r="I568" i="2" s="1"/>
  <c r="G569" i="2"/>
  <c r="G570" i="2"/>
  <c r="H570" i="2" s="1"/>
  <c r="I570" i="2" s="1"/>
  <c r="G571" i="2"/>
  <c r="H571" i="2" s="1"/>
  <c r="I571" i="2" s="1"/>
  <c r="G572" i="2"/>
  <c r="H572" i="2" s="1"/>
  <c r="I572" i="2" s="1"/>
  <c r="G573" i="2"/>
  <c r="H573" i="2" s="1"/>
  <c r="I573" i="2" s="1"/>
  <c r="G574" i="2"/>
  <c r="H574" i="2" s="1"/>
  <c r="I574" i="2" s="1"/>
  <c r="G575" i="2"/>
  <c r="H575" i="2" s="1"/>
  <c r="I575" i="2" s="1"/>
  <c r="G576" i="2"/>
  <c r="H576" i="2" s="1"/>
  <c r="I576" i="2" s="1"/>
  <c r="G577" i="2"/>
  <c r="G578" i="2"/>
  <c r="H578" i="2" s="1"/>
  <c r="I578" i="2" s="1"/>
  <c r="G579" i="2"/>
  <c r="H579" i="2" s="1"/>
  <c r="I579" i="2" s="1"/>
  <c r="G580" i="2"/>
  <c r="H580" i="2" s="1"/>
  <c r="I580" i="2" s="1"/>
  <c r="G581" i="2"/>
  <c r="H581" i="2" s="1"/>
  <c r="I581" i="2" s="1"/>
  <c r="G582" i="2"/>
  <c r="H582" i="2" s="1"/>
  <c r="I582" i="2" s="1"/>
  <c r="G583" i="2"/>
  <c r="H583" i="2" s="1"/>
  <c r="I583" i="2" s="1"/>
  <c r="G584" i="2"/>
  <c r="H584" i="2" s="1"/>
  <c r="I584" i="2" s="1"/>
  <c r="G585" i="2"/>
  <c r="H585" i="2" s="1"/>
  <c r="I585" i="2" s="1"/>
  <c r="G586" i="2"/>
  <c r="H586" i="2" s="1"/>
  <c r="I586" i="2" s="1"/>
  <c r="G587" i="2"/>
  <c r="H587" i="2" s="1"/>
  <c r="I587" i="2" s="1"/>
  <c r="G588" i="2"/>
  <c r="H588" i="2" s="1"/>
  <c r="I588" i="2" s="1"/>
  <c r="G589" i="2"/>
  <c r="H589" i="2" s="1"/>
  <c r="I589" i="2" s="1"/>
  <c r="G590" i="2"/>
  <c r="H590" i="2" s="1"/>
  <c r="I590" i="2" s="1"/>
  <c r="G591" i="2"/>
  <c r="H591" i="2" s="1"/>
  <c r="I591" i="2" s="1"/>
  <c r="G592" i="2"/>
  <c r="H592" i="2" s="1"/>
  <c r="I592" i="2" s="1"/>
  <c r="G593" i="2"/>
  <c r="G594" i="2"/>
  <c r="H594" i="2" s="1"/>
  <c r="I594" i="2" s="1"/>
  <c r="G595" i="2"/>
  <c r="H595" i="2" s="1"/>
  <c r="I595" i="2" s="1"/>
  <c r="G596" i="2"/>
  <c r="H596" i="2" s="1"/>
  <c r="I596" i="2" s="1"/>
  <c r="G597" i="2"/>
  <c r="H597" i="2" s="1"/>
  <c r="I597" i="2" s="1"/>
  <c r="G598" i="2"/>
  <c r="G599" i="2"/>
  <c r="H599" i="2" s="1"/>
  <c r="I599" i="2" s="1"/>
  <c r="G600" i="2"/>
  <c r="H600" i="2" s="1"/>
  <c r="I600" i="2" s="1"/>
  <c r="G601" i="2"/>
  <c r="H601" i="2" s="1"/>
  <c r="I601" i="2" s="1"/>
  <c r="G602" i="2"/>
  <c r="H602" i="2" s="1"/>
  <c r="I602" i="2" s="1"/>
  <c r="G603" i="2"/>
  <c r="H603" i="2" s="1"/>
  <c r="I603" i="2" s="1"/>
  <c r="G604" i="2"/>
  <c r="H604" i="2" s="1"/>
  <c r="I604" i="2" s="1"/>
  <c r="G605" i="2"/>
  <c r="H605" i="2" s="1"/>
  <c r="I605" i="2" s="1"/>
  <c r="G606" i="2"/>
  <c r="H606" i="2" s="1"/>
  <c r="I606" i="2" s="1"/>
  <c r="G607" i="2"/>
  <c r="H607" i="2" s="1"/>
  <c r="I607" i="2" s="1"/>
  <c r="G608" i="2"/>
  <c r="H608" i="2" s="1"/>
  <c r="I608" i="2" s="1"/>
  <c r="G609" i="2"/>
  <c r="H609" i="2" s="1"/>
  <c r="I609" i="2" s="1"/>
  <c r="G610" i="2"/>
  <c r="H610" i="2" s="1"/>
  <c r="I610" i="2" s="1"/>
  <c r="G611" i="2"/>
  <c r="H611" i="2" s="1"/>
  <c r="I611" i="2" s="1"/>
  <c r="G612" i="2"/>
  <c r="H612" i="2" s="1"/>
  <c r="I612" i="2" s="1"/>
  <c r="G613" i="2"/>
  <c r="H613" i="2" s="1"/>
  <c r="I613" i="2" s="1"/>
  <c r="G614" i="2"/>
  <c r="H614" i="2" s="1"/>
  <c r="I614" i="2" s="1"/>
  <c r="G615" i="2"/>
  <c r="H615" i="2" s="1"/>
  <c r="I615" i="2" s="1"/>
  <c r="G616" i="2"/>
  <c r="H616" i="2" s="1"/>
  <c r="I616" i="2" s="1"/>
  <c r="G617" i="2"/>
  <c r="H617" i="2" s="1"/>
  <c r="I617" i="2" s="1"/>
  <c r="G618" i="2"/>
  <c r="H618" i="2" s="1"/>
  <c r="I618" i="2" s="1"/>
  <c r="G619" i="2"/>
  <c r="H619" i="2" s="1"/>
  <c r="I619" i="2" s="1"/>
  <c r="G620" i="2"/>
  <c r="H620" i="2" s="1"/>
  <c r="I620" i="2" s="1"/>
  <c r="G621" i="2"/>
  <c r="H621" i="2" s="1"/>
  <c r="I621" i="2" s="1"/>
  <c r="G622" i="2"/>
  <c r="H622" i="2" s="1"/>
  <c r="I622" i="2" s="1"/>
  <c r="G623" i="2"/>
  <c r="H623" i="2" s="1"/>
  <c r="I623" i="2" s="1"/>
  <c r="G624" i="2"/>
  <c r="H624" i="2" s="1"/>
  <c r="I624" i="2" s="1"/>
  <c r="G625" i="2"/>
  <c r="G626" i="2"/>
  <c r="H626" i="2" s="1"/>
  <c r="I626" i="2" s="1"/>
  <c r="G627" i="2"/>
  <c r="G628" i="2"/>
  <c r="G629" i="2"/>
  <c r="G630" i="2"/>
  <c r="H630" i="2" s="1"/>
  <c r="I630" i="2" s="1"/>
  <c r="G631" i="2"/>
  <c r="H631" i="2" s="1"/>
  <c r="I631" i="2" s="1"/>
  <c r="G632" i="2"/>
  <c r="H632" i="2" s="1"/>
  <c r="I632" i="2" s="1"/>
  <c r="G633" i="2"/>
  <c r="H633" i="2" s="1"/>
  <c r="I633" i="2" s="1"/>
  <c r="G634" i="2"/>
  <c r="H634" i="2" s="1"/>
  <c r="I634" i="2" s="1"/>
  <c r="G635" i="2"/>
  <c r="H635" i="2" s="1"/>
  <c r="I635" i="2" s="1"/>
  <c r="G636" i="2"/>
  <c r="H636" i="2" s="1"/>
  <c r="I636" i="2" s="1"/>
  <c r="G637" i="2"/>
  <c r="H637" i="2" s="1"/>
  <c r="I637" i="2" s="1"/>
  <c r="G638" i="2"/>
  <c r="H638" i="2" s="1"/>
  <c r="I638" i="2" s="1"/>
  <c r="G639" i="2"/>
  <c r="H639" i="2" s="1"/>
  <c r="I639" i="2" s="1"/>
  <c r="G640" i="2"/>
  <c r="H640" i="2" s="1"/>
  <c r="I640" i="2" s="1"/>
  <c r="G641" i="2"/>
  <c r="H641" i="2" s="1"/>
  <c r="I641" i="2" s="1"/>
  <c r="G642" i="2"/>
  <c r="H642" i="2" s="1"/>
  <c r="I642" i="2" s="1"/>
  <c r="G643" i="2"/>
  <c r="H643" i="2" s="1"/>
  <c r="I643" i="2" s="1"/>
  <c r="G644" i="2"/>
  <c r="H644" i="2" s="1"/>
  <c r="I644" i="2" s="1"/>
  <c r="G645" i="2"/>
  <c r="H645" i="2" s="1"/>
  <c r="I645" i="2" s="1"/>
  <c r="G646" i="2"/>
  <c r="H646" i="2" s="1"/>
  <c r="I646" i="2" s="1"/>
  <c r="G647" i="2"/>
  <c r="H647" i="2" s="1"/>
  <c r="I647" i="2" s="1"/>
  <c r="G648" i="2"/>
  <c r="H648" i="2" s="1"/>
  <c r="I648" i="2" s="1"/>
  <c r="G649" i="2"/>
  <c r="G650" i="2"/>
  <c r="H650" i="2" s="1"/>
  <c r="I650" i="2" s="1"/>
  <c r="G651" i="2"/>
  <c r="H651" i="2" s="1"/>
  <c r="I651" i="2" s="1"/>
  <c r="G652" i="2"/>
  <c r="H652" i="2" s="1"/>
  <c r="I652" i="2" s="1"/>
  <c r="G653" i="2"/>
  <c r="H653" i="2" s="1"/>
  <c r="I653" i="2" s="1"/>
  <c r="G654" i="2"/>
  <c r="H654" i="2" s="1"/>
  <c r="I654" i="2" s="1"/>
  <c r="G655" i="2"/>
  <c r="H655" i="2" s="1"/>
  <c r="I655" i="2" s="1"/>
  <c r="G656" i="2"/>
  <c r="H656" i="2" s="1"/>
  <c r="I656" i="2" s="1"/>
  <c r="G657" i="2"/>
  <c r="H657" i="2" s="1"/>
  <c r="I657" i="2" s="1"/>
  <c r="G658" i="2"/>
  <c r="H658" i="2" s="1"/>
  <c r="I658" i="2" s="1"/>
  <c r="G659" i="2"/>
  <c r="H659" i="2" s="1"/>
  <c r="I659" i="2" s="1"/>
  <c r="G660" i="2"/>
  <c r="H660" i="2" s="1"/>
  <c r="I660" i="2" s="1"/>
  <c r="G661" i="2"/>
  <c r="H661" i="2" s="1"/>
  <c r="I661" i="2" s="1"/>
  <c r="G662" i="2"/>
  <c r="H662" i="2" s="1"/>
  <c r="I662" i="2" s="1"/>
  <c r="G663" i="2"/>
  <c r="H663" i="2" s="1"/>
  <c r="I663" i="2" s="1"/>
  <c r="G664" i="2"/>
  <c r="H664" i="2" s="1"/>
  <c r="I664" i="2" s="1"/>
  <c r="G665" i="2"/>
  <c r="H665" i="2" s="1"/>
  <c r="I665" i="2" s="1"/>
  <c r="G666" i="2"/>
  <c r="H666" i="2" s="1"/>
  <c r="I666" i="2" s="1"/>
  <c r="G667" i="2"/>
  <c r="H667" i="2" s="1"/>
  <c r="I667" i="2" s="1"/>
  <c r="G668" i="2"/>
  <c r="H668" i="2" s="1"/>
  <c r="I668" i="2" s="1"/>
  <c r="G669" i="2"/>
  <c r="H669" i="2" s="1"/>
  <c r="I669" i="2" s="1"/>
  <c r="G670" i="2"/>
  <c r="H670" i="2" s="1"/>
  <c r="I670" i="2" s="1"/>
  <c r="G671" i="2"/>
  <c r="H671" i="2" s="1"/>
  <c r="I671" i="2" s="1"/>
  <c r="G672" i="2"/>
  <c r="H672" i="2" s="1"/>
  <c r="I672" i="2" s="1"/>
  <c r="G673" i="2"/>
  <c r="H673" i="2" s="1"/>
  <c r="I673" i="2" s="1"/>
  <c r="G674" i="2"/>
  <c r="H674" i="2" s="1"/>
  <c r="I674" i="2" s="1"/>
  <c r="G675" i="2"/>
  <c r="G676" i="2"/>
  <c r="G677" i="2"/>
  <c r="G678" i="2"/>
  <c r="H678" i="2" s="1"/>
  <c r="I678" i="2" s="1"/>
  <c r="G679" i="2"/>
  <c r="H679" i="2" s="1"/>
  <c r="I679" i="2" s="1"/>
  <c r="G680" i="2"/>
  <c r="H680" i="2" s="1"/>
  <c r="I680" i="2" s="1"/>
  <c r="G681" i="2"/>
  <c r="H681" i="2" s="1"/>
  <c r="I681" i="2" s="1"/>
  <c r="G682" i="2"/>
  <c r="H682" i="2" s="1"/>
  <c r="I682" i="2" s="1"/>
  <c r="G683" i="2"/>
  <c r="H683" i="2" s="1"/>
  <c r="I683" i="2" s="1"/>
  <c r="G684" i="2"/>
  <c r="H684" i="2" s="1"/>
  <c r="I684" i="2" s="1"/>
  <c r="G685" i="2"/>
  <c r="H685" i="2" s="1"/>
  <c r="I685" i="2" s="1"/>
  <c r="G686" i="2"/>
  <c r="H686" i="2" s="1"/>
  <c r="I686" i="2" s="1"/>
  <c r="G687" i="2"/>
  <c r="H687" i="2" s="1"/>
  <c r="I687" i="2" s="1"/>
  <c r="G688" i="2"/>
  <c r="H688" i="2" s="1"/>
  <c r="I688" i="2" s="1"/>
  <c r="G689" i="2"/>
  <c r="H689" i="2" s="1"/>
  <c r="I689" i="2" s="1"/>
  <c r="G690" i="2"/>
  <c r="H690" i="2" s="1"/>
  <c r="I690" i="2" s="1"/>
  <c r="G691" i="2"/>
  <c r="H691" i="2" s="1"/>
  <c r="I691" i="2" s="1"/>
  <c r="G692" i="2"/>
  <c r="H692" i="2" s="1"/>
  <c r="I692" i="2" s="1"/>
  <c r="G693" i="2"/>
  <c r="H693" i="2" s="1"/>
  <c r="I693" i="2" s="1"/>
  <c r="G694" i="2"/>
  <c r="G695" i="2"/>
  <c r="H695" i="2" s="1"/>
  <c r="I695" i="2" s="1"/>
  <c r="G696" i="2"/>
  <c r="H696" i="2" s="1"/>
  <c r="I696" i="2" s="1"/>
  <c r="G697" i="2"/>
  <c r="H697" i="2" s="1"/>
  <c r="I697" i="2" s="1"/>
  <c r="G698" i="2"/>
  <c r="H698" i="2" s="1"/>
  <c r="I698" i="2" s="1"/>
  <c r="G699" i="2"/>
  <c r="H699" i="2" s="1"/>
  <c r="I699" i="2" s="1"/>
  <c r="G700" i="2"/>
  <c r="H700" i="2" s="1"/>
  <c r="I700" i="2" s="1"/>
  <c r="G701" i="2"/>
  <c r="H701" i="2" s="1"/>
  <c r="I701" i="2" s="1"/>
  <c r="G702" i="2"/>
  <c r="H702" i="2" s="1"/>
  <c r="I702" i="2" s="1"/>
  <c r="G703" i="2"/>
  <c r="H703" i="2" s="1"/>
  <c r="I703" i="2" s="1"/>
  <c r="G704" i="2"/>
  <c r="H704" i="2" s="1"/>
  <c r="I704" i="2" s="1"/>
  <c r="G705" i="2"/>
  <c r="H705" i="2" s="1"/>
  <c r="I705" i="2" s="1"/>
  <c r="G706" i="2"/>
  <c r="H706" i="2" s="1"/>
  <c r="I706" i="2" s="1"/>
  <c r="G707" i="2"/>
  <c r="H707" i="2" s="1"/>
  <c r="I707" i="2" s="1"/>
  <c r="G708" i="2"/>
  <c r="H708" i="2" s="1"/>
  <c r="I708" i="2" s="1"/>
  <c r="G709" i="2"/>
  <c r="H709" i="2" s="1"/>
  <c r="I709" i="2" s="1"/>
  <c r="G710" i="2"/>
  <c r="H710" i="2" s="1"/>
  <c r="I710" i="2" s="1"/>
  <c r="G711" i="2"/>
  <c r="H711" i="2" s="1"/>
  <c r="I711" i="2" s="1"/>
  <c r="G712" i="2"/>
  <c r="H712" i="2" s="1"/>
  <c r="I712" i="2" s="1"/>
  <c r="G713" i="2"/>
  <c r="H713" i="2" s="1"/>
  <c r="I713" i="2" s="1"/>
  <c r="G714" i="2"/>
  <c r="H714" i="2" s="1"/>
  <c r="I714" i="2" s="1"/>
  <c r="G715" i="2"/>
  <c r="H715" i="2" s="1"/>
  <c r="I715" i="2" s="1"/>
  <c r="G716" i="2"/>
  <c r="H716" i="2" s="1"/>
  <c r="I716" i="2" s="1"/>
  <c r="G717" i="2"/>
  <c r="H717" i="2" s="1"/>
  <c r="I717" i="2" s="1"/>
  <c r="G718" i="2"/>
  <c r="H718" i="2" s="1"/>
  <c r="I718" i="2" s="1"/>
  <c r="G719" i="2"/>
  <c r="H719" i="2" s="1"/>
  <c r="I719" i="2" s="1"/>
  <c r="G720" i="2"/>
  <c r="H720" i="2" s="1"/>
  <c r="I720" i="2" s="1"/>
  <c r="G721" i="2"/>
  <c r="G722" i="2"/>
  <c r="G723" i="2"/>
  <c r="G724" i="2"/>
  <c r="H724" i="2" s="1"/>
  <c r="I724" i="2" s="1"/>
  <c r="G725" i="2"/>
  <c r="H725" i="2" s="1"/>
  <c r="I725" i="2" s="1"/>
  <c r="G726" i="2"/>
  <c r="H726" i="2" s="1"/>
  <c r="I726" i="2" s="1"/>
  <c r="G727" i="2"/>
  <c r="H727" i="2" s="1"/>
  <c r="I727" i="2" s="1"/>
  <c r="G728" i="2"/>
  <c r="H728" i="2" s="1"/>
  <c r="I728" i="2" s="1"/>
  <c r="G729" i="2"/>
  <c r="H729" i="2" s="1"/>
  <c r="I729" i="2" s="1"/>
  <c r="G730" i="2"/>
  <c r="H730" i="2" s="1"/>
  <c r="I730" i="2" s="1"/>
  <c r="G731" i="2"/>
  <c r="H731" i="2" s="1"/>
  <c r="I731" i="2" s="1"/>
  <c r="G732" i="2"/>
  <c r="H732" i="2" s="1"/>
  <c r="I732" i="2" s="1"/>
  <c r="G733" i="2"/>
  <c r="H733" i="2" s="1"/>
  <c r="I733" i="2" s="1"/>
  <c r="G734" i="2"/>
  <c r="H734" i="2" s="1"/>
  <c r="I734" i="2" s="1"/>
  <c r="G735" i="2"/>
  <c r="H735" i="2" s="1"/>
  <c r="I735" i="2" s="1"/>
  <c r="G736" i="2"/>
  <c r="H736" i="2" s="1"/>
  <c r="I736" i="2" s="1"/>
  <c r="G737" i="2"/>
  <c r="G738" i="2"/>
  <c r="H738" i="2" s="1"/>
  <c r="I738" i="2" s="1"/>
  <c r="G739" i="2"/>
  <c r="H739" i="2" s="1"/>
  <c r="I739" i="2" s="1"/>
  <c r="G740" i="2"/>
  <c r="H740" i="2" s="1"/>
  <c r="I740" i="2" s="1"/>
  <c r="G741" i="2"/>
  <c r="H741" i="2" s="1"/>
  <c r="I741" i="2" s="1"/>
  <c r="G742" i="2"/>
  <c r="G743" i="2"/>
  <c r="H743" i="2" s="1"/>
  <c r="I743" i="2" s="1"/>
  <c r="G744" i="2"/>
  <c r="H744" i="2" s="1"/>
  <c r="I744" i="2" s="1"/>
  <c r="G745" i="2"/>
  <c r="H745" i="2" s="1"/>
  <c r="I745" i="2" s="1"/>
  <c r="G746" i="2"/>
  <c r="H746" i="2" s="1"/>
  <c r="I746" i="2" s="1"/>
  <c r="G747" i="2"/>
  <c r="H747" i="2" s="1"/>
  <c r="I747" i="2" s="1"/>
  <c r="G748" i="2"/>
  <c r="H748" i="2" s="1"/>
  <c r="I748" i="2" s="1"/>
  <c r="G749" i="2"/>
  <c r="H749" i="2" s="1"/>
  <c r="I749" i="2" s="1"/>
  <c r="G750" i="2"/>
  <c r="H750" i="2" s="1"/>
  <c r="I750" i="2" s="1"/>
  <c r="G751" i="2"/>
  <c r="H751" i="2" s="1"/>
  <c r="I751" i="2" s="1"/>
  <c r="G752" i="2"/>
  <c r="H752" i="2" s="1"/>
  <c r="I752" i="2" s="1"/>
  <c r="G753" i="2"/>
  <c r="H753" i="2" s="1"/>
  <c r="I753" i="2" s="1"/>
  <c r="G754" i="2"/>
  <c r="H754" i="2" s="1"/>
  <c r="I754" i="2" s="1"/>
  <c r="G755" i="2"/>
  <c r="H755" i="2" s="1"/>
  <c r="I755" i="2" s="1"/>
  <c r="G756" i="2"/>
  <c r="H756" i="2" s="1"/>
  <c r="I756" i="2" s="1"/>
  <c r="G757" i="2"/>
  <c r="H757" i="2" s="1"/>
  <c r="I757" i="2" s="1"/>
  <c r="G758" i="2"/>
  <c r="H758" i="2" s="1"/>
  <c r="I758" i="2" s="1"/>
  <c r="G759" i="2"/>
  <c r="H759" i="2" s="1"/>
  <c r="I759" i="2" s="1"/>
  <c r="G760" i="2"/>
  <c r="H760" i="2" s="1"/>
  <c r="I760" i="2" s="1"/>
  <c r="G761" i="2"/>
  <c r="H761" i="2" s="1"/>
  <c r="I761" i="2" s="1"/>
  <c r="G762" i="2"/>
  <c r="H762" i="2" s="1"/>
  <c r="I762" i="2" s="1"/>
  <c r="G763" i="2"/>
  <c r="H763" i="2" s="1"/>
  <c r="I763" i="2" s="1"/>
  <c r="G764" i="2"/>
  <c r="H764" i="2" s="1"/>
  <c r="I764" i="2" s="1"/>
  <c r="G765" i="2"/>
  <c r="H765" i="2" s="1"/>
  <c r="I765" i="2" s="1"/>
  <c r="G766" i="2"/>
  <c r="H766" i="2" s="1"/>
  <c r="I766" i="2" s="1"/>
  <c r="G767" i="2"/>
  <c r="H767" i="2" s="1"/>
  <c r="I767" i="2" s="1"/>
  <c r="G768" i="2"/>
  <c r="H768" i="2" s="1"/>
  <c r="I768" i="2" s="1"/>
  <c r="G769" i="2"/>
  <c r="G770" i="2"/>
  <c r="G771" i="2"/>
  <c r="G772" i="2"/>
  <c r="H772" i="2" s="1"/>
  <c r="I772" i="2" s="1"/>
  <c r="G773" i="2"/>
  <c r="H773" i="2" s="1"/>
  <c r="I773" i="2" s="1"/>
  <c r="G774" i="2"/>
  <c r="H774" i="2" s="1"/>
  <c r="I774" i="2" s="1"/>
  <c r="G775" i="2"/>
  <c r="H775" i="2" s="1"/>
  <c r="I775" i="2" s="1"/>
  <c r="G776" i="2"/>
  <c r="H776" i="2" s="1"/>
  <c r="I776" i="2" s="1"/>
  <c r="G777" i="2"/>
  <c r="H777" i="2" s="1"/>
  <c r="I777" i="2" s="1"/>
  <c r="G778" i="2"/>
  <c r="H778" i="2" s="1"/>
  <c r="I778" i="2" s="1"/>
  <c r="G779" i="2"/>
  <c r="H779" i="2" s="1"/>
  <c r="I779" i="2" s="1"/>
  <c r="G780" i="2"/>
  <c r="H780" i="2" s="1"/>
  <c r="I780" i="2" s="1"/>
  <c r="G781" i="2"/>
  <c r="H781" i="2" s="1"/>
  <c r="I781" i="2" s="1"/>
  <c r="G782" i="2"/>
  <c r="H782" i="2" s="1"/>
  <c r="I782" i="2" s="1"/>
  <c r="G783" i="2"/>
  <c r="H783" i="2" s="1"/>
  <c r="I783" i="2" s="1"/>
  <c r="G784" i="2"/>
  <c r="H784" i="2" s="1"/>
  <c r="I784" i="2" s="1"/>
  <c r="G785" i="2"/>
  <c r="G786" i="2"/>
  <c r="H786" i="2" s="1"/>
  <c r="I786" i="2" s="1"/>
  <c r="G787" i="2"/>
  <c r="H787" i="2" s="1"/>
  <c r="I787" i="2" s="1"/>
  <c r="G788" i="2"/>
  <c r="G789" i="2"/>
  <c r="H789" i="2" s="1"/>
  <c r="I789" i="2" s="1"/>
  <c r="G790" i="2"/>
  <c r="H790" i="2" s="1"/>
  <c r="I790" i="2" s="1"/>
  <c r="G791" i="2"/>
  <c r="H791" i="2" s="1"/>
  <c r="I791" i="2" s="1"/>
  <c r="G792" i="2"/>
  <c r="H792" i="2" s="1"/>
  <c r="I792" i="2" s="1"/>
  <c r="G793" i="2"/>
  <c r="H793" i="2" s="1"/>
  <c r="I793" i="2" s="1"/>
  <c r="G794" i="2"/>
  <c r="H794" i="2" s="1"/>
  <c r="I794" i="2" s="1"/>
  <c r="G795" i="2"/>
  <c r="H795" i="2" s="1"/>
  <c r="I795" i="2" s="1"/>
  <c r="G796" i="2"/>
  <c r="H796" i="2" s="1"/>
  <c r="I796" i="2" s="1"/>
  <c r="G797" i="2"/>
  <c r="H797" i="2" s="1"/>
  <c r="I797" i="2" s="1"/>
  <c r="G798" i="2"/>
  <c r="H798" i="2" s="1"/>
  <c r="I798" i="2" s="1"/>
  <c r="G799" i="2"/>
  <c r="H799" i="2" s="1"/>
  <c r="I799" i="2" s="1"/>
  <c r="G800" i="2"/>
  <c r="H800" i="2" s="1"/>
  <c r="I800" i="2" s="1"/>
  <c r="G801" i="2"/>
  <c r="H801" i="2" s="1"/>
  <c r="I801" i="2" s="1"/>
  <c r="G802" i="2"/>
  <c r="H802" i="2" s="1"/>
  <c r="I802" i="2" s="1"/>
  <c r="G803" i="2"/>
  <c r="H803" i="2" s="1"/>
  <c r="I803" i="2" s="1"/>
  <c r="G804" i="2"/>
  <c r="H804" i="2" s="1"/>
  <c r="I804" i="2" s="1"/>
  <c r="G805" i="2"/>
  <c r="H805" i="2" s="1"/>
  <c r="I805" i="2" s="1"/>
  <c r="G806" i="2"/>
  <c r="H806" i="2" s="1"/>
  <c r="I806" i="2" s="1"/>
  <c r="G807" i="2"/>
  <c r="H807" i="2" s="1"/>
  <c r="I807" i="2" s="1"/>
  <c r="G808" i="2"/>
  <c r="H808" i="2" s="1"/>
  <c r="I808" i="2" s="1"/>
  <c r="G809" i="2"/>
  <c r="H809" i="2" s="1"/>
  <c r="I809" i="2" s="1"/>
  <c r="G810" i="2"/>
  <c r="H810" i="2" s="1"/>
  <c r="I810" i="2" s="1"/>
  <c r="G811" i="2"/>
  <c r="H811" i="2" s="1"/>
  <c r="I811" i="2" s="1"/>
  <c r="G812" i="2"/>
  <c r="H812" i="2" s="1"/>
  <c r="I812" i="2" s="1"/>
  <c r="G813" i="2"/>
  <c r="H813" i="2" s="1"/>
  <c r="I813" i="2" s="1"/>
  <c r="G814" i="2"/>
  <c r="H814" i="2" s="1"/>
  <c r="I814" i="2" s="1"/>
  <c r="G815" i="2"/>
  <c r="H815" i="2" s="1"/>
  <c r="I815" i="2" s="1"/>
  <c r="G816" i="2"/>
  <c r="H816" i="2" s="1"/>
  <c r="I816" i="2" s="1"/>
  <c r="G817" i="2"/>
  <c r="H817" i="2" s="1"/>
  <c r="I817" i="2" s="1"/>
  <c r="G818" i="2"/>
  <c r="H818" i="2" s="1"/>
  <c r="I818" i="2" s="1"/>
  <c r="G819" i="2"/>
  <c r="G820" i="2"/>
  <c r="H820" i="2" s="1"/>
  <c r="I820" i="2" s="1"/>
  <c r="G821" i="2"/>
  <c r="H821" i="2" s="1"/>
  <c r="I821" i="2" s="1"/>
  <c r="G822" i="2"/>
  <c r="H822" i="2" s="1"/>
  <c r="I822" i="2" s="1"/>
  <c r="G823" i="2"/>
  <c r="H823" i="2" s="1"/>
  <c r="I823" i="2" s="1"/>
  <c r="G824" i="2"/>
  <c r="H824" i="2" s="1"/>
  <c r="I824" i="2" s="1"/>
  <c r="G825" i="2"/>
  <c r="H825" i="2" s="1"/>
  <c r="I825" i="2" s="1"/>
  <c r="G826" i="2"/>
  <c r="H826" i="2" s="1"/>
  <c r="I826" i="2" s="1"/>
  <c r="G827" i="2"/>
  <c r="H827" i="2" s="1"/>
  <c r="I827" i="2" s="1"/>
  <c r="G828" i="2"/>
  <c r="H828" i="2" s="1"/>
  <c r="I828" i="2" s="1"/>
  <c r="G829" i="2"/>
  <c r="H829" i="2" s="1"/>
  <c r="I829" i="2" s="1"/>
  <c r="G830" i="2"/>
  <c r="H830" i="2" s="1"/>
  <c r="I830" i="2" s="1"/>
  <c r="G831" i="2"/>
  <c r="H831" i="2" s="1"/>
  <c r="I831" i="2" s="1"/>
  <c r="G832" i="2"/>
  <c r="H832" i="2" s="1"/>
  <c r="I832" i="2" s="1"/>
  <c r="G833" i="2"/>
  <c r="G834" i="2"/>
  <c r="H834" i="2" s="1"/>
  <c r="I834" i="2" s="1"/>
  <c r="G835" i="2"/>
  <c r="H835" i="2" s="1"/>
  <c r="I835" i="2" s="1"/>
  <c r="G836" i="2"/>
  <c r="G837" i="2"/>
  <c r="H837" i="2" s="1"/>
  <c r="I837" i="2" s="1"/>
  <c r="G838" i="2"/>
  <c r="H838" i="2" s="1"/>
  <c r="I838" i="2" s="1"/>
  <c r="G839" i="2"/>
  <c r="H839" i="2" s="1"/>
  <c r="I839" i="2" s="1"/>
  <c r="G840" i="2"/>
  <c r="H840" i="2" s="1"/>
  <c r="I840" i="2" s="1"/>
  <c r="G841" i="2"/>
  <c r="H841" i="2" s="1"/>
  <c r="I841" i="2" s="1"/>
  <c r="G842" i="2"/>
  <c r="H842" i="2" s="1"/>
  <c r="I842" i="2" s="1"/>
  <c r="G843" i="2"/>
  <c r="H843" i="2" s="1"/>
  <c r="I843" i="2" s="1"/>
  <c r="G844" i="2"/>
  <c r="H844" i="2" s="1"/>
  <c r="I844" i="2" s="1"/>
  <c r="G845" i="2"/>
  <c r="H845" i="2" s="1"/>
  <c r="I845" i="2" s="1"/>
  <c r="G846" i="2"/>
  <c r="H846" i="2" s="1"/>
  <c r="I846" i="2" s="1"/>
  <c r="G847" i="2"/>
  <c r="H847" i="2" s="1"/>
  <c r="I847" i="2" s="1"/>
  <c r="G848" i="2"/>
  <c r="H848" i="2" s="1"/>
  <c r="I848" i="2" s="1"/>
  <c r="G849" i="2"/>
  <c r="H849" i="2" s="1"/>
  <c r="I849" i="2" s="1"/>
  <c r="G850" i="2"/>
  <c r="H850" i="2" s="1"/>
  <c r="I850" i="2" s="1"/>
  <c r="G851" i="2"/>
  <c r="H851" i="2" s="1"/>
  <c r="I851" i="2" s="1"/>
  <c r="G852" i="2"/>
  <c r="H852" i="2" s="1"/>
  <c r="I852" i="2" s="1"/>
  <c r="G853" i="2"/>
  <c r="H853" i="2" s="1"/>
  <c r="I853" i="2" s="1"/>
  <c r="G854" i="2"/>
  <c r="H854" i="2" s="1"/>
  <c r="I854" i="2" s="1"/>
  <c r="G855" i="2"/>
  <c r="H855" i="2" s="1"/>
  <c r="I855" i="2" s="1"/>
  <c r="G856" i="2"/>
  <c r="H856" i="2" s="1"/>
  <c r="I856" i="2" s="1"/>
  <c r="G857" i="2"/>
  <c r="H857" i="2" s="1"/>
  <c r="I857" i="2" s="1"/>
  <c r="G858" i="2"/>
  <c r="H858" i="2" s="1"/>
  <c r="I858" i="2" s="1"/>
  <c r="G859" i="2"/>
  <c r="H859" i="2" s="1"/>
  <c r="I859" i="2" s="1"/>
  <c r="G860" i="2"/>
  <c r="H860" i="2" s="1"/>
  <c r="I860" i="2" s="1"/>
  <c r="G861" i="2"/>
  <c r="H861" i="2" s="1"/>
  <c r="I861" i="2" s="1"/>
  <c r="G862" i="2"/>
  <c r="H862" i="2" s="1"/>
  <c r="I862" i="2" s="1"/>
  <c r="G863" i="2"/>
  <c r="H863" i="2" s="1"/>
  <c r="I863" i="2" s="1"/>
  <c r="G864" i="2"/>
  <c r="H864" i="2" s="1"/>
  <c r="I864" i="2" s="1"/>
  <c r="G865" i="2"/>
  <c r="G866" i="2"/>
  <c r="H866" i="2" s="1"/>
  <c r="I866" i="2" s="1"/>
  <c r="G867" i="2"/>
  <c r="H867" i="2" s="1"/>
  <c r="I867" i="2" s="1"/>
  <c r="G868" i="2"/>
  <c r="H868" i="2" s="1"/>
  <c r="I868" i="2" s="1"/>
  <c r="G869" i="2"/>
  <c r="H869" i="2" s="1"/>
  <c r="I869" i="2" s="1"/>
  <c r="G870" i="2"/>
  <c r="H870" i="2" s="1"/>
  <c r="I870" i="2" s="1"/>
  <c r="G871" i="2"/>
  <c r="H871" i="2" s="1"/>
  <c r="I871" i="2" s="1"/>
  <c r="G872" i="2"/>
  <c r="H872" i="2" s="1"/>
  <c r="I872" i="2" s="1"/>
  <c r="G873" i="2"/>
  <c r="H873" i="2" s="1"/>
  <c r="I873" i="2" s="1"/>
  <c r="G874" i="2"/>
  <c r="H874" i="2" s="1"/>
  <c r="I874" i="2" s="1"/>
  <c r="G875" i="2"/>
  <c r="H875" i="2" s="1"/>
  <c r="I875" i="2" s="1"/>
  <c r="G876" i="2"/>
  <c r="H876" i="2" s="1"/>
  <c r="I876" i="2" s="1"/>
  <c r="G877" i="2"/>
  <c r="H877" i="2" s="1"/>
  <c r="I877" i="2" s="1"/>
  <c r="G878" i="2"/>
  <c r="H878" i="2" s="1"/>
  <c r="I878" i="2" s="1"/>
  <c r="G879" i="2"/>
  <c r="G880" i="2"/>
  <c r="H880" i="2" s="1"/>
  <c r="I880" i="2" s="1"/>
  <c r="G881" i="2"/>
  <c r="H881" i="2" s="1"/>
  <c r="I881" i="2" s="1"/>
  <c r="G882" i="2"/>
  <c r="H882" i="2" s="1"/>
  <c r="I882" i="2" s="1"/>
  <c r="G883" i="2"/>
  <c r="H883" i="2" s="1"/>
  <c r="I883" i="2" s="1"/>
  <c r="G884" i="2"/>
  <c r="G885" i="2"/>
  <c r="H885" i="2" s="1"/>
  <c r="I885" i="2" s="1"/>
  <c r="G886" i="2"/>
  <c r="H886" i="2" s="1"/>
  <c r="I886" i="2" s="1"/>
  <c r="G887" i="2"/>
  <c r="H887" i="2" s="1"/>
  <c r="I887" i="2" s="1"/>
  <c r="G888" i="2"/>
  <c r="H888" i="2" s="1"/>
  <c r="I888" i="2" s="1"/>
  <c r="G889" i="2"/>
  <c r="H889" i="2" s="1"/>
  <c r="I889" i="2" s="1"/>
  <c r="G890" i="2"/>
  <c r="H890" i="2" s="1"/>
  <c r="I890" i="2" s="1"/>
  <c r="G891" i="2"/>
  <c r="H891" i="2" s="1"/>
  <c r="I891" i="2" s="1"/>
  <c r="G892" i="2"/>
  <c r="H892" i="2" s="1"/>
  <c r="I892" i="2" s="1"/>
  <c r="G893" i="2"/>
  <c r="H893" i="2" s="1"/>
  <c r="I893" i="2" s="1"/>
  <c r="G894" i="2"/>
  <c r="H894" i="2" s="1"/>
  <c r="I894" i="2" s="1"/>
  <c r="G895" i="2"/>
  <c r="H895" i="2" s="1"/>
  <c r="I895" i="2" s="1"/>
  <c r="G896" i="2"/>
  <c r="H896" i="2" s="1"/>
  <c r="I896" i="2" s="1"/>
  <c r="G897" i="2"/>
  <c r="H897" i="2" s="1"/>
  <c r="I897" i="2" s="1"/>
  <c r="G898" i="2"/>
  <c r="H898" i="2" s="1"/>
  <c r="I898" i="2" s="1"/>
  <c r="G899" i="2"/>
  <c r="H899" i="2" s="1"/>
  <c r="I899" i="2" s="1"/>
  <c r="G900" i="2"/>
  <c r="H900" i="2" s="1"/>
  <c r="I900" i="2" s="1"/>
  <c r="G901" i="2"/>
  <c r="H901" i="2" s="1"/>
  <c r="I901" i="2" s="1"/>
  <c r="G902" i="2"/>
  <c r="H902" i="2" s="1"/>
  <c r="I902" i="2" s="1"/>
  <c r="G903" i="2"/>
  <c r="H903" i="2" s="1"/>
  <c r="I903" i="2" s="1"/>
  <c r="G904" i="2"/>
  <c r="H904" i="2" s="1"/>
  <c r="I904" i="2" s="1"/>
  <c r="G905" i="2"/>
  <c r="H905" i="2" s="1"/>
  <c r="I905" i="2" s="1"/>
  <c r="G906" i="2"/>
  <c r="H906" i="2" s="1"/>
  <c r="I906" i="2" s="1"/>
  <c r="G907" i="2"/>
  <c r="H907" i="2" s="1"/>
  <c r="I907" i="2" s="1"/>
  <c r="G908" i="2"/>
  <c r="H908" i="2" s="1"/>
  <c r="I908" i="2" s="1"/>
  <c r="G909" i="2"/>
  <c r="H909" i="2" s="1"/>
  <c r="I909" i="2" s="1"/>
  <c r="G910" i="2"/>
  <c r="H910" i="2" s="1"/>
  <c r="I910" i="2" s="1"/>
  <c r="G911" i="2"/>
  <c r="H911" i="2" s="1"/>
  <c r="I911" i="2" s="1"/>
  <c r="G912" i="2"/>
  <c r="H912" i="2" s="1"/>
  <c r="I912" i="2" s="1"/>
  <c r="G913" i="2"/>
  <c r="G914" i="2"/>
  <c r="H914" i="2" s="1"/>
  <c r="I914" i="2" s="1"/>
  <c r="G915" i="2"/>
  <c r="H915" i="2" s="1"/>
  <c r="I915" i="2" s="1"/>
  <c r="G916" i="2"/>
  <c r="H916" i="2" s="1"/>
  <c r="I916" i="2" s="1"/>
  <c r="G917" i="2"/>
  <c r="H917" i="2" s="1"/>
  <c r="I917" i="2" s="1"/>
  <c r="G918" i="2"/>
  <c r="H918" i="2" s="1"/>
  <c r="I918" i="2" s="1"/>
  <c r="G919" i="2"/>
  <c r="H919" i="2" s="1"/>
  <c r="I919" i="2" s="1"/>
  <c r="G920" i="2"/>
  <c r="H920" i="2" s="1"/>
  <c r="I920" i="2" s="1"/>
  <c r="G921" i="2"/>
  <c r="H921" i="2" s="1"/>
  <c r="I921" i="2" s="1"/>
  <c r="G922" i="2"/>
  <c r="H922" i="2" s="1"/>
  <c r="I922" i="2" s="1"/>
  <c r="G923" i="2"/>
  <c r="H923" i="2" s="1"/>
  <c r="I923" i="2" s="1"/>
  <c r="G924" i="2"/>
  <c r="H924" i="2" s="1"/>
  <c r="I924" i="2" s="1"/>
  <c r="G925" i="2"/>
  <c r="H925" i="2" s="1"/>
  <c r="I925" i="2" s="1"/>
  <c r="G926" i="2"/>
  <c r="H926" i="2" s="1"/>
  <c r="I926" i="2" s="1"/>
  <c r="G927" i="2"/>
  <c r="G928" i="2"/>
  <c r="H928" i="2" s="1"/>
  <c r="I928" i="2" s="1"/>
  <c r="G929" i="2"/>
  <c r="H929" i="2" s="1"/>
  <c r="I929" i="2" s="1"/>
  <c r="G930" i="2"/>
  <c r="G931" i="2"/>
  <c r="H931" i="2" s="1"/>
  <c r="I931" i="2" s="1"/>
  <c r="G932" i="2"/>
  <c r="H932" i="2" s="1"/>
  <c r="I932" i="2" s="1"/>
  <c r="G933" i="2"/>
  <c r="H933" i="2" s="1"/>
  <c r="I933" i="2" s="1"/>
  <c r="G934" i="2"/>
  <c r="H934" i="2" s="1"/>
  <c r="I934" i="2" s="1"/>
  <c r="G935" i="2"/>
  <c r="H935" i="2" s="1"/>
  <c r="I935" i="2" s="1"/>
  <c r="G936" i="2"/>
  <c r="H936" i="2" s="1"/>
  <c r="I936" i="2" s="1"/>
  <c r="G937" i="2"/>
  <c r="H937" i="2" s="1"/>
  <c r="I937" i="2" s="1"/>
  <c r="G938" i="2"/>
  <c r="H938" i="2" s="1"/>
  <c r="I938" i="2" s="1"/>
  <c r="G939" i="2"/>
  <c r="H939" i="2" s="1"/>
  <c r="I939" i="2" s="1"/>
  <c r="G940" i="2"/>
  <c r="H940" i="2" s="1"/>
  <c r="I940" i="2" s="1"/>
  <c r="G941" i="2"/>
  <c r="H941" i="2" s="1"/>
  <c r="I941" i="2" s="1"/>
  <c r="G942" i="2"/>
  <c r="H942" i="2" s="1"/>
  <c r="I942" i="2" s="1"/>
  <c r="G943" i="2"/>
  <c r="H943" i="2" s="1"/>
  <c r="I943" i="2" s="1"/>
  <c r="G944" i="2"/>
  <c r="H944" i="2" s="1"/>
  <c r="I944" i="2" s="1"/>
  <c r="G945" i="2"/>
  <c r="H945" i="2" s="1"/>
  <c r="I945" i="2" s="1"/>
  <c r="G946" i="2"/>
  <c r="H946" i="2" s="1"/>
  <c r="I946" i="2" s="1"/>
  <c r="G947" i="2"/>
  <c r="H947" i="2" s="1"/>
  <c r="I947" i="2" s="1"/>
  <c r="G948" i="2"/>
  <c r="H948" i="2" s="1"/>
  <c r="I948" i="2" s="1"/>
  <c r="G949" i="2"/>
  <c r="H949" i="2" s="1"/>
  <c r="I949" i="2" s="1"/>
  <c r="G950" i="2"/>
  <c r="H950" i="2" s="1"/>
  <c r="I950" i="2" s="1"/>
  <c r="G951" i="2"/>
  <c r="H951" i="2" s="1"/>
  <c r="I951" i="2" s="1"/>
  <c r="G952" i="2"/>
  <c r="H952" i="2" s="1"/>
  <c r="I952" i="2" s="1"/>
  <c r="G953" i="2"/>
  <c r="H953" i="2" s="1"/>
  <c r="I953" i="2" s="1"/>
  <c r="G954" i="2"/>
  <c r="H954" i="2" s="1"/>
  <c r="I954" i="2" s="1"/>
  <c r="G955" i="2"/>
  <c r="H955" i="2" s="1"/>
  <c r="I955" i="2" s="1"/>
  <c r="G956" i="2"/>
  <c r="H956" i="2" s="1"/>
  <c r="I956" i="2" s="1"/>
  <c r="G957" i="2"/>
  <c r="H957" i="2" s="1"/>
  <c r="I957" i="2" s="1"/>
  <c r="G958" i="2"/>
  <c r="H958" i="2" s="1"/>
  <c r="I958" i="2" s="1"/>
  <c r="G959" i="2"/>
  <c r="H959" i="2" s="1"/>
  <c r="I959" i="2" s="1"/>
  <c r="G960" i="2"/>
  <c r="H960" i="2" s="1"/>
  <c r="I960" i="2" s="1"/>
  <c r="G961" i="2"/>
  <c r="H961" i="2" s="1"/>
  <c r="I961" i="2" s="1"/>
  <c r="G962" i="2"/>
  <c r="H962" i="2" s="1"/>
  <c r="I962" i="2" s="1"/>
  <c r="G963" i="2"/>
  <c r="H963" i="2" s="1"/>
  <c r="I963" i="2" s="1"/>
  <c r="G964" i="2"/>
  <c r="H964" i="2" s="1"/>
  <c r="I964" i="2" s="1"/>
  <c r="G965" i="2"/>
  <c r="H965" i="2" s="1"/>
  <c r="I965" i="2" s="1"/>
  <c r="G966" i="2"/>
  <c r="H966" i="2" s="1"/>
  <c r="I966" i="2" s="1"/>
  <c r="G967" i="2"/>
  <c r="H967" i="2" s="1"/>
  <c r="I967" i="2" s="1"/>
  <c r="G968" i="2"/>
  <c r="H968" i="2" s="1"/>
  <c r="I968" i="2" s="1"/>
  <c r="G969" i="2"/>
  <c r="H969" i="2" s="1"/>
  <c r="I969" i="2" s="1"/>
  <c r="G970" i="2"/>
  <c r="H970" i="2" s="1"/>
  <c r="I970" i="2" s="1"/>
  <c r="G971" i="2"/>
  <c r="H971" i="2" s="1"/>
  <c r="I971" i="2" s="1"/>
  <c r="G972" i="2"/>
  <c r="H972" i="2" s="1"/>
  <c r="I972" i="2" s="1"/>
  <c r="G973" i="2"/>
  <c r="G974" i="2"/>
  <c r="H974" i="2" s="1"/>
  <c r="I974" i="2" s="1"/>
  <c r="G975" i="2"/>
  <c r="H975" i="2" s="1"/>
  <c r="I975" i="2" s="1"/>
  <c r="G976" i="2"/>
  <c r="H976" i="2" s="1"/>
  <c r="I976" i="2" s="1"/>
  <c r="G977" i="2"/>
  <c r="H977" i="2" s="1"/>
  <c r="I977" i="2" s="1"/>
  <c r="G978" i="2"/>
  <c r="G979" i="2"/>
  <c r="H979" i="2" s="1"/>
  <c r="I979" i="2" s="1"/>
  <c r="G980" i="2"/>
  <c r="H980" i="2" s="1"/>
  <c r="I980" i="2" s="1"/>
  <c r="G981" i="2"/>
  <c r="H981" i="2" s="1"/>
  <c r="I981" i="2" s="1"/>
  <c r="G982" i="2"/>
  <c r="H982" i="2" s="1"/>
  <c r="I982" i="2" s="1"/>
  <c r="G983" i="2"/>
  <c r="H983" i="2" s="1"/>
  <c r="I983" i="2" s="1"/>
  <c r="G984" i="2"/>
  <c r="H984" i="2" s="1"/>
  <c r="I984" i="2" s="1"/>
  <c r="G985" i="2"/>
  <c r="H985" i="2" s="1"/>
  <c r="I985" i="2" s="1"/>
  <c r="G986" i="2"/>
  <c r="H986" i="2" s="1"/>
  <c r="I986" i="2" s="1"/>
  <c r="G987" i="2"/>
  <c r="H987" i="2" s="1"/>
  <c r="I987" i="2" s="1"/>
  <c r="G988" i="2"/>
  <c r="H988" i="2" s="1"/>
  <c r="I988" i="2" s="1"/>
  <c r="G989" i="2"/>
  <c r="H989" i="2" s="1"/>
  <c r="I989" i="2" s="1"/>
  <c r="G990" i="2"/>
  <c r="H990" i="2" s="1"/>
  <c r="I990" i="2" s="1"/>
  <c r="G991" i="2"/>
  <c r="H991" i="2" s="1"/>
  <c r="I991" i="2" s="1"/>
  <c r="G992" i="2"/>
  <c r="H992" i="2" s="1"/>
  <c r="I992" i="2" s="1"/>
  <c r="G993" i="2"/>
  <c r="H993" i="2" s="1"/>
  <c r="I993" i="2" s="1"/>
  <c r="G994" i="2"/>
  <c r="H994" i="2" s="1"/>
  <c r="I994" i="2" s="1"/>
  <c r="G995" i="2"/>
  <c r="H995" i="2" s="1"/>
  <c r="I995" i="2" s="1"/>
  <c r="G996" i="2"/>
  <c r="H996" i="2" s="1"/>
  <c r="I996" i="2" s="1"/>
  <c r="G997" i="2"/>
  <c r="H997" i="2" s="1"/>
  <c r="I997" i="2" s="1"/>
  <c r="G998" i="2"/>
  <c r="H998" i="2" s="1"/>
  <c r="I998" i="2" s="1"/>
  <c r="G999" i="2"/>
  <c r="H999" i="2" s="1"/>
  <c r="I999" i="2" s="1"/>
  <c r="G1000" i="2"/>
  <c r="H1000" i="2" s="1"/>
  <c r="I1000" i="2" s="1"/>
  <c r="G1001" i="2"/>
  <c r="H1001" i="2" s="1"/>
  <c r="I1001" i="2" s="1"/>
  <c r="G1002" i="2"/>
  <c r="H1002" i="2" s="1"/>
  <c r="I1002" i="2" s="1"/>
  <c r="G1003" i="2"/>
  <c r="H1003" i="2" s="1"/>
  <c r="I1003" i="2" s="1"/>
  <c r="G1004" i="2"/>
  <c r="H1004" i="2" s="1"/>
  <c r="I1004" i="2" s="1"/>
  <c r="G1005" i="2"/>
  <c r="H1005" i="2" s="1"/>
  <c r="I1005" i="2" s="1"/>
  <c r="G1006" i="2"/>
  <c r="H1006" i="2" s="1"/>
  <c r="I1006" i="2" s="1"/>
  <c r="G1007" i="2"/>
  <c r="H1007" i="2" s="1"/>
  <c r="I1007" i="2" s="1"/>
  <c r="G1008" i="2"/>
  <c r="H1008" i="2" s="1"/>
  <c r="I1008" i="2" s="1"/>
  <c r="G1009" i="2"/>
  <c r="H1009" i="2" s="1"/>
  <c r="I1009" i="2" s="1"/>
  <c r="G1010" i="2"/>
  <c r="H1010" i="2" s="1"/>
  <c r="I1010" i="2" s="1"/>
  <c r="G1011" i="2"/>
  <c r="H1011" i="2" s="1"/>
  <c r="I1011" i="2" s="1"/>
  <c r="G1012" i="2"/>
  <c r="H1012" i="2" s="1"/>
  <c r="I1012" i="2" s="1"/>
  <c r="G1013" i="2"/>
  <c r="H1013" i="2" s="1"/>
  <c r="I1013" i="2" s="1"/>
  <c r="G1014" i="2"/>
  <c r="H1014" i="2" s="1"/>
  <c r="I1014" i="2" s="1"/>
  <c r="G1015" i="2"/>
  <c r="H1015" i="2" s="1"/>
  <c r="I1015" i="2" s="1"/>
  <c r="G1016" i="2"/>
  <c r="H1016" i="2" s="1"/>
  <c r="I1016" i="2" s="1"/>
  <c r="G1017" i="2"/>
  <c r="H1017" i="2" s="1"/>
  <c r="I1017" i="2" s="1"/>
  <c r="G1018" i="2"/>
  <c r="H1018" i="2" s="1"/>
  <c r="I1018" i="2" s="1"/>
  <c r="G1019" i="2"/>
  <c r="H1019" i="2" s="1"/>
  <c r="I1019" i="2" s="1"/>
  <c r="G1020" i="2"/>
  <c r="H1020" i="2" s="1"/>
  <c r="I1020" i="2" s="1"/>
  <c r="G1021" i="2"/>
  <c r="G1022" i="2"/>
  <c r="H1022" i="2" s="1"/>
  <c r="I1022" i="2" s="1"/>
  <c r="G1023" i="2"/>
  <c r="G1024" i="2"/>
  <c r="G1025" i="2"/>
  <c r="H1025" i="2" s="1"/>
  <c r="I1025" i="2" s="1"/>
  <c r="G1026" i="2"/>
  <c r="H1026" i="2" s="1"/>
  <c r="I1026" i="2" s="1"/>
  <c r="G1027" i="2"/>
  <c r="H1027" i="2" s="1"/>
  <c r="I1027" i="2" s="1"/>
  <c r="G1028" i="2"/>
  <c r="H1028" i="2" s="1"/>
  <c r="I1028" i="2" s="1"/>
  <c r="G1029" i="2"/>
  <c r="H1029" i="2" s="1"/>
  <c r="I1029" i="2" s="1"/>
  <c r="G1030" i="2"/>
  <c r="H1030" i="2" s="1"/>
  <c r="I1030" i="2" s="1"/>
  <c r="G1031" i="2"/>
  <c r="H1031" i="2" s="1"/>
  <c r="I1031" i="2" s="1"/>
  <c r="G1032" i="2"/>
  <c r="H1032" i="2" s="1"/>
  <c r="I1032" i="2" s="1"/>
  <c r="G1033" i="2"/>
  <c r="H1033" i="2" s="1"/>
  <c r="I1033" i="2" s="1"/>
  <c r="G1034" i="2"/>
  <c r="H1034" i="2" s="1"/>
  <c r="I1034" i="2" s="1"/>
  <c r="G1035" i="2"/>
  <c r="H1035" i="2" s="1"/>
  <c r="I1035" i="2" s="1"/>
  <c r="G1036" i="2"/>
  <c r="H1036" i="2" s="1"/>
  <c r="I1036" i="2" s="1"/>
  <c r="G1037" i="2"/>
  <c r="H1037" i="2" s="1"/>
  <c r="I1037" i="2" s="1"/>
  <c r="G1038" i="2"/>
  <c r="H1038" i="2" s="1"/>
  <c r="I1038" i="2" s="1"/>
  <c r="G1039" i="2"/>
  <c r="H1039" i="2" s="1"/>
  <c r="I1039" i="2" s="1"/>
  <c r="G1040" i="2"/>
  <c r="H1040" i="2" s="1"/>
  <c r="I1040" i="2" s="1"/>
  <c r="G1041" i="2"/>
  <c r="H1041" i="2" s="1"/>
  <c r="I1041" i="2" s="1"/>
  <c r="G1042" i="2"/>
  <c r="H1042" i="2" s="1"/>
  <c r="I1042" i="2" s="1"/>
  <c r="G1043" i="2"/>
  <c r="H1043" i="2" s="1"/>
  <c r="I1043" i="2" s="1"/>
  <c r="G1044" i="2"/>
  <c r="H1044" i="2" s="1"/>
  <c r="I1044" i="2" s="1"/>
  <c r="G1045" i="2"/>
  <c r="H1045" i="2" s="1"/>
  <c r="I1045" i="2" s="1"/>
  <c r="G1046" i="2"/>
  <c r="H1046" i="2" s="1"/>
  <c r="I1046" i="2" s="1"/>
  <c r="G1047" i="2"/>
  <c r="H1047" i="2" s="1"/>
  <c r="I1047" i="2" s="1"/>
  <c r="G1048" i="2"/>
  <c r="H1048" i="2" s="1"/>
  <c r="I1048" i="2" s="1"/>
  <c r="G1049" i="2"/>
  <c r="H1049" i="2" s="1"/>
  <c r="I1049" i="2" s="1"/>
  <c r="G1050" i="2"/>
  <c r="H1050" i="2" s="1"/>
  <c r="I1050" i="2" s="1"/>
  <c r="G1051" i="2"/>
  <c r="H1051" i="2" s="1"/>
  <c r="I1051" i="2" s="1"/>
  <c r="G1052" i="2"/>
  <c r="H1052" i="2" s="1"/>
  <c r="I1052" i="2" s="1"/>
  <c r="G1053" i="2"/>
  <c r="H1053" i="2" s="1"/>
  <c r="I1053" i="2" s="1"/>
  <c r="G1054" i="2"/>
  <c r="H1054" i="2" s="1"/>
  <c r="I1054" i="2" s="1"/>
  <c r="G1055" i="2"/>
  <c r="H1055" i="2" s="1"/>
  <c r="I1055" i="2" s="1"/>
  <c r="G1056" i="2"/>
  <c r="H1056" i="2" s="1"/>
  <c r="I1056" i="2" s="1"/>
  <c r="G1057" i="2"/>
  <c r="H1057" i="2" s="1"/>
  <c r="I1057" i="2" s="1"/>
  <c r="G1058" i="2"/>
  <c r="H1058" i="2" s="1"/>
  <c r="I1058" i="2" s="1"/>
  <c r="G1059" i="2"/>
  <c r="H1059" i="2" s="1"/>
  <c r="I1059" i="2" s="1"/>
  <c r="G1060" i="2"/>
  <c r="H1060" i="2" s="1"/>
  <c r="I1060" i="2" s="1"/>
  <c r="G1061" i="2"/>
  <c r="H1061" i="2" s="1"/>
  <c r="I1061" i="2" s="1"/>
  <c r="G1062" i="2"/>
  <c r="H1062" i="2" s="1"/>
  <c r="I1062" i="2" s="1"/>
  <c r="G1063" i="2"/>
  <c r="H1063" i="2" s="1"/>
  <c r="I1063" i="2" s="1"/>
  <c r="G1064" i="2"/>
  <c r="H1064" i="2" s="1"/>
  <c r="I1064" i="2" s="1"/>
  <c r="G1065" i="2"/>
  <c r="H1065" i="2" s="1"/>
  <c r="I1065" i="2" s="1"/>
  <c r="G1066" i="2"/>
  <c r="H1066" i="2" s="1"/>
  <c r="I1066" i="2" s="1"/>
  <c r="G1067" i="2"/>
  <c r="H1067" i="2" s="1"/>
  <c r="I1067" i="2" s="1"/>
  <c r="G1068" i="2"/>
  <c r="H1068" i="2" s="1"/>
  <c r="I1068" i="2" s="1"/>
  <c r="G1069" i="2"/>
  <c r="G1070" i="2"/>
  <c r="H1070" i="2" s="1"/>
  <c r="I1070" i="2" s="1"/>
  <c r="G1071" i="2"/>
  <c r="G1072" i="2"/>
  <c r="G1073" i="2"/>
  <c r="H1073" i="2" s="1"/>
  <c r="I1073" i="2" s="1"/>
  <c r="G1074" i="2"/>
  <c r="H1074" i="2" s="1"/>
  <c r="I1074" i="2" s="1"/>
  <c r="G1075" i="2"/>
  <c r="H1075" i="2" s="1"/>
  <c r="I1075" i="2" s="1"/>
  <c r="G1076" i="2"/>
  <c r="H1076" i="2" s="1"/>
  <c r="I1076" i="2" s="1"/>
  <c r="G1077" i="2"/>
  <c r="H1077" i="2" s="1"/>
  <c r="I1077" i="2" s="1"/>
  <c r="G1078" i="2"/>
  <c r="H1078" i="2" s="1"/>
  <c r="I1078" i="2" s="1"/>
  <c r="G1079" i="2"/>
  <c r="H1079" i="2" s="1"/>
  <c r="I1079" i="2" s="1"/>
  <c r="G1080" i="2"/>
  <c r="H1080" i="2" s="1"/>
  <c r="I1080" i="2" s="1"/>
  <c r="G1081" i="2"/>
  <c r="H1081" i="2" s="1"/>
  <c r="I1081" i="2" s="1"/>
  <c r="G1082" i="2"/>
  <c r="H1082" i="2" s="1"/>
  <c r="I1082" i="2" s="1"/>
  <c r="G1083" i="2"/>
  <c r="H1083" i="2" s="1"/>
  <c r="I1083" i="2" s="1"/>
  <c r="G1084" i="2"/>
  <c r="H1084" i="2" s="1"/>
  <c r="I1084" i="2" s="1"/>
  <c r="G1085" i="2"/>
  <c r="H1085" i="2" s="1"/>
  <c r="I1085" i="2" s="1"/>
  <c r="G1086" i="2"/>
  <c r="H1086" i="2" s="1"/>
  <c r="I1086" i="2" s="1"/>
  <c r="G1087" i="2"/>
  <c r="H1087" i="2" s="1"/>
  <c r="I1087" i="2" s="1"/>
  <c r="G1088" i="2"/>
  <c r="H1088" i="2" s="1"/>
  <c r="I1088" i="2" s="1"/>
  <c r="G1089" i="2"/>
  <c r="H1089" i="2" s="1"/>
  <c r="I1089" i="2" s="1"/>
  <c r="G1090" i="2"/>
  <c r="H1090" i="2" s="1"/>
  <c r="I1090" i="2" s="1"/>
  <c r="G1091" i="2"/>
  <c r="H1091" i="2" s="1"/>
  <c r="I1091" i="2" s="1"/>
  <c r="G1092" i="2"/>
  <c r="H1092" i="2" s="1"/>
  <c r="I1092" i="2" s="1"/>
  <c r="G1093" i="2"/>
  <c r="H1093" i="2" s="1"/>
  <c r="I1093" i="2" s="1"/>
  <c r="G1094" i="2"/>
  <c r="H1094" i="2" s="1"/>
  <c r="I1094" i="2" s="1"/>
  <c r="G1095" i="2"/>
  <c r="H1095" i="2" s="1"/>
  <c r="I1095" i="2" s="1"/>
  <c r="G1096" i="2"/>
  <c r="H1096" i="2" s="1"/>
  <c r="I1096" i="2" s="1"/>
  <c r="G1097" i="2"/>
  <c r="H1097" i="2" s="1"/>
  <c r="I1097" i="2" s="1"/>
  <c r="G1098" i="2"/>
  <c r="H1098" i="2" s="1"/>
  <c r="I1098" i="2" s="1"/>
  <c r="G1099" i="2"/>
  <c r="H1099" i="2" s="1"/>
  <c r="I1099" i="2" s="1"/>
  <c r="G1100" i="2"/>
  <c r="H1100" i="2" s="1"/>
  <c r="I1100" i="2" s="1"/>
  <c r="G1101" i="2"/>
  <c r="H1101" i="2" s="1"/>
  <c r="I1101" i="2" s="1"/>
  <c r="G1102" i="2"/>
  <c r="H1102" i="2" s="1"/>
  <c r="I1102" i="2" s="1"/>
  <c r="G1103" i="2"/>
  <c r="H1103" i="2" s="1"/>
  <c r="I1103" i="2" s="1"/>
  <c r="G1104" i="2"/>
  <c r="H1104" i="2" s="1"/>
  <c r="I1104" i="2" s="1"/>
  <c r="G1105" i="2"/>
  <c r="H1105" i="2" s="1"/>
  <c r="I1105" i="2" s="1"/>
  <c r="G1106" i="2"/>
  <c r="H1106" i="2" s="1"/>
  <c r="I1106" i="2" s="1"/>
  <c r="G1107" i="2"/>
  <c r="H1107" i="2" s="1"/>
  <c r="I1107" i="2" s="1"/>
  <c r="G1108" i="2"/>
  <c r="H1108" i="2" s="1"/>
  <c r="I1108" i="2" s="1"/>
  <c r="G1109" i="2"/>
  <c r="H1109" i="2" s="1"/>
  <c r="I1109" i="2" s="1"/>
  <c r="G1110" i="2"/>
  <c r="H1110" i="2" s="1"/>
  <c r="I1110" i="2" s="1"/>
  <c r="G1111" i="2"/>
  <c r="H1111" i="2" s="1"/>
  <c r="I1111" i="2" s="1"/>
  <c r="G1112" i="2"/>
  <c r="H1112" i="2" s="1"/>
  <c r="I1112" i="2" s="1"/>
  <c r="G1113" i="2"/>
  <c r="H1113" i="2" s="1"/>
  <c r="I1113" i="2" s="1"/>
  <c r="G1114" i="2"/>
  <c r="H1114" i="2" s="1"/>
  <c r="I1114" i="2" s="1"/>
  <c r="G1115" i="2"/>
  <c r="H1115" i="2" s="1"/>
  <c r="I1115" i="2" s="1"/>
  <c r="G1116" i="2"/>
  <c r="H1116" i="2" s="1"/>
  <c r="I1116" i="2" s="1"/>
  <c r="G1117" i="2"/>
  <c r="G1118" i="2"/>
  <c r="H1118" i="2" s="1"/>
  <c r="I1118" i="2" s="1"/>
  <c r="G1119" i="2"/>
  <c r="H1119" i="2" s="1"/>
  <c r="I1119" i="2" s="1"/>
  <c r="G1120" i="2"/>
  <c r="H1120" i="2" s="1"/>
  <c r="I1120" i="2" s="1"/>
  <c r="G1121" i="2"/>
  <c r="H1121" i="2" s="1"/>
  <c r="I1121" i="2" s="1"/>
  <c r="G1122" i="2"/>
  <c r="H1122" i="2" s="1"/>
  <c r="I1122" i="2" s="1"/>
  <c r="G1123" i="2"/>
  <c r="H1123" i="2" s="1"/>
  <c r="I1123" i="2" s="1"/>
  <c r="G1124" i="2"/>
  <c r="H1124" i="2" s="1"/>
  <c r="I1124" i="2" s="1"/>
  <c r="G1125" i="2"/>
  <c r="H1125" i="2" s="1"/>
  <c r="I1125" i="2" s="1"/>
  <c r="G1126" i="2"/>
  <c r="H1126" i="2" s="1"/>
  <c r="I1126" i="2" s="1"/>
  <c r="G1127" i="2"/>
  <c r="H1127" i="2" s="1"/>
  <c r="I1127" i="2" s="1"/>
  <c r="G1128" i="2"/>
  <c r="H1128" i="2" s="1"/>
  <c r="I1128" i="2" s="1"/>
  <c r="G1129" i="2"/>
  <c r="H1129" i="2" s="1"/>
  <c r="I1129" i="2" s="1"/>
  <c r="G1130" i="2"/>
  <c r="H1130" i="2" s="1"/>
  <c r="I1130" i="2" s="1"/>
  <c r="G1131" i="2"/>
  <c r="H1131" i="2" s="1"/>
  <c r="I1131" i="2" s="1"/>
  <c r="G1132" i="2"/>
  <c r="H1132" i="2" s="1"/>
  <c r="I1132" i="2" s="1"/>
  <c r="G1133" i="2"/>
  <c r="H1133" i="2" s="1"/>
  <c r="I1133" i="2" s="1"/>
  <c r="G1134" i="2"/>
  <c r="H1134" i="2" s="1"/>
  <c r="I1134" i="2" s="1"/>
  <c r="G1135" i="2"/>
  <c r="H1135" i="2" s="1"/>
  <c r="I1135" i="2" s="1"/>
  <c r="G1136" i="2"/>
  <c r="H1136" i="2" s="1"/>
  <c r="I1136" i="2" s="1"/>
  <c r="G1137" i="2"/>
  <c r="H1137" i="2" s="1"/>
  <c r="I1137" i="2" s="1"/>
  <c r="G1138" i="2"/>
  <c r="H1138" i="2" s="1"/>
  <c r="I1138" i="2" s="1"/>
  <c r="G1139" i="2"/>
  <c r="H1139" i="2" s="1"/>
  <c r="I1139" i="2" s="1"/>
  <c r="G1140" i="2"/>
  <c r="H1140" i="2" s="1"/>
  <c r="I1140" i="2" s="1"/>
  <c r="G1141" i="2"/>
  <c r="G1142" i="2"/>
  <c r="G1143" i="2"/>
  <c r="G1144" i="2"/>
  <c r="H1144" i="2" s="1"/>
  <c r="I1144" i="2" s="1"/>
  <c r="G1145" i="2"/>
  <c r="H1145" i="2" s="1"/>
  <c r="I1145" i="2" s="1"/>
  <c r="G1146" i="2"/>
  <c r="H1146" i="2" s="1"/>
  <c r="I1146" i="2" s="1"/>
  <c r="G1147" i="2"/>
  <c r="H1147" i="2" s="1"/>
  <c r="I1147" i="2" s="1"/>
  <c r="G1148" i="2"/>
  <c r="H1148" i="2" s="1"/>
  <c r="I1148" i="2" s="1"/>
  <c r="G1149" i="2"/>
  <c r="H1149" i="2" s="1"/>
  <c r="I1149" i="2" s="1"/>
  <c r="G1150" i="2"/>
  <c r="H1150" i="2" s="1"/>
  <c r="I1150" i="2" s="1"/>
  <c r="G1151" i="2"/>
  <c r="H1151" i="2" s="1"/>
  <c r="I1151" i="2" s="1"/>
  <c r="G1152" i="2"/>
  <c r="H1152" i="2" s="1"/>
  <c r="I1152" i="2" s="1"/>
  <c r="G1153" i="2"/>
  <c r="H1153" i="2" s="1"/>
  <c r="I1153" i="2" s="1"/>
  <c r="G1154" i="2"/>
  <c r="H1154" i="2" s="1"/>
  <c r="I1154" i="2" s="1"/>
  <c r="G1155" i="2"/>
  <c r="H1155" i="2" s="1"/>
  <c r="I1155" i="2" s="1"/>
  <c r="G1156" i="2"/>
  <c r="G1157" i="2"/>
  <c r="H1157" i="2" s="1"/>
  <c r="I1157" i="2" s="1"/>
  <c r="G1158" i="2"/>
  <c r="H1158" i="2" s="1"/>
  <c r="I1158" i="2" s="1"/>
  <c r="G1159" i="2"/>
  <c r="H1159" i="2" s="1"/>
  <c r="I1159" i="2" s="1"/>
  <c r="G1160" i="2"/>
  <c r="H1160" i="2" s="1"/>
  <c r="I1160" i="2" s="1"/>
  <c r="G1161" i="2"/>
  <c r="G1162" i="2"/>
  <c r="H1162" i="2" s="1"/>
  <c r="I1162" i="2" s="1"/>
  <c r="G1163" i="2"/>
  <c r="H1163" i="2" s="1"/>
  <c r="I1163" i="2" s="1"/>
  <c r="G1164" i="2"/>
  <c r="H1164" i="2" s="1"/>
  <c r="I1164" i="2" s="1"/>
  <c r="G1165" i="2"/>
  <c r="H1165" i="2" s="1"/>
  <c r="I1165" i="2" s="1"/>
  <c r="G1166" i="2"/>
  <c r="H1166" i="2" s="1"/>
  <c r="I1166" i="2" s="1"/>
  <c r="G1167" i="2"/>
  <c r="H1167" i="2" s="1"/>
  <c r="I1167" i="2" s="1"/>
  <c r="G1168" i="2"/>
  <c r="H1168" i="2" s="1"/>
  <c r="I1168" i="2" s="1"/>
  <c r="G1169" i="2"/>
  <c r="H1169" i="2" s="1"/>
  <c r="I1169" i="2" s="1"/>
  <c r="G1170" i="2"/>
  <c r="H1170" i="2" s="1"/>
  <c r="I1170" i="2" s="1"/>
  <c r="G1171" i="2"/>
  <c r="H1171" i="2" s="1"/>
  <c r="I1171" i="2" s="1"/>
  <c r="G1172" i="2"/>
  <c r="H1172" i="2" s="1"/>
  <c r="I1172" i="2" s="1"/>
  <c r="G1173" i="2"/>
  <c r="H1173" i="2" s="1"/>
  <c r="I1173" i="2" s="1"/>
  <c r="G1174" i="2"/>
  <c r="H1174" i="2" s="1"/>
  <c r="I1174" i="2" s="1"/>
  <c r="G1175" i="2"/>
  <c r="H1175" i="2" s="1"/>
  <c r="I1175" i="2" s="1"/>
  <c r="G1176" i="2"/>
  <c r="H1176" i="2" s="1"/>
  <c r="I1176" i="2" s="1"/>
  <c r="G1177" i="2"/>
  <c r="H1177" i="2" s="1"/>
  <c r="I1177" i="2" s="1"/>
  <c r="G1178" i="2"/>
  <c r="G1179" i="2"/>
  <c r="H1179" i="2" s="1"/>
  <c r="I1179" i="2" s="1"/>
  <c r="G1180" i="2"/>
  <c r="G1181" i="2"/>
  <c r="G1182" i="2"/>
  <c r="G1183" i="2"/>
  <c r="H1183" i="2" s="1"/>
  <c r="I1183" i="2" s="1"/>
  <c r="G1184" i="2"/>
  <c r="H1184" i="2" s="1"/>
  <c r="I1184" i="2" s="1"/>
  <c r="G1185" i="2"/>
  <c r="H1185" i="2" s="1"/>
  <c r="I1185" i="2" s="1"/>
  <c r="G1186" i="2"/>
  <c r="H1186" i="2" s="1"/>
  <c r="I1186" i="2" s="1"/>
  <c r="G1187" i="2"/>
  <c r="H1187" i="2" s="1"/>
  <c r="I1187" i="2" s="1"/>
  <c r="G1188" i="2"/>
  <c r="H1188" i="2" s="1"/>
  <c r="I1188" i="2" s="1"/>
  <c r="G1189" i="2"/>
  <c r="H1189" i="2" s="1"/>
  <c r="I1189" i="2" s="1"/>
  <c r="G1190" i="2"/>
  <c r="H1190" i="2" s="1"/>
  <c r="I1190" i="2" s="1"/>
  <c r="G1191" i="2"/>
  <c r="H1191" i="2" s="1"/>
  <c r="I1191" i="2" s="1"/>
  <c r="G1192" i="2"/>
  <c r="H1192" i="2" s="1"/>
  <c r="I1192" i="2" s="1"/>
  <c r="G1193" i="2"/>
  <c r="H1193" i="2" s="1"/>
  <c r="I1193" i="2" s="1"/>
  <c r="G1194" i="2"/>
  <c r="H1194" i="2" s="1"/>
  <c r="I1194" i="2" s="1"/>
  <c r="G1195" i="2"/>
  <c r="H1195" i="2" s="1"/>
  <c r="I1195" i="2" s="1"/>
  <c r="G1196" i="2"/>
  <c r="H1196" i="2" s="1"/>
  <c r="I1196" i="2" s="1"/>
  <c r="G1197" i="2"/>
  <c r="H1197" i="2" s="1"/>
  <c r="I1197" i="2" s="1"/>
  <c r="G1198" i="2"/>
  <c r="H1198" i="2" s="1"/>
  <c r="I1198" i="2" s="1"/>
  <c r="G1199" i="2"/>
  <c r="H1199" i="2" s="1"/>
  <c r="I1199" i="2" s="1"/>
  <c r="G1200" i="2"/>
  <c r="H1200" i="2" s="1"/>
  <c r="I1200" i="2" s="1"/>
  <c r="G1201" i="2"/>
  <c r="H1201" i="2" s="1"/>
  <c r="I1201" i="2" s="1"/>
  <c r="G1202" i="2"/>
  <c r="H1202" i="2" s="1"/>
  <c r="I1202" i="2" s="1"/>
  <c r="G1203" i="2"/>
  <c r="H1203" i="2" s="1"/>
  <c r="I1203" i="2" s="1"/>
  <c r="G1204" i="2"/>
  <c r="G1205" i="2"/>
  <c r="H1205" i="2" s="1"/>
  <c r="I1205" i="2" s="1"/>
  <c r="G1206" i="2"/>
  <c r="H1206" i="2" s="1"/>
  <c r="I1206" i="2" s="1"/>
  <c r="G1207" i="2"/>
  <c r="H1207" i="2" s="1"/>
  <c r="I1207" i="2" s="1"/>
  <c r="G1208" i="2"/>
  <c r="H1208" i="2" s="1"/>
  <c r="I1208" i="2" s="1"/>
  <c r="G1209" i="2"/>
  <c r="H1209" i="2" s="1"/>
  <c r="I1209" i="2" s="1"/>
  <c r="G1210" i="2"/>
  <c r="H1210" i="2" s="1"/>
  <c r="I1210" i="2" s="1"/>
  <c r="G1211" i="2"/>
  <c r="H1211" i="2" s="1"/>
  <c r="I1211" i="2" s="1"/>
  <c r="G1212" i="2"/>
  <c r="H1212" i="2" s="1"/>
  <c r="I1212" i="2" s="1"/>
  <c r="G1213" i="2"/>
  <c r="H1213" i="2" s="1"/>
  <c r="I1213" i="2" s="1"/>
  <c r="G1214" i="2"/>
  <c r="H1214" i="2" s="1"/>
  <c r="I1214" i="2" s="1"/>
  <c r="G1215" i="2"/>
  <c r="H1215" i="2" s="1"/>
  <c r="I1215" i="2" s="1"/>
  <c r="G1216" i="2"/>
  <c r="H1216" i="2" s="1"/>
  <c r="I1216" i="2" s="1"/>
  <c r="G1217" i="2"/>
  <c r="H1217" i="2" s="1"/>
  <c r="I1217" i="2" s="1"/>
  <c r="G1218" i="2"/>
  <c r="H1218" i="2" s="1"/>
  <c r="I1218" i="2" s="1"/>
  <c r="G1219" i="2"/>
  <c r="H1219" i="2" s="1"/>
  <c r="I1219" i="2" s="1"/>
  <c r="G1220" i="2"/>
  <c r="H1220" i="2" s="1"/>
  <c r="I1220" i="2" s="1"/>
  <c r="G1221" i="2"/>
  <c r="H1221" i="2" s="1"/>
  <c r="I1221" i="2" s="1"/>
  <c r="G1222" i="2"/>
  <c r="H1222" i="2" s="1"/>
  <c r="I1222" i="2" s="1"/>
  <c r="G1223" i="2"/>
  <c r="H1223" i="2" s="1"/>
  <c r="I1223" i="2" s="1"/>
  <c r="G1224" i="2"/>
  <c r="H1224" i="2" s="1"/>
  <c r="I1224" i="2" s="1"/>
  <c r="G1225" i="2"/>
  <c r="G1226" i="2"/>
  <c r="G1227" i="2"/>
  <c r="G1228" i="2"/>
  <c r="H1228" i="2" s="1"/>
  <c r="I1228" i="2" s="1"/>
  <c r="G1229" i="2"/>
  <c r="H1229" i="2" s="1"/>
  <c r="I1229" i="2" s="1"/>
  <c r="G1230" i="2"/>
  <c r="H1230" i="2" s="1"/>
  <c r="I1230" i="2" s="1"/>
  <c r="G1231" i="2"/>
  <c r="H1231" i="2" s="1"/>
  <c r="I1231" i="2" s="1"/>
  <c r="G1232" i="2"/>
  <c r="H1232" i="2" s="1"/>
  <c r="I1232" i="2" s="1"/>
  <c r="G1233" i="2"/>
  <c r="H1233" i="2" s="1"/>
  <c r="I1233" i="2" s="1"/>
  <c r="G1234" i="2"/>
  <c r="H1234" i="2" s="1"/>
  <c r="I1234" i="2" s="1"/>
  <c r="G1235" i="2"/>
  <c r="H1235" i="2" s="1"/>
  <c r="I1235" i="2" s="1"/>
  <c r="G1236" i="2"/>
  <c r="H1236" i="2" s="1"/>
  <c r="I1236" i="2" s="1"/>
  <c r="G1237" i="2"/>
  <c r="H1237" i="2" s="1"/>
  <c r="I1237" i="2" s="1"/>
  <c r="G1238" i="2"/>
  <c r="H1238" i="2" s="1"/>
  <c r="I1238" i="2" s="1"/>
  <c r="G1239" i="2"/>
  <c r="H1239" i="2" s="1"/>
  <c r="I1239" i="2" s="1"/>
  <c r="G1240" i="2"/>
  <c r="G1241" i="2"/>
  <c r="H1241" i="2" s="1"/>
  <c r="I1241" i="2" s="1"/>
  <c r="G1242" i="2"/>
  <c r="H1242" i="2" s="1"/>
  <c r="I1242" i="2" s="1"/>
  <c r="G1243" i="2"/>
  <c r="G1244" i="2"/>
  <c r="H1244" i="2" s="1"/>
  <c r="I1244" i="2" s="1"/>
  <c r="G1245" i="2"/>
  <c r="H1245" i="2" s="1"/>
  <c r="I1245" i="2" s="1"/>
  <c r="G1246" i="2"/>
  <c r="H1246" i="2" s="1"/>
  <c r="I1246" i="2" s="1"/>
  <c r="G1247" i="2"/>
  <c r="H1247" i="2" s="1"/>
  <c r="I1247" i="2" s="1"/>
  <c r="G1248" i="2"/>
  <c r="H1248" i="2" s="1"/>
  <c r="I1248" i="2" s="1"/>
  <c r="G1249" i="2"/>
  <c r="H1249" i="2" s="1"/>
  <c r="I1249" i="2" s="1"/>
  <c r="G1250" i="2"/>
  <c r="H1250" i="2" s="1"/>
  <c r="I1250" i="2" s="1"/>
  <c r="G1251" i="2"/>
  <c r="H1251" i="2" s="1"/>
  <c r="I1251" i="2" s="1"/>
  <c r="G1252" i="2"/>
  <c r="H1252" i="2" s="1"/>
  <c r="I1252" i="2" s="1"/>
  <c r="G1253" i="2"/>
  <c r="H1253" i="2" s="1"/>
  <c r="I1253" i="2" s="1"/>
  <c r="G1254" i="2"/>
  <c r="H1254" i="2" s="1"/>
  <c r="I1254" i="2" s="1"/>
  <c r="G1255" i="2"/>
  <c r="H1255" i="2" s="1"/>
  <c r="I1255" i="2" s="1"/>
  <c r="G1256" i="2"/>
  <c r="H1256" i="2" s="1"/>
  <c r="I1256" i="2" s="1"/>
  <c r="G1257" i="2"/>
  <c r="H1257" i="2" s="1"/>
  <c r="I1257" i="2" s="1"/>
  <c r="G1258" i="2"/>
  <c r="H1258" i="2" s="1"/>
  <c r="I1258" i="2" s="1"/>
  <c r="G1259" i="2"/>
  <c r="H1259" i="2" s="1"/>
  <c r="I1259" i="2" s="1"/>
  <c r="G1260" i="2"/>
  <c r="H1260" i="2" s="1"/>
  <c r="I1260" i="2" s="1"/>
  <c r="G1261" i="2"/>
  <c r="H1261" i="2" s="1"/>
  <c r="I1261" i="2" s="1"/>
  <c r="G1262" i="2"/>
  <c r="H1262" i="2" s="1"/>
  <c r="I1262" i="2" s="1"/>
  <c r="G1263" i="2"/>
  <c r="H1263" i="2" s="1"/>
  <c r="I1263" i="2" s="1"/>
  <c r="G1264" i="2"/>
  <c r="H1264" i="2" s="1"/>
  <c r="I1264" i="2" s="1"/>
  <c r="G1265" i="2"/>
  <c r="H1265" i="2" s="1"/>
  <c r="I1265" i="2" s="1"/>
  <c r="G1266" i="2"/>
  <c r="H1266" i="2" s="1"/>
  <c r="I1266" i="2" s="1"/>
  <c r="G1267" i="2"/>
  <c r="H1267" i="2" s="1"/>
  <c r="I1267" i="2" s="1"/>
  <c r="G1268" i="2"/>
  <c r="H1268" i="2" s="1"/>
  <c r="I1268" i="2" s="1"/>
  <c r="G1269" i="2"/>
  <c r="H1269" i="2" s="1"/>
  <c r="I1269" i="2" s="1"/>
  <c r="G1270" i="2"/>
  <c r="H1270" i="2" s="1"/>
  <c r="I1270" i="2" s="1"/>
  <c r="G1271" i="2"/>
  <c r="H1271" i="2" s="1"/>
  <c r="I1271" i="2" s="1"/>
  <c r="G1272" i="2"/>
  <c r="H1272" i="2" s="1"/>
  <c r="I1272" i="2" s="1"/>
  <c r="G1273" i="2"/>
  <c r="H1273" i="2" s="1"/>
  <c r="I1273" i="2" s="1"/>
  <c r="G1274" i="2"/>
  <c r="H1274" i="2" s="1"/>
  <c r="I1274" i="2" s="1"/>
  <c r="G1275" i="2"/>
  <c r="H1275" i="2" s="1"/>
  <c r="I1275" i="2" s="1"/>
  <c r="G1276" i="2"/>
  <c r="H1276" i="2" s="1"/>
  <c r="I1276" i="2" s="1"/>
  <c r="G1277" i="2"/>
  <c r="H1277" i="2" s="1"/>
  <c r="I1277" i="2" s="1"/>
  <c r="G1278" i="2"/>
  <c r="H1278" i="2" s="1"/>
  <c r="I1278" i="2" s="1"/>
  <c r="G1279" i="2"/>
  <c r="H1279" i="2" s="1"/>
  <c r="I1279" i="2" s="1"/>
  <c r="G1280" i="2"/>
  <c r="H1280" i="2" s="1"/>
  <c r="I1280" i="2" s="1"/>
  <c r="G1281" i="2"/>
  <c r="H1281" i="2" s="1"/>
  <c r="I1281" i="2" s="1"/>
  <c r="G1282" i="2"/>
  <c r="H1282" i="2" s="1"/>
  <c r="I1282" i="2" s="1"/>
  <c r="G1283" i="2"/>
  <c r="H1283" i="2" s="1"/>
  <c r="I1283" i="2" s="1"/>
  <c r="G1284" i="2"/>
  <c r="H1284" i="2" s="1"/>
  <c r="I1284" i="2" s="1"/>
  <c r="G1285" i="2"/>
  <c r="G1286" i="2"/>
  <c r="G1287" i="2"/>
  <c r="H1287" i="2" s="1"/>
  <c r="I1287" i="2" s="1"/>
  <c r="G1288" i="2"/>
  <c r="H1288" i="2" s="1"/>
  <c r="I1288" i="2" s="1"/>
  <c r="G1289" i="2"/>
  <c r="H1289" i="2" s="1"/>
  <c r="I1289" i="2" s="1"/>
  <c r="G1290" i="2"/>
  <c r="H1290" i="2" s="1"/>
  <c r="I1290" i="2" s="1"/>
  <c r="G1291" i="2"/>
  <c r="H1291" i="2" s="1"/>
  <c r="I1291" i="2" s="1"/>
  <c r="G1292" i="2"/>
  <c r="H1292" i="2" s="1"/>
  <c r="I1292" i="2" s="1"/>
  <c r="G1293" i="2"/>
  <c r="H1293" i="2" s="1"/>
  <c r="I1293" i="2" s="1"/>
  <c r="G1294" i="2"/>
  <c r="H1294" i="2" s="1"/>
  <c r="I1294" i="2" s="1"/>
  <c r="G1295" i="2"/>
  <c r="H1295" i="2" s="1"/>
  <c r="I1295" i="2" s="1"/>
  <c r="G1296" i="2"/>
  <c r="H1296" i="2" s="1"/>
  <c r="I1296" i="2" s="1"/>
  <c r="G1297" i="2"/>
  <c r="H1297" i="2" s="1"/>
  <c r="I1297" i="2" s="1"/>
  <c r="G1298" i="2"/>
  <c r="H1298" i="2" s="1"/>
  <c r="I1298" i="2" s="1"/>
  <c r="G1299" i="2"/>
  <c r="H1299" i="2" s="1"/>
  <c r="I1299" i="2" s="1"/>
  <c r="G1300" i="2"/>
  <c r="H1300" i="2" s="1"/>
  <c r="I1300" i="2" s="1"/>
  <c r="G1301" i="2"/>
  <c r="H1301" i="2" s="1"/>
  <c r="I1301" i="2" s="1"/>
  <c r="G1302" i="2"/>
  <c r="H1302" i="2" s="1"/>
  <c r="I1302" i="2" s="1"/>
  <c r="G1303" i="2"/>
  <c r="H1303" i="2" s="1"/>
  <c r="I1303" i="2" s="1"/>
  <c r="G1304" i="2"/>
  <c r="H1304" i="2" s="1"/>
  <c r="I1304" i="2" s="1"/>
  <c r="G1305" i="2"/>
  <c r="H1305" i="2" s="1"/>
  <c r="I1305" i="2" s="1"/>
  <c r="G1306" i="2"/>
  <c r="H1306" i="2" s="1"/>
  <c r="I1306" i="2" s="1"/>
  <c r="G1307" i="2"/>
  <c r="H1307" i="2" s="1"/>
  <c r="I1307" i="2" s="1"/>
  <c r="G1308" i="2"/>
  <c r="H1308" i="2" s="1"/>
  <c r="I1308" i="2" s="1"/>
  <c r="G1309" i="2"/>
  <c r="G1310" i="2"/>
  <c r="H1310" i="2" s="1"/>
  <c r="I1310" i="2" s="1"/>
  <c r="G1311" i="2"/>
  <c r="H1311" i="2" s="1"/>
  <c r="I1311" i="2" s="1"/>
  <c r="G1312" i="2"/>
  <c r="H1312" i="2" s="1"/>
  <c r="I1312" i="2" s="1"/>
  <c r="G1313" i="2"/>
  <c r="H1313" i="2" s="1"/>
  <c r="I1313" i="2" s="1"/>
  <c r="G1314" i="2"/>
  <c r="H1314" i="2" s="1"/>
  <c r="I1314" i="2" s="1"/>
  <c r="G1315" i="2"/>
  <c r="H1315" i="2" s="1"/>
  <c r="I1315" i="2" s="1"/>
  <c r="G1316" i="2"/>
  <c r="H1316" i="2" s="1"/>
  <c r="I1316" i="2" s="1"/>
  <c r="G1317" i="2"/>
  <c r="H1317" i="2" s="1"/>
  <c r="I1317" i="2" s="1"/>
  <c r="G1318" i="2"/>
  <c r="H1318" i="2" s="1"/>
  <c r="I1318" i="2" s="1"/>
  <c r="G1319" i="2"/>
  <c r="H1319" i="2" s="1"/>
  <c r="I1319" i="2" s="1"/>
  <c r="G1320" i="2"/>
  <c r="H1320" i="2" s="1"/>
  <c r="I1320" i="2" s="1"/>
  <c r="G1321" i="2"/>
  <c r="H1321" i="2" s="1"/>
  <c r="I1321" i="2" s="1"/>
  <c r="G1322" i="2"/>
  <c r="G1323" i="2"/>
  <c r="H1323" i="2" s="1"/>
  <c r="I1323" i="2" s="1"/>
  <c r="G1324" i="2"/>
  <c r="H1324" i="2" s="1"/>
  <c r="I1324" i="2" s="1"/>
  <c r="G1325" i="2"/>
  <c r="H1325" i="2" s="1"/>
  <c r="I1325" i="2" s="1"/>
  <c r="G1326" i="2"/>
  <c r="H1326" i="2" s="1"/>
  <c r="I1326" i="2" s="1"/>
  <c r="G1327" i="2"/>
  <c r="H1327" i="2" s="1"/>
  <c r="I1327" i="2" s="1"/>
  <c r="G1328" i="2"/>
  <c r="H1328" i="2" s="1"/>
  <c r="I1328" i="2" s="1"/>
  <c r="G1329" i="2"/>
  <c r="H1329" i="2" s="1"/>
  <c r="I1329" i="2" s="1"/>
  <c r="G1330" i="2"/>
  <c r="G1331" i="2"/>
  <c r="H1331" i="2" s="1"/>
  <c r="I1331" i="2" s="1"/>
  <c r="G1332" i="2"/>
  <c r="H1332" i="2" s="1"/>
  <c r="I1332" i="2" s="1"/>
  <c r="G1333" i="2"/>
  <c r="H1333" i="2" s="1"/>
  <c r="I1333" i="2" s="1"/>
  <c r="G1334" i="2"/>
  <c r="H1334" i="2" s="1"/>
  <c r="I1334" i="2" s="1"/>
  <c r="G1335" i="2"/>
  <c r="H1335" i="2" s="1"/>
  <c r="I1335" i="2" s="1"/>
  <c r="G1336" i="2"/>
  <c r="H1336" i="2" s="1"/>
  <c r="I1336" i="2" s="1"/>
  <c r="G1337" i="2"/>
  <c r="H1337" i="2" s="1"/>
  <c r="I1337" i="2" s="1"/>
  <c r="G1338" i="2"/>
  <c r="H1338" i="2" s="1"/>
  <c r="I1338" i="2" s="1"/>
  <c r="G1339" i="2"/>
  <c r="H1339" i="2" s="1"/>
  <c r="I1339" i="2" s="1"/>
  <c r="G1340" i="2"/>
  <c r="H1340" i="2" s="1"/>
  <c r="I1340" i="2" s="1"/>
  <c r="G1341" i="2"/>
  <c r="H1341" i="2" s="1"/>
  <c r="I1341" i="2" s="1"/>
  <c r="G1342" i="2"/>
  <c r="H1342" i="2" s="1"/>
  <c r="I1342" i="2" s="1"/>
  <c r="G1343" i="2"/>
  <c r="H1343" i="2" s="1"/>
  <c r="I1343" i="2" s="1"/>
  <c r="G1344" i="2"/>
  <c r="H1344" i="2" s="1"/>
  <c r="I1344" i="2" s="1"/>
  <c r="G1345" i="2"/>
  <c r="H1345" i="2" s="1"/>
  <c r="I1345" i="2" s="1"/>
  <c r="G1346" i="2"/>
  <c r="G1347" i="2"/>
  <c r="H1347" i="2" s="1"/>
  <c r="I1347" i="2" s="1"/>
  <c r="G1348" i="2"/>
  <c r="G1349" i="2"/>
  <c r="G1350" i="2"/>
  <c r="G1351" i="2"/>
  <c r="H1351" i="2" s="1"/>
  <c r="I1351" i="2" s="1"/>
  <c r="G1352" i="2"/>
  <c r="H1352" i="2" s="1"/>
  <c r="I1352" i="2" s="1"/>
  <c r="G1353" i="2"/>
  <c r="H1353" i="2" s="1"/>
  <c r="I1353" i="2" s="1"/>
  <c r="G1354" i="2"/>
  <c r="H1354" i="2" s="1"/>
  <c r="I1354" i="2" s="1"/>
  <c r="G1355" i="2"/>
  <c r="H1355" i="2" s="1"/>
  <c r="I1355" i="2" s="1"/>
  <c r="G1356" i="2"/>
  <c r="H1356" i="2" s="1"/>
  <c r="I1356" i="2" s="1"/>
  <c r="G1357" i="2"/>
  <c r="H1357" i="2" s="1"/>
  <c r="I1357" i="2" s="1"/>
  <c r="G1358" i="2"/>
  <c r="H1358" i="2" s="1"/>
  <c r="I1358" i="2" s="1"/>
  <c r="G1359" i="2"/>
  <c r="H1359" i="2" s="1"/>
  <c r="I1359" i="2" s="1"/>
  <c r="G1360" i="2"/>
  <c r="H1360" i="2" s="1"/>
  <c r="I1360" i="2" s="1"/>
  <c r="G1361" i="2"/>
  <c r="H1361" i="2" s="1"/>
  <c r="I1361" i="2" s="1"/>
  <c r="G1362" i="2"/>
  <c r="G1363" i="2"/>
  <c r="H1363" i="2" s="1"/>
  <c r="I1363" i="2" s="1"/>
  <c r="G1364" i="2"/>
  <c r="H1364" i="2" s="1"/>
  <c r="I1364" i="2" s="1"/>
  <c r="G1365" i="2"/>
  <c r="H1365" i="2" s="1"/>
  <c r="I1365" i="2" s="1"/>
  <c r="G1366" i="2"/>
  <c r="H1366" i="2" s="1"/>
  <c r="I1366" i="2" s="1"/>
  <c r="G1367" i="2"/>
  <c r="G1368" i="2"/>
  <c r="H1368" i="2" s="1"/>
  <c r="I1368" i="2" s="1"/>
  <c r="G1369" i="2"/>
  <c r="H1369" i="2" s="1"/>
  <c r="I1369" i="2" s="1"/>
  <c r="G1370" i="2"/>
  <c r="H1370" i="2" s="1"/>
  <c r="I1370" i="2" s="1"/>
  <c r="G1371" i="2"/>
  <c r="H1371" i="2" s="1"/>
  <c r="I1371" i="2" s="1"/>
  <c r="G1372" i="2"/>
  <c r="H1372" i="2" s="1"/>
  <c r="I1372" i="2" s="1"/>
  <c r="G1373" i="2"/>
  <c r="H1373" i="2" s="1"/>
  <c r="I1373" i="2" s="1"/>
  <c r="G1374" i="2"/>
  <c r="H1374" i="2" s="1"/>
  <c r="I1374" i="2" s="1"/>
  <c r="G1375" i="2"/>
  <c r="H1375" i="2" s="1"/>
  <c r="I1375" i="2" s="1"/>
  <c r="G1376" i="2"/>
  <c r="H1376" i="2" s="1"/>
  <c r="I1376" i="2" s="1"/>
  <c r="G1377" i="2"/>
  <c r="H1377" i="2" s="1"/>
  <c r="I1377" i="2" s="1"/>
  <c r="G1378" i="2"/>
  <c r="H1378" i="2" s="1"/>
  <c r="I1378" i="2" s="1"/>
  <c r="G1379" i="2"/>
  <c r="H1379" i="2" s="1"/>
  <c r="I1379" i="2" s="1"/>
  <c r="G1380" i="2"/>
  <c r="H1380" i="2" s="1"/>
  <c r="I1380" i="2" s="1"/>
  <c r="G1381" i="2"/>
  <c r="H1381" i="2" s="1"/>
  <c r="I1381" i="2" s="1"/>
  <c r="G1382" i="2"/>
  <c r="G1383" i="2"/>
  <c r="H1383" i="2" s="1"/>
  <c r="I1383" i="2" s="1"/>
  <c r="G1384" i="2"/>
  <c r="H1384" i="2" s="1"/>
  <c r="I1384" i="2" s="1"/>
  <c r="G1385" i="2"/>
  <c r="H1385" i="2" s="1"/>
  <c r="I1385" i="2" s="1"/>
  <c r="G1386" i="2"/>
  <c r="H1386" i="2" s="1"/>
  <c r="I1386" i="2" s="1"/>
  <c r="G1387" i="2"/>
  <c r="H1387" i="2" s="1"/>
  <c r="I1387" i="2" s="1"/>
  <c r="G1388" i="2"/>
  <c r="H1388" i="2" s="1"/>
  <c r="I1388" i="2" s="1"/>
  <c r="G1389" i="2"/>
  <c r="H1389" i="2" s="1"/>
  <c r="I1389" i="2" s="1"/>
  <c r="G1390" i="2"/>
  <c r="H1390" i="2" s="1"/>
  <c r="I1390" i="2" s="1"/>
  <c r="G1391" i="2"/>
  <c r="H1391" i="2" s="1"/>
  <c r="I1391" i="2" s="1"/>
  <c r="G1392" i="2"/>
  <c r="H1392" i="2" s="1"/>
  <c r="I1392" i="2" s="1"/>
  <c r="G1393" i="2"/>
  <c r="H1393" i="2" s="1"/>
  <c r="I1393" i="2" s="1"/>
  <c r="G1394" i="2"/>
  <c r="H1394" i="2" s="1"/>
  <c r="I1394" i="2" s="1"/>
  <c r="G1395" i="2"/>
  <c r="H1395" i="2" s="1"/>
  <c r="I1395" i="2" s="1"/>
  <c r="G1396" i="2"/>
  <c r="H1396" i="2" s="1"/>
  <c r="I1396" i="2" s="1"/>
  <c r="G1397" i="2"/>
  <c r="H1397" i="2" s="1"/>
  <c r="I1397" i="2" s="1"/>
  <c r="G1398" i="2"/>
  <c r="H1398" i="2" s="1"/>
  <c r="I1398" i="2" s="1"/>
  <c r="G1399" i="2"/>
  <c r="H1399" i="2" s="1"/>
  <c r="I1399" i="2" s="1"/>
  <c r="G1400" i="2"/>
  <c r="H1400" i="2" s="1"/>
  <c r="I1400" i="2" s="1"/>
  <c r="G1401" i="2"/>
  <c r="H1401" i="2" s="1"/>
  <c r="I1401" i="2" s="1"/>
  <c r="G1402" i="2"/>
  <c r="H1402" i="2" s="1"/>
  <c r="I1402" i="2" s="1"/>
  <c r="G1403" i="2"/>
  <c r="H1403" i="2" s="1"/>
  <c r="I1403" i="2" s="1"/>
  <c r="G1404" i="2"/>
  <c r="H1404" i="2" s="1"/>
  <c r="I1404" i="2" s="1"/>
  <c r="G1405" i="2"/>
  <c r="G1406" i="2"/>
  <c r="G1407" i="2"/>
  <c r="H1407" i="2" s="1"/>
  <c r="I1407" i="2" s="1"/>
  <c r="G1408" i="2"/>
  <c r="H1408" i="2" s="1"/>
  <c r="I1408" i="2" s="1"/>
  <c r="G1409" i="2"/>
  <c r="H1409" i="2" s="1"/>
  <c r="I1409" i="2" s="1"/>
  <c r="G1410" i="2"/>
  <c r="H1410" i="2" s="1"/>
  <c r="I1410" i="2" s="1"/>
  <c r="G1411" i="2"/>
  <c r="H1411" i="2" s="1"/>
  <c r="I1411" i="2" s="1"/>
  <c r="G1412" i="2"/>
  <c r="H1412" i="2" s="1"/>
  <c r="I1412" i="2" s="1"/>
  <c r="G1413" i="2"/>
  <c r="H1413" i="2" s="1"/>
  <c r="I1413" i="2" s="1"/>
  <c r="G1414" i="2"/>
  <c r="H1414" i="2" s="1"/>
  <c r="I1414" i="2" s="1"/>
  <c r="G1415" i="2"/>
  <c r="H1415" i="2" s="1"/>
  <c r="I1415" i="2" s="1"/>
  <c r="G1416" i="2"/>
  <c r="H1416" i="2" s="1"/>
  <c r="I1416" i="2" s="1"/>
  <c r="G1417" i="2"/>
  <c r="H1417" i="2" s="1"/>
  <c r="I1417" i="2" s="1"/>
  <c r="G1418" i="2"/>
  <c r="H1418" i="2" s="1"/>
  <c r="I1418" i="2" s="1"/>
  <c r="G1419" i="2"/>
  <c r="H1419" i="2" s="1"/>
  <c r="I1419" i="2" s="1"/>
  <c r="G1420" i="2"/>
  <c r="H1420" i="2" s="1"/>
  <c r="I1420" i="2" s="1"/>
  <c r="G1421" i="2"/>
  <c r="H1421" i="2" s="1"/>
  <c r="I1421" i="2" s="1"/>
  <c r="G1422" i="2"/>
  <c r="H1422" i="2" s="1"/>
  <c r="I1422" i="2" s="1"/>
  <c r="G1423" i="2"/>
  <c r="H1423" i="2" s="1"/>
  <c r="I1423" i="2" s="1"/>
  <c r="G1424" i="2"/>
  <c r="H1424" i="2" s="1"/>
  <c r="I1424" i="2" s="1"/>
  <c r="G1425" i="2"/>
  <c r="H1425" i="2" s="1"/>
  <c r="I1425" i="2" s="1"/>
  <c r="G1426" i="2"/>
  <c r="H1426" i="2" s="1"/>
  <c r="I1426" i="2" s="1"/>
  <c r="G1427" i="2"/>
  <c r="H1427" i="2" s="1"/>
  <c r="I1427" i="2" s="1"/>
  <c r="G1428" i="2"/>
  <c r="H1428" i="2" s="1"/>
  <c r="I1428" i="2" s="1"/>
  <c r="G1429" i="2"/>
  <c r="H1429" i="2" s="1"/>
  <c r="I1429" i="2" s="1"/>
  <c r="G1430" i="2"/>
  <c r="H1430" i="2" s="1"/>
  <c r="I1430" i="2" s="1"/>
  <c r="G1431" i="2"/>
  <c r="H1431" i="2" s="1"/>
  <c r="I1431" i="2" s="1"/>
  <c r="G1432" i="2"/>
  <c r="H1432" i="2" s="1"/>
  <c r="I1432" i="2" s="1"/>
  <c r="G1433" i="2"/>
  <c r="H1433" i="2" s="1"/>
  <c r="I1433" i="2" s="1"/>
  <c r="G1434" i="2"/>
  <c r="H1434" i="2" s="1"/>
  <c r="I1434" i="2" s="1"/>
  <c r="G1435" i="2"/>
  <c r="H1435" i="2" s="1"/>
  <c r="I1435" i="2" s="1"/>
  <c r="G1436" i="2"/>
  <c r="H1436" i="2" s="1"/>
  <c r="I1436" i="2" s="1"/>
  <c r="G1437" i="2"/>
  <c r="H1437" i="2" s="1"/>
  <c r="I1437" i="2" s="1"/>
  <c r="G1438" i="2"/>
  <c r="H1438" i="2" s="1"/>
  <c r="I1438" i="2" s="1"/>
  <c r="G1439" i="2"/>
  <c r="H1439" i="2" s="1"/>
  <c r="I1439" i="2" s="1"/>
  <c r="G1440" i="2"/>
  <c r="H1440" i="2" s="1"/>
  <c r="I1440" i="2" s="1"/>
  <c r="G1441" i="2"/>
  <c r="H1441" i="2" s="1"/>
  <c r="I1441" i="2" s="1"/>
  <c r="G1442" i="2"/>
  <c r="H1442" i="2" s="1"/>
  <c r="I1442" i="2" s="1"/>
  <c r="G1443" i="2"/>
  <c r="G1444" i="2"/>
  <c r="H1444" i="2" s="1"/>
  <c r="I1444" i="2" s="1"/>
  <c r="G1445" i="2"/>
  <c r="H1445" i="2" s="1"/>
  <c r="I1445" i="2" s="1"/>
  <c r="G1446" i="2"/>
  <c r="H1446" i="2" s="1"/>
  <c r="I1446" i="2" s="1"/>
  <c r="G1447" i="2"/>
  <c r="H1447" i="2" s="1"/>
  <c r="I1447" i="2" s="1"/>
  <c r="G1448" i="2"/>
  <c r="H1448" i="2" s="1"/>
  <c r="I1448" i="2" s="1"/>
  <c r="G1449" i="2"/>
  <c r="H1449" i="2" s="1"/>
  <c r="I1449" i="2" s="1"/>
  <c r="G1450" i="2"/>
  <c r="H1450" i="2" s="1"/>
  <c r="I1450" i="2" s="1"/>
  <c r="G1451" i="2"/>
  <c r="H1451" i="2" s="1"/>
  <c r="I1451" i="2" s="1"/>
  <c r="G1452" i="2"/>
  <c r="H1452" i="2" s="1"/>
  <c r="I1452" i="2" s="1"/>
  <c r="G1453" i="2"/>
  <c r="H1453" i="2" s="1"/>
  <c r="I1453" i="2" s="1"/>
  <c r="G1454" i="2"/>
  <c r="H1454" i="2" s="1"/>
  <c r="I1454" i="2" s="1"/>
  <c r="G1455" i="2"/>
  <c r="H1455" i="2" s="1"/>
  <c r="I1455" i="2" s="1"/>
  <c r="G1456" i="2"/>
  <c r="H1456" i="2" s="1"/>
  <c r="I1456" i="2" s="1"/>
  <c r="G1457" i="2"/>
  <c r="H1457" i="2" s="1"/>
  <c r="I1457" i="2" s="1"/>
  <c r="G1458" i="2"/>
  <c r="H1458" i="2" s="1"/>
  <c r="I1458" i="2" s="1"/>
  <c r="G1459" i="2"/>
  <c r="H1459" i="2" s="1"/>
  <c r="I1459" i="2" s="1"/>
  <c r="G1460" i="2"/>
  <c r="H1460" i="2" s="1"/>
  <c r="I1460" i="2" s="1"/>
  <c r="G1461" i="2"/>
  <c r="H1461" i="2" s="1"/>
  <c r="I1461" i="2" s="1"/>
  <c r="G1462" i="2"/>
  <c r="H1462" i="2" s="1"/>
  <c r="I1462" i="2" s="1"/>
  <c r="G1463" i="2"/>
  <c r="H1463" i="2" s="1"/>
  <c r="I1463" i="2" s="1"/>
  <c r="G1464" i="2"/>
  <c r="H1464" i="2" s="1"/>
  <c r="I1464" i="2" s="1"/>
  <c r="G1465" i="2"/>
  <c r="H1465" i="2" s="1"/>
  <c r="I1465" i="2" s="1"/>
  <c r="G1466" i="2"/>
  <c r="H1466" i="2" s="1"/>
  <c r="I1466" i="2" s="1"/>
  <c r="G1467" i="2"/>
  <c r="H1467" i="2" s="1"/>
  <c r="I1467" i="2" s="1"/>
  <c r="G1468" i="2"/>
  <c r="H1468" i="2" s="1"/>
  <c r="I1468" i="2" s="1"/>
  <c r="G1469" i="2"/>
  <c r="H1469" i="2" s="1"/>
  <c r="I1469" i="2" s="1"/>
  <c r="G1470" i="2"/>
  <c r="H1470" i="2" s="1"/>
  <c r="I1470" i="2" s="1"/>
  <c r="G1471" i="2"/>
  <c r="H1471" i="2" s="1"/>
  <c r="I1471" i="2" s="1"/>
  <c r="G1472" i="2"/>
  <c r="H1472" i="2" s="1"/>
  <c r="I1472" i="2" s="1"/>
  <c r="G1473" i="2"/>
  <c r="H1473" i="2" s="1"/>
  <c r="I1473" i="2" s="1"/>
  <c r="G1474" i="2"/>
  <c r="H1474" i="2" s="1"/>
  <c r="I1474" i="2" s="1"/>
  <c r="G1475" i="2"/>
  <c r="H1475" i="2" s="1"/>
  <c r="I1475" i="2" s="1"/>
  <c r="G1476" i="2"/>
  <c r="H1476" i="2" s="1"/>
  <c r="I1476" i="2" s="1"/>
  <c r="G1477" i="2"/>
  <c r="H1477" i="2" s="1"/>
  <c r="I1477" i="2" s="1"/>
  <c r="G1478" i="2"/>
  <c r="H1478" i="2" s="1"/>
  <c r="I1478" i="2" s="1"/>
  <c r="G1479" i="2"/>
  <c r="H1479" i="2" s="1"/>
  <c r="I1479" i="2" s="1"/>
  <c r="G1480" i="2"/>
  <c r="H1480" i="2" s="1"/>
  <c r="I1480" i="2" s="1"/>
  <c r="G1481" i="2"/>
  <c r="H1481" i="2" s="1"/>
  <c r="I1481" i="2" s="1"/>
  <c r="G1482" i="2"/>
  <c r="H1482" i="2" s="1"/>
  <c r="I1482" i="2" s="1"/>
  <c r="G1483" i="2"/>
  <c r="H1483" i="2" s="1"/>
  <c r="I1483" i="2" s="1"/>
  <c r="G1484" i="2"/>
  <c r="H1484" i="2" s="1"/>
  <c r="I1484" i="2" s="1"/>
  <c r="G1485" i="2"/>
  <c r="H1485" i="2" s="1"/>
  <c r="I1485" i="2" s="1"/>
  <c r="G1486" i="2"/>
  <c r="H1486" i="2" s="1"/>
  <c r="I1486" i="2" s="1"/>
  <c r="G1487" i="2"/>
  <c r="H1487" i="2" s="1"/>
  <c r="I1487" i="2" s="1"/>
  <c r="G1488" i="2"/>
  <c r="H1488" i="2" s="1"/>
  <c r="I1488" i="2" s="1"/>
  <c r="G1489" i="2"/>
  <c r="H1489" i="2" s="1"/>
  <c r="I1489" i="2" s="1"/>
  <c r="G1490" i="2"/>
  <c r="G1491" i="2"/>
  <c r="H1491" i="2" s="1"/>
  <c r="I1491" i="2" s="1"/>
  <c r="G1492" i="2"/>
  <c r="H1492" i="2" s="1"/>
  <c r="I1492" i="2" s="1"/>
  <c r="G1493" i="2"/>
  <c r="H1493" i="2" s="1"/>
  <c r="I1493" i="2" s="1"/>
  <c r="G1494" i="2"/>
  <c r="H1494" i="2" s="1"/>
  <c r="I1494" i="2" s="1"/>
  <c r="G1495" i="2"/>
  <c r="H1495" i="2" s="1"/>
  <c r="I1495" i="2" s="1"/>
  <c r="G1496" i="2"/>
  <c r="H1496" i="2" s="1"/>
  <c r="I1496" i="2" s="1"/>
  <c r="G1497" i="2"/>
  <c r="H1497" i="2" s="1"/>
  <c r="I1497" i="2" s="1"/>
  <c r="G1498" i="2"/>
  <c r="H1498" i="2" s="1"/>
  <c r="I1498" i="2" s="1"/>
  <c r="G1499" i="2"/>
  <c r="H1499" i="2" s="1"/>
  <c r="I1499" i="2" s="1"/>
  <c r="G1500" i="2"/>
  <c r="H1500" i="2" s="1"/>
  <c r="I1500" i="2" s="1"/>
  <c r="G1501" i="2"/>
  <c r="H1501" i="2" s="1"/>
  <c r="I1501" i="2" s="1"/>
  <c r="G1502" i="2"/>
  <c r="H1502" i="2" s="1"/>
  <c r="I1502" i="2" s="1"/>
  <c r="G1503" i="2"/>
  <c r="H1503" i="2" s="1"/>
  <c r="I1503" i="2" s="1"/>
  <c r="G1504" i="2"/>
  <c r="H1504" i="2" s="1"/>
  <c r="I1504" i="2" s="1"/>
  <c r="G1505" i="2"/>
  <c r="H1505" i="2" s="1"/>
  <c r="I1505" i="2" s="1"/>
  <c r="G1506" i="2"/>
  <c r="H1506" i="2" s="1"/>
  <c r="I1506" i="2" s="1"/>
  <c r="G1507" i="2"/>
  <c r="H1507" i="2" s="1"/>
  <c r="I1507" i="2" s="1"/>
  <c r="G1508" i="2"/>
  <c r="H1508" i="2" s="1"/>
  <c r="I1508" i="2" s="1"/>
  <c r="G1509" i="2"/>
  <c r="H1509" i="2" s="1"/>
  <c r="I1509" i="2" s="1"/>
  <c r="G1510" i="2"/>
  <c r="H1510" i="2" s="1"/>
  <c r="I1510" i="2" s="1"/>
  <c r="G1511" i="2"/>
  <c r="H1511" i="2" s="1"/>
  <c r="I1511" i="2" s="1"/>
  <c r="G1512" i="2"/>
  <c r="H1512" i="2" s="1"/>
  <c r="I1512" i="2" s="1"/>
  <c r="G1513" i="2"/>
  <c r="H1513" i="2" s="1"/>
  <c r="I1513" i="2" s="1"/>
  <c r="G1514" i="2"/>
  <c r="H1514" i="2" s="1"/>
  <c r="I1514" i="2" s="1"/>
  <c r="G1515" i="2"/>
  <c r="H1515" i="2" s="1"/>
  <c r="I1515" i="2" s="1"/>
  <c r="G1516" i="2"/>
  <c r="H1516" i="2" s="1"/>
  <c r="I1516" i="2" s="1"/>
  <c r="G1517" i="2"/>
  <c r="H1517" i="2" s="1"/>
  <c r="I1517" i="2" s="1"/>
  <c r="G1518" i="2"/>
  <c r="H1518" i="2" s="1"/>
  <c r="I1518" i="2" s="1"/>
  <c r="G1519" i="2"/>
  <c r="H1519" i="2" s="1"/>
  <c r="I1519" i="2" s="1"/>
  <c r="G1520" i="2"/>
  <c r="H1520" i="2" s="1"/>
  <c r="I1520" i="2" s="1"/>
  <c r="G1521" i="2"/>
  <c r="H1521" i="2" s="1"/>
  <c r="I1521" i="2" s="1"/>
  <c r="G1522" i="2"/>
  <c r="H1522" i="2" s="1"/>
  <c r="I1522" i="2" s="1"/>
  <c r="G1523" i="2"/>
  <c r="H1523" i="2" s="1"/>
  <c r="I1523" i="2" s="1"/>
  <c r="G1524" i="2"/>
  <c r="H1524" i="2" s="1"/>
  <c r="I1524" i="2" s="1"/>
  <c r="G1525" i="2"/>
  <c r="H1525" i="2" s="1"/>
  <c r="I1525" i="2" s="1"/>
  <c r="G1526" i="2"/>
  <c r="G1527" i="2"/>
  <c r="H1527" i="2" s="1"/>
  <c r="I1527" i="2" s="1"/>
  <c r="G1528" i="2"/>
  <c r="G1529" i="2"/>
  <c r="G1530" i="2"/>
  <c r="G1531" i="2"/>
  <c r="H1531" i="2" s="1"/>
  <c r="I1531" i="2" s="1"/>
  <c r="G1532" i="2"/>
  <c r="H1532" i="2" s="1"/>
  <c r="I1532" i="2" s="1"/>
  <c r="G1533" i="2"/>
  <c r="H1533" i="2" s="1"/>
  <c r="I1533" i="2" s="1"/>
  <c r="G1534" i="2"/>
  <c r="H1534" i="2" s="1"/>
  <c r="I1534" i="2" s="1"/>
  <c r="G1535" i="2"/>
  <c r="H1535" i="2" s="1"/>
  <c r="I1535" i="2" s="1"/>
  <c r="G1536" i="2"/>
  <c r="H1536" i="2" s="1"/>
  <c r="I1536" i="2" s="1"/>
  <c r="G1537" i="2"/>
  <c r="H1537" i="2" s="1"/>
  <c r="I1537" i="2" s="1"/>
  <c r="G1538" i="2"/>
  <c r="H1538" i="2" s="1"/>
  <c r="I1538" i="2" s="1"/>
  <c r="G1539" i="2"/>
  <c r="H1539" i="2" s="1"/>
  <c r="I1539" i="2" s="1"/>
  <c r="G1540" i="2"/>
  <c r="H1540" i="2" s="1"/>
  <c r="I1540" i="2" s="1"/>
  <c r="G1541" i="2"/>
  <c r="G1542" i="2"/>
  <c r="H1542" i="2" s="1"/>
  <c r="I1542" i="2" s="1"/>
  <c r="G1543" i="2"/>
  <c r="H1543" i="2" s="1"/>
  <c r="I1543" i="2" s="1"/>
  <c r="G1544" i="2"/>
  <c r="H1544" i="2" s="1"/>
  <c r="I1544" i="2" s="1"/>
  <c r="G1545" i="2"/>
  <c r="H1545" i="2" s="1"/>
  <c r="I1545" i="2" s="1"/>
  <c r="G1546" i="2"/>
  <c r="H1546" i="2" s="1"/>
  <c r="I1546" i="2" s="1"/>
  <c r="G1547" i="2"/>
  <c r="H1547" i="2" s="1"/>
  <c r="I1547" i="2" s="1"/>
  <c r="G1548" i="2"/>
  <c r="H1548" i="2" s="1"/>
  <c r="I1548" i="2" s="1"/>
  <c r="G1549" i="2"/>
  <c r="H1549" i="2" s="1"/>
  <c r="I1549" i="2" s="1"/>
  <c r="G1550" i="2"/>
  <c r="H1550" i="2" s="1"/>
  <c r="I1550" i="2" s="1"/>
  <c r="G1551" i="2"/>
  <c r="H1551" i="2" s="1"/>
  <c r="I1551" i="2" s="1"/>
  <c r="G1552" i="2"/>
  <c r="H1552" i="2" s="1"/>
  <c r="I1552" i="2" s="1"/>
  <c r="G1553" i="2"/>
  <c r="H1553" i="2" s="1"/>
  <c r="I1553" i="2" s="1"/>
  <c r="G1554" i="2"/>
  <c r="H1554" i="2" s="1"/>
  <c r="I1554" i="2" s="1"/>
  <c r="G1555" i="2"/>
  <c r="H1555" i="2" s="1"/>
  <c r="I1555" i="2" s="1"/>
  <c r="G1556" i="2"/>
  <c r="H1556" i="2" s="1"/>
  <c r="I1556" i="2" s="1"/>
  <c r="G1557" i="2"/>
  <c r="H1557" i="2" s="1"/>
  <c r="I1557" i="2" s="1"/>
  <c r="G1558" i="2"/>
  <c r="H1558" i="2" s="1"/>
  <c r="I1558" i="2" s="1"/>
  <c r="G1559" i="2"/>
  <c r="H1559" i="2" s="1"/>
  <c r="I1559" i="2" s="1"/>
  <c r="G1560" i="2"/>
  <c r="H1560" i="2" s="1"/>
  <c r="I1560" i="2" s="1"/>
  <c r="G1561" i="2"/>
  <c r="H1561" i="2" s="1"/>
  <c r="I1561" i="2" s="1"/>
  <c r="G1562" i="2"/>
  <c r="G1563" i="2"/>
  <c r="H1563" i="2" s="1"/>
  <c r="I1563" i="2" s="1"/>
  <c r="G1564" i="2"/>
  <c r="G1565" i="2"/>
  <c r="G1566" i="2"/>
  <c r="G1567" i="2"/>
  <c r="H1567" i="2" s="1"/>
  <c r="I1567" i="2" s="1"/>
  <c r="G1568" i="2"/>
  <c r="H1568" i="2" s="1"/>
  <c r="I1568" i="2" s="1"/>
  <c r="G1569" i="2"/>
  <c r="H1569" i="2" s="1"/>
  <c r="I1569" i="2" s="1"/>
  <c r="G1570" i="2"/>
  <c r="H1570" i="2" s="1"/>
  <c r="I1570" i="2" s="1"/>
  <c r="G1571" i="2"/>
  <c r="H1571" i="2" s="1"/>
  <c r="I1571" i="2" s="1"/>
  <c r="G1572" i="2"/>
  <c r="H1572" i="2" s="1"/>
  <c r="I1572" i="2" s="1"/>
  <c r="G1573" i="2"/>
  <c r="H1573" i="2" s="1"/>
  <c r="I1573" i="2" s="1"/>
  <c r="G1574" i="2"/>
  <c r="H1574" i="2" s="1"/>
  <c r="I1574" i="2" s="1"/>
  <c r="G1575" i="2"/>
  <c r="H1575" i="2" s="1"/>
  <c r="I1575" i="2" s="1"/>
  <c r="G1576" i="2"/>
  <c r="H1576" i="2" s="1"/>
  <c r="I1576" i="2" s="1"/>
  <c r="G1577" i="2"/>
  <c r="G1578" i="2"/>
  <c r="H1578" i="2" s="1"/>
  <c r="I1578" i="2" s="1"/>
  <c r="G1579" i="2"/>
  <c r="H1579" i="2" s="1"/>
  <c r="I1579" i="2" s="1"/>
  <c r="G1580" i="2"/>
  <c r="G1581" i="2"/>
  <c r="H1581" i="2" s="1"/>
  <c r="I1581" i="2" s="1"/>
  <c r="G1582" i="2"/>
  <c r="H1582" i="2" s="1"/>
  <c r="I1582" i="2" s="1"/>
  <c r="G1583" i="2"/>
  <c r="H1583" i="2" s="1"/>
  <c r="I1583" i="2" s="1"/>
  <c r="G1584" i="2"/>
  <c r="H1584" i="2" s="1"/>
  <c r="I1584" i="2" s="1"/>
  <c r="G1585" i="2"/>
  <c r="H1585" i="2" s="1"/>
  <c r="I1585" i="2" s="1"/>
  <c r="G1586" i="2"/>
  <c r="H1586" i="2" s="1"/>
  <c r="I1586" i="2" s="1"/>
  <c r="G1587" i="2"/>
  <c r="H1587" i="2" s="1"/>
  <c r="I1587" i="2" s="1"/>
  <c r="G1588" i="2"/>
  <c r="H1588" i="2" s="1"/>
  <c r="I1588" i="2" s="1"/>
  <c r="G1589" i="2"/>
  <c r="H1589" i="2" s="1"/>
  <c r="I1589" i="2" s="1"/>
  <c r="G1590" i="2"/>
  <c r="H1590" i="2" s="1"/>
  <c r="I1590" i="2" s="1"/>
  <c r="G1591" i="2"/>
  <c r="H1591" i="2" s="1"/>
  <c r="I1591" i="2" s="1"/>
  <c r="G1592" i="2"/>
  <c r="H1592" i="2" s="1"/>
  <c r="I1592" i="2" s="1"/>
  <c r="G1593" i="2"/>
  <c r="H1593" i="2" s="1"/>
  <c r="I1593" i="2" s="1"/>
  <c r="G1594" i="2"/>
  <c r="H1594" i="2" s="1"/>
  <c r="I1594" i="2" s="1"/>
  <c r="G1595" i="2"/>
  <c r="H1595" i="2" s="1"/>
  <c r="I1595" i="2" s="1"/>
  <c r="G1596" i="2"/>
  <c r="H1596" i="2" s="1"/>
  <c r="I1596" i="2" s="1"/>
  <c r="G1597" i="2"/>
  <c r="H1597" i="2" s="1"/>
  <c r="I1597" i="2" s="1"/>
  <c r="G1598" i="2"/>
  <c r="H1598" i="2" s="1"/>
  <c r="I1598" i="2" s="1"/>
  <c r="G1599" i="2"/>
  <c r="H1599" i="2" s="1"/>
  <c r="I1599" i="2" s="1"/>
  <c r="G1600" i="2"/>
  <c r="G1601" i="2"/>
  <c r="G1602" i="2"/>
  <c r="G1603" i="2"/>
  <c r="H1603" i="2" s="1"/>
  <c r="I1603" i="2" s="1"/>
  <c r="G1604" i="2"/>
  <c r="H1604" i="2" s="1"/>
  <c r="I1604" i="2" s="1"/>
  <c r="G1605" i="2"/>
  <c r="H1605" i="2" s="1"/>
  <c r="I1605" i="2" s="1"/>
  <c r="G1606" i="2"/>
  <c r="H1606" i="2" s="1"/>
  <c r="I1606" i="2" s="1"/>
  <c r="G1607" i="2"/>
  <c r="H1607" i="2" s="1"/>
  <c r="I1607" i="2" s="1"/>
  <c r="G1608" i="2"/>
  <c r="H1608" i="2" s="1"/>
  <c r="I1608" i="2" s="1"/>
  <c r="G1609" i="2"/>
  <c r="H1609" i="2" s="1"/>
  <c r="I1609" i="2" s="1"/>
  <c r="G1610" i="2"/>
  <c r="H1610" i="2" s="1"/>
  <c r="I1610" i="2" s="1"/>
  <c r="G1611" i="2"/>
  <c r="H1611" i="2" s="1"/>
  <c r="I1611" i="2" s="1"/>
  <c r="G1612" i="2"/>
  <c r="H1612" i="2" s="1"/>
  <c r="I1612" i="2" s="1"/>
  <c r="G1613" i="2"/>
  <c r="G1614" i="2"/>
  <c r="H1614" i="2" s="1"/>
  <c r="I1614" i="2" s="1"/>
  <c r="G1615" i="2"/>
  <c r="H1615" i="2" s="1"/>
  <c r="I1615" i="2" s="1"/>
  <c r="G1616" i="2"/>
  <c r="G1617" i="2"/>
  <c r="H1617" i="2" s="1"/>
  <c r="I1617" i="2" s="1"/>
  <c r="G1618" i="2"/>
  <c r="H1618" i="2" s="1"/>
  <c r="I1618" i="2" s="1"/>
  <c r="G1619" i="2"/>
  <c r="H1619" i="2" s="1"/>
  <c r="I1619" i="2" s="1"/>
  <c r="G1620" i="2"/>
  <c r="H1620" i="2" s="1"/>
  <c r="I1620" i="2" s="1"/>
  <c r="G1621" i="2"/>
  <c r="H1621" i="2" s="1"/>
  <c r="I1621" i="2" s="1"/>
  <c r="G1622" i="2"/>
  <c r="H1622" i="2" s="1"/>
  <c r="I1622" i="2" s="1"/>
  <c r="G1623" i="2"/>
  <c r="H1623" i="2" s="1"/>
  <c r="I1623" i="2" s="1"/>
  <c r="G1624" i="2"/>
  <c r="H1624" i="2" s="1"/>
  <c r="I1624" i="2" s="1"/>
  <c r="G1625" i="2"/>
  <c r="H1625" i="2" s="1"/>
  <c r="I1625" i="2" s="1"/>
  <c r="G1626" i="2"/>
  <c r="H1626" i="2" s="1"/>
  <c r="I1626" i="2" s="1"/>
  <c r="G1627" i="2"/>
  <c r="H1627" i="2" s="1"/>
  <c r="I1627" i="2" s="1"/>
  <c r="G1628" i="2"/>
  <c r="H1628" i="2" s="1"/>
  <c r="I1628" i="2" s="1"/>
  <c r="G1629" i="2"/>
  <c r="H1629" i="2" s="1"/>
  <c r="I1629" i="2" s="1"/>
  <c r="G1630" i="2"/>
  <c r="H1630" i="2" s="1"/>
  <c r="I1630" i="2" s="1"/>
  <c r="G1631" i="2"/>
  <c r="H1631" i="2" s="1"/>
  <c r="I1631" i="2" s="1"/>
  <c r="G1632" i="2"/>
  <c r="H1632" i="2" s="1"/>
  <c r="I1632" i="2" s="1"/>
  <c r="G1633" i="2"/>
  <c r="G1634" i="2"/>
  <c r="G1635" i="2"/>
  <c r="G1636" i="2"/>
  <c r="H1636" i="2" s="1"/>
  <c r="I1636" i="2" s="1"/>
  <c r="G1637" i="2"/>
  <c r="H1637" i="2" s="1"/>
  <c r="I1637" i="2" s="1"/>
  <c r="G1638" i="2"/>
  <c r="H1638" i="2" s="1"/>
  <c r="I1638" i="2" s="1"/>
  <c r="G1639" i="2"/>
  <c r="H1639" i="2" s="1"/>
  <c r="I1639" i="2" s="1"/>
  <c r="G1640" i="2"/>
  <c r="H1640" i="2" s="1"/>
  <c r="I1640" i="2" s="1"/>
  <c r="G1641" i="2"/>
  <c r="H1641" i="2" s="1"/>
  <c r="I1641" i="2" s="1"/>
  <c r="G1642" i="2"/>
  <c r="H1642" i="2" s="1"/>
  <c r="I1642" i="2" s="1"/>
  <c r="G1643" i="2"/>
  <c r="H1643" i="2" s="1"/>
  <c r="I1643" i="2" s="1"/>
  <c r="G1644" i="2"/>
  <c r="H1644" i="2" s="1"/>
  <c r="I1644" i="2" s="1"/>
  <c r="G1645" i="2"/>
  <c r="H1645" i="2" s="1"/>
  <c r="I1645" i="2" s="1"/>
  <c r="G1646" i="2"/>
  <c r="H1646" i="2" s="1"/>
  <c r="I1646" i="2" s="1"/>
  <c r="G1647" i="2"/>
  <c r="H1647" i="2" s="1"/>
  <c r="I1647" i="2" s="1"/>
  <c r="G1648" i="2"/>
  <c r="G1649" i="2"/>
  <c r="H1649" i="2" s="1"/>
  <c r="I1649" i="2" s="1"/>
  <c r="G1650" i="2"/>
  <c r="H1650" i="2" s="1"/>
  <c r="I1650" i="2" s="1"/>
  <c r="G1651" i="2"/>
  <c r="H1651" i="2" s="1"/>
  <c r="I1651" i="2" s="1"/>
  <c r="G1652" i="2"/>
  <c r="H1652" i="2" s="1"/>
  <c r="I1652" i="2" s="1"/>
  <c r="G1653" i="2"/>
  <c r="H1653" i="2" s="1"/>
  <c r="I1653" i="2" s="1"/>
  <c r="G1654" i="2"/>
  <c r="H1654" i="2" s="1"/>
  <c r="I1654" i="2" s="1"/>
  <c r="G1655" i="2"/>
  <c r="H1655" i="2" s="1"/>
  <c r="I1655" i="2" s="1"/>
  <c r="G1656" i="2"/>
  <c r="H1656" i="2" s="1"/>
  <c r="I1656" i="2" s="1"/>
  <c r="G1657" i="2"/>
  <c r="H1657" i="2" s="1"/>
  <c r="I1657" i="2" s="1"/>
  <c r="G1658" i="2"/>
  <c r="H1658" i="2" s="1"/>
  <c r="I1658" i="2" s="1"/>
  <c r="G1659" i="2"/>
  <c r="G1660" i="2"/>
  <c r="H1660" i="2" s="1"/>
  <c r="I1660" i="2" s="1"/>
  <c r="G1661" i="2"/>
  <c r="H1661" i="2" s="1"/>
  <c r="I1661" i="2" s="1"/>
  <c r="G1662" i="2"/>
  <c r="H1662" i="2" s="1"/>
  <c r="I1662" i="2" s="1"/>
  <c r="G1663" i="2"/>
  <c r="H1663" i="2" s="1"/>
  <c r="I1663" i="2" s="1"/>
  <c r="G1664" i="2"/>
  <c r="H1664" i="2" s="1"/>
  <c r="I1664" i="2" s="1"/>
  <c r="G1665" i="2"/>
  <c r="H1665" i="2" s="1"/>
  <c r="I1665" i="2" s="1"/>
  <c r="G1666" i="2"/>
  <c r="H1666" i="2" s="1"/>
  <c r="I1666" i="2" s="1"/>
  <c r="G1667" i="2"/>
  <c r="H1667" i="2" s="1"/>
  <c r="I1667" i="2" s="1"/>
  <c r="G1668" i="2"/>
  <c r="H1668" i="2" s="1"/>
  <c r="I1668" i="2" s="1"/>
  <c r="G1669" i="2"/>
  <c r="G1670" i="2"/>
  <c r="G1671" i="2"/>
  <c r="H1671" i="2" s="1"/>
  <c r="I1671" i="2" s="1"/>
  <c r="G1672" i="2"/>
  <c r="H1672" i="2" s="1"/>
  <c r="I1672" i="2" s="1"/>
  <c r="G1673" i="2"/>
  <c r="H1673" i="2" s="1"/>
  <c r="I1673" i="2" s="1"/>
  <c r="G1674" i="2"/>
  <c r="H1674" i="2" s="1"/>
  <c r="I1674" i="2" s="1"/>
  <c r="G1675" i="2"/>
  <c r="H1675" i="2" s="1"/>
  <c r="I1675" i="2" s="1"/>
  <c r="G1676" i="2"/>
  <c r="H1676" i="2" s="1"/>
  <c r="I1676" i="2" s="1"/>
  <c r="G1677" i="2"/>
  <c r="H1677" i="2" s="1"/>
  <c r="I1677" i="2" s="1"/>
  <c r="G1678" i="2"/>
  <c r="H1678" i="2" s="1"/>
  <c r="I1678" i="2" s="1"/>
  <c r="G1679" i="2"/>
  <c r="H1679" i="2" s="1"/>
  <c r="I1679" i="2" s="1"/>
  <c r="G1680" i="2"/>
  <c r="H1680" i="2" s="1"/>
  <c r="I1680" i="2" s="1"/>
  <c r="G1681" i="2"/>
  <c r="G1682" i="2"/>
  <c r="H1682" i="2" s="1"/>
  <c r="I1682" i="2" s="1"/>
  <c r="G1683" i="2"/>
  <c r="H1683" i="2" s="1"/>
  <c r="I1683" i="2" s="1"/>
  <c r="G1684" i="2"/>
  <c r="H1684" i="2" s="1"/>
  <c r="I1684" i="2" s="1"/>
  <c r="G1685" i="2"/>
  <c r="H1685" i="2" s="1"/>
  <c r="I1685" i="2" s="1"/>
  <c r="G1686" i="2"/>
  <c r="H1686" i="2" s="1"/>
  <c r="I1686" i="2" s="1"/>
  <c r="G1687" i="2"/>
  <c r="H1687" i="2" s="1"/>
  <c r="I1687" i="2" s="1"/>
  <c r="G1688" i="2"/>
  <c r="H1688" i="2" s="1"/>
  <c r="I1688" i="2" s="1"/>
  <c r="G1689" i="2"/>
  <c r="H1689" i="2" s="1"/>
  <c r="I1689" i="2" s="1"/>
  <c r="G1690" i="2"/>
  <c r="H1690" i="2" s="1"/>
  <c r="I1690" i="2" s="1"/>
  <c r="G1691" i="2"/>
  <c r="H1691" i="2" s="1"/>
  <c r="I1691" i="2" s="1"/>
  <c r="G1692" i="2"/>
  <c r="H1692" i="2" s="1"/>
  <c r="I1692" i="2" s="1"/>
  <c r="G1693" i="2"/>
  <c r="G1694" i="2"/>
  <c r="H1694" i="2" s="1"/>
  <c r="I1694" i="2" s="1"/>
  <c r="G1695" i="2"/>
  <c r="H1695" i="2" s="1"/>
  <c r="I1695" i="2" s="1"/>
  <c r="G1696" i="2"/>
  <c r="G1697" i="2"/>
  <c r="G1698" i="2"/>
  <c r="G1699" i="2"/>
  <c r="H1699" i="2" s="1"/>
  <c r="I1699" i="2" s="1"/>
  <c r="G1700" i="2"/>
  <c r="H1700" i="2" s="1"/>
  <c r="I1700" i="2" s="1"/>
  <c r="G1701" i="2"/>
  <c r="H1701" i="2" s="1"/>
  <c r="I1701" i="2" s="1"/>
  <c r="G1702" i="2"/>
  <c r="H1702" i="2" s="1"/>
  <c r="I1702" i="2" s="1"/>
  <c r="G1703" i="2"/>
  <c r="H1703" i="2" s="1"/>
  <c r="I1703" i="2" s="1"/>
  <c r="G1704" i="2"/>
  <c r="H1704" i="2" s="1"/>
  <c r="I1704" i="2" s="1"/>
  <c r="G1705" i="2"/>
  <c r="H1705" i="2" s="1"/>
  <c r="I1705" i="2" s="1"/>
  <c r="G1706" i="2"/>
  <c r="H1706" i="2" s="1"/>
  <c r="I1706" i="2" s="1"/>
  <c r="G1707" i="2"/>
  <c r="H1707" i="2" s="1"/>
  <c r="I1707" i="2" s="1"/>
  <c r="G1708" i="2"/>
  <c r="H1708" i="2" s="1"/>
  <c r="I1708" i="2" s="1"/>
  <c r="G1709" i="2"/>
  <c r="H1709" i="2" s="1"/>
  <c r="I1709" i="2" s="1"/>
  <c r="G1710" i="2"/>
  <c r="H1710" i="2" s="1"/>
  <c r="I1710" i="2" s="1"/>
  <c r="G1711" i="2"/>
  <c r="H1711" i="2" s="1"/>
  <c r="I1711" i="2" s="1"/>
  <c r="G1712" i="2"/>
  <c r="H1712" i="2" s="1"/>
  <c r="I1712" i="2" s="1"/>
  <c r="G1713" i="2"/>
  <c r="H1713" i="2" s="1"/>
  <c r="I1713" i="2" s="1"/>
  <c r="G1714" i="2"/>
  <c r="H1714" i="2" s="1"/>
  <c r="I1714" i="2" s="1"/>
  <c r="G1715" i="2"/>
  <c r="H1715" i="2" s="1"/>
  <c r="I1715" i="2" s="1"/>
  <c r="G1716" i="2"/>
  <c r="H1716" i="2" s="1"/>
  <c r="I1716" i="2" s="1"/>
  <c r="G1717" i="2"/>
  <c r="H1717" i="2" s="1"/>
  <c r="I1717" i="2" s="1"/>
  <c r="G1718" i="2"/>
  <c r="G1719" i="2"/>
  <c r="G1720" i="2"/>
  <c r="H1720" i="2" s="1"/>
  <c r="I1720" i="2" s="1"/>
  <c r="G1721" i="2"/>
  <c r="H1721" i="2" s="1"/>
  <c r="I1721" i="2" s="1"/>
  <c r="G1722" i="2"/>
  <c r="H1722" i="2" s="1"/>
  <c r="I1722" i="2" s="1"/>
  <c r="G1723" i="2"/>
  <c r="H1723" i="2" s="1"/>
  <c r="I1723" i="2" s="1"/>
  <c r="G1724" i="2"/>
  <c r="H1724" i="2" s="1"/>
  <c r="I1724" i="2" s="1"/>
  <c r="G1725" i="2"/>
  <c r="H1725" i="2" s="1"/>
  <c r="I1725" i="2" s="1"/>
  <c r="G1726" i="2"/>
  <c r="H1726" i="2" s="1"/>
  <c r="I1726" i="2" s="1"/>
  <c r="G1727" i="2"/>
  <c r="H1727" i="2" s="1"/>
  <c r="I1727" i="2" s="1"/>
  <c r="G1728" i="2"/>
  <c r="H1728" i="2" s="1"/>
  <c r="I1728" i="2" s="1"/>
  <c r="G1729" i="2"/>
  <c r="G1730" i="2"/>
  <c r="H1730" i="2" s="1"/>
  <c r="I1730" i="2" s="1"/>
  <c r="G1731" i="2"/>
  <c r="H1731" i="2" s="1"/>
  <c r="I1731" i="2" s="1"/>
  <c r="G1732" i="2"/>
  <c r="G1733" i="2"/>
  <c r="H1733" i="2" s="1"/>
  <c r="I1733" i="2" s="1"/>
  <c r="G1734" i="2"/>
  <c r="H1734" i="2" s="1"/>
  <c r="I1734" i="2" s="1"/>
  <c r="G1735" i="2"/>
  <c r="H1735" i="2" s="1"/>
  <c r="I1735" i="2" s="1"/>
  <c r="G1736" i="2"/>
  <c r="H1736" i="2" s="1"/>
  <c r="I1736" i="2" s="1"/>
  <c r="G1737" i="2"/>
  <c r="H1737" i="2" s="1"/>
  <c r="I1737" i="2" s="1"/>
  <c r="G1738" i="2"/>
  <c r="H1738" i="2" s="1"/>
  <c r="I1738" i="2" s="1"/>
  <c r="G1739" i="2"/>
  <c r="H1739" i="2" s="1"/>
  <c r="I1739" i="2" s="1"/>
  <c r="G1740" i="2"/>
  <c r="H1740" i="2" s="1"/>
  <c r="I1740" i="2" s="1"/>
  <c r="G1741" i="2"/>
  <c r="H1741" i="2" s="1"/>
  <c r="I1741" i="2" s="1"/>
  <c r="G1742" i="2"/>
  <c r="H1742" i="2" s="1"/>
  <c r="I1742" i="2" s="1"/>
  <c r="G1743" i="2"/>
  <c r="H1743" i="2" s="1"/>
  <c r="I1743" i="2" s="1"/>
  <c r="G1744" i="2"/>
  <c r="H1744" i="2" s="1"/>
  <c r="I1744" i="2" s="1"/>
  <c r="G1745" i="2"/>
  <c r="H1745" i="2" s="1"/>
  <c r="I1745" i="2" s="1"/>
  <c r="G1746" i="2"/>
  <c r="H1746" i="2" s="1"/>
  <c r="I1746" i="2" s="1"/>
  <c r="G1747" i="2"/>
  <c r="H1747" i="2" s="1"/>
  <c r="I1747" i="2" s="1"/>
  <c r="G1748" i="2"/>
  <c r="H1748" i="2" s="1"/>
  <c r="I1748" i="2" s="1"/>
  <c r="G1749" i="2"/>
  <c r="H1749" i="2" s="1"/>
  <c r="I1749" i="2" s="1"/>
  <c r="G1750" i="2"/>
  <c r="H1750" i="2" s="1"/>
  <c r="I1750" i="2" s="1"/>
  <c r="G1751" i="2"/>
  <c r="H1751" i="2" s="1"/>
  <c r="I1751" i="2" s="1"/>
  <c r="G1752" i="2"/>
  <c r="H1752" i="2" s="1"/>
  <c r="I1752" i="2" s="1"/>
  <c r="G1753" i="2"/>
  <c r="H1753" i="2" s="1"/>
  <c r="I1753" i="2" s="1"/>
  <c r="G1754" i="2"/>
  <c r="H1754" i="2" s="1"/>
  <c r="I1754" i="2" s="1"/>
  <c r="G1755" i="2"/>
  <c r="H1755" i="2" s="1"/>
  <c r="I1755" i="2" s="1"/>
  <c r="G1756" i="2"/>
  <c r="H1756" i="2" s="1"/>
  <c r="I1756" i="2" s="1"/>
  <c r="G1757" i="2"/>
  <c r="H1757" i="2" s="1"/>
  <c r="I1757" i="2" s="1"/>
  <c r="G1758" i="2"/>
  <c r="H1758" i="2" s="1"/>
  <c r="I1758" i="2" s="1"/>
  <c r="G1759" i="2"/>
  <c r="H1759" i="2" s="1"/>
  <c r="I1759" i="2" s="1"/>
  <c r="G1760" i="2"/>
  <c r="H1760" i="2" s="1"/>
  <c r="I1760" i="2" s="1"/>
  <c r="G1761" i="2"/>
  <c r="H1761" i="2" s="1"/>
  <c r="I1761" i="2" s="1"/>
  <c r="G1762" i="2"/>
  <c r="H1762" i="2" s="1"/>
  <c r="I1762" i="2" s="1"/>
  <c r="G1763" i="2"/>
  <c r="G1764" i="2"/>
  <c r="H1764" i="2" s="1"/>
  <c r="I1764" i="2" s="1"/>
  <c r="G1765" i="2"/>
  <c r="H1765" i="2" s="1"/>
  <c r="I1765" i="2" s="1"/>
  <c r="G1766" i="2"/>
  <c r="H1766" i="2" s="1"/>
  <c r="I1766" i="2" s="1"/>
  <c r="G1767" i="2"/>
  <c r="G1768" i="2"/>
  <c r="H1768" i="2" s="1"/>
  <c r="I1768" i="2" s="1"/>
  <c r="G1769" i="2"/>
  <c r="H1769" i="2" s="1"/>
  <c r="I1769" i="2" s="1"/>
  <c r="G1770" i="2"/>
  <c r="H1770" i="2" s="1"/>
  <c r="I1770" i="2" s="1"/>
  <c r="G1771" i="2"/>
  <c r="H1771" i="2" s="1"/>
  <c r="I1771" i="2" s="1"/>
  <c r="G1772" i="2"/>
  <c r="H1772" i="2" s="1"/>
  <c r="I1772" i="2" s="1"/>
  <c r="G1773" i="2"/>
  <c r="H1773" i="2" s="1"/>
  <c r="I1773" i="2" s="1"/>
  <c r="G1774" i="2"/>
  <c r="H1774" i="2" s="1"/>
  <c r="I1774" i="2" s="1"/>
  <c r="G1775" i="2"/>
  <c r="H1775" i="2" s="1"/>
  <c r="I1775" i="2" s="1"/>
  <c r="G1776" i="2"/>
  <c r="H1776" i="2" s="1"/>
  <c r="I1776" i="2" s="1"/>
  <c r="G1777" i="2"/>
  <c r="G1778" i="2"/>
  <c r="G1779" i="2"/>
  <c r="G1780" i="2"/>
  <c r="H1780" i="2" s="1"/>
  <c r="I1780" i="2" s="1"/>
  <c r="G1781" i="2"/>
  <c r="H1781" i="2" s="1"/>
  <c r="I1781" i="2" s="1"/>
  <c r="G1782" i="2"/>
  <c r="G1783" i="2"/>
  <c r="H1783" i="2" s="1"/>
  <c r="I1783" i="2" s="1"/>
  <c r="G1784" i="2"/>
  <c r="H1784" i="2" s="1"/>
  <c r="I1784" i="2" s="1"/>
  <c r="G1785" i="2"/>
  <c r="H1785" i="2" s="1"/>
  <c r="I1785" i="2" s="1"/>
  <c r="G1786" i="2"/>
  <c r="H1786" i="2" s="1"/>
  <c r="I1786" i="2" s="1"/>
  <c r="G1787" i="2"/>
  <c r="H1787" i="2" s="1"/>
  <c r="I1787" i="2" s="1"/>
  <c r="G1788" i="2"/>
  <c r="H1788" i="2" s="1"/>
  <c r="I1788" i="2" s="1"/>
  <c r="G1789" i="2"/>
  <c r="H1789" i="2" s="1"/>
  <c r="I1789" i="2" s="1"/>
  <c r="G1790" i="2"/>
  <c r="H1790" i="2" s="1"/>
  <c r="I1790" i="2" s="1"/>
  <c r="G1791" i="2"/>
  <c r="H1791" i="2" s="1"/>
  <c r="I1791" i="2" s="1"/>
  <c r="G1792" i="2"/>
  <c r="H1792" i="2" s="1"/>
  <c r="I1792" i="2" s="1"/>
  <c r="G1793" i="2"/>
  <c r="H1793" i="2" s="1"/>
  <c r="I1793" i="2" s="1"/>
  <c r="G1794" i="2"/>
  <c r="H1794" i="2" s="1"/>
  <c r="I1794" i="2" s="1"/>
  <c r="G1795" i="2"/>
  <c r="H1795" i="2" s="1"/>
  <c r="I1795" i="2" s="1"/>
  <c r="G1796" i="2"/>
  <c r="H1796" i="2" s="1"/>
  <c r="I1796" i="2" s="1"/>
  <c r="G1797" i="2"/>
  <c r="H1797" i="2" s="1"/>
  <c r="I1797" i="2" s="1"/>
  <c r="G1798" i="2"/>
  <c r="H1798" i="2" s="1"/>
  <c r="I1798" i="2" s="1"/>
  <c r="G1799" i="2"/>
  <c r="H1799" i="2" s="1"/>
  <c r="I1799" i="2" s="1"/>
  <c r="G1800" i="2"/>
  <c r="H1800" i="2" s="1"/>
  <c r="I1800" i="2" s="1"/>
  <c r="G1801" i="2"/>
  <c r="H1801" i="2" s="1"/>
  <c r="I1801" i="2" s="1"/>
  <c r="G1802" i="2"/>
  <c r="H1802" i="2" s="1"/>
  <c r="I1802" i="2" s="1"/>
  <c r="G1803" i="2"/>
  <c r="H1803" i="2" s="1"/>
  <c r="I1803" i="2" s="1"/>
  <c r="G1804" i="2"/>
  <c r="H1804" i="2" s="1"/>
  <c r="I1804" i="2" s="1"/>
  <c r="G1805" i="2"/>
  <c r="H1805" i="2" s="1"/>
  <c r="I1805" i="2" s="1"/>
  <c r="G1806" i="2"/>
  <c r="G1807" i="2"/>
  <c r="H1807" i="2" s="1"/>
  <c r="I1807" i="2" s="1"/>
  <c r="G1808" i="2"/>
  <c r="H1808" i="2" s="1"/>
  <c r="I1808" i="2" s="1"/>
  <c r="G1809" i="2"/>
  <c r="H1809" i="2" s="1"/>
  <c r="I1809" i="2" s="1"/>
  <c r="G1810" i="2"/>
  <c r="H1810" i="2" s="1"/>
  <c r="I1810" i="2" s="1"/>
  <c r="G1811" i="2"/>
  <c r="H1811" i="2" s="1"/>
  <c r="I1811" i="2" s="1"/>
  <c r="G1812" i="2"/>
  <c r="H1812" i="2" s="1"/>
  <c r="I1812" i="2" s="1"/>
  <c r="G1813" i="2"/>
  <c r="G1814" i="2"/>
  <c r="H1814" i="2" s="1"/>
  <c r="I1814" i="2" s="1"/>
  <c r="G1815" i="2"/>
  <c r="G1816" i="2"/>
  <c r="H1816" i="2" s="1"/>
  <c r="I1816" i="2" s="1"/>
  <c r="G1817" i="2"/>
  <c r="H1817" i="2" s="1"/>
  <c r="I1817" i="2" s="1"/>
  <c r="G1818" i="2"/>
  <c r="H1818" i="2" s="1"/>
  <c r="I1818" i="2" s="1"/>
  <c r="G1819" i="2"/>
  <c r="H1819" i="2" s="1"/>
  <c r="I1819" i="2" s="1"/>
  <c r="G1820" i="2"/>
  <c r="H1820" i="2" s="1"/>
  <c r="I1820" i="2" s="1"/>
  <c r="G1821" i="2"/>
  <c r="H1821" i="2" s="1"/>
  <c r="I1821" i="2" s="1"/>
  <c r="G1822" i="2"/>
  <c r="H1822" i="2" s="1"/>
  <c r="I1822" i="2" s="1"/>
  <c r="G1823" i="2"/>
  <c r="H1823" i="2" s="1"/>
  <c r="I1823" i="2" s="1"/>
  <c r="G1824" i="2"/>
  <c r="H1824" i="2" s="1"/>
  <c r="I1824" i="2" s="1"/>
  <c r="G1825" i="2"/>
  <c r="H1825" i="2" s="1"/>
  <c r="I1825" i="2" s="1"/>
  <c r="G1826" i="2"/>
  <c r="H1826" i="2" s="1"/>
  <c r="I1826" i="2" s="1"/>
  <c r="G1827" i="2"/>
  <c r="G1828" i="2"/>
  <c r="H1828" i="2" s="1"/>
  <c r="I1828" i="2" s="1"/>
  <c r="G1829" i="2"/>
  <c r="H1829" i="2" s="1"/>
  <c r="I1829" i="2" s="1"/>
  <c r="G1830" i="2"/>
  <c r="H1830" i="2" s="1"/>
  <c r="I1830" i="2" s="1"/>
  <c r="G1831" i="2"/>
  <c r="H1831" i="2" s="1"/>
  <c r="I1831" i="2" s="1"/>
  <c r="G1832" i="2"/>
  <c r="H1832" i="2" s="1"/>
  <c r="I1832" i="2" s="1"/>
  <c r="G1833" i="2"/>
  <c r="H1833" i="2" s="1"/>
  <c r="I1833" i="2" s="1"/>
  <c r="G1834" i="2"/>
  <c r="H1834" i="2" s="1"/>
  <c r="I1834" i="2" s="1"/>
  <c r="G1835" i="2"/>
  <c r="H1835" i="2" s="1"/>
  <c r="I1835" i="2" s="1"/>
  <c r="G1836" i="2"/>
  <c r="H1836" i="2" s="1"/>
  <c r="I1836" i="2" s="1"/>
  <c r="G1837" i="2"/>
  <c r="G1838" i="2"/>
  <c r="H1838" i="2" s="1"/>
  <c r="I1838" i="2" s="1"/>
  <c r="G1839" i="2"/>
  <c r="G1840" i="2"/>
  <c r="G1841" i="2"/>
  <c r="G1842" i="2"/>
  <c r="G1843" i="2"/>
  <c r="H1843" i="2" s="1"/>
  <c r="I1843" i="2" s="1"/>
  <c r="G1844" i="2"/>
  <c r="H1844" i="2" s="1"/>
  <c r="I1844" i="2" s="1"/>
  <c r="G1845" i="2"/>
  <c r="H1845" i="2" s="1"/>
  <c r="I1845" i="2" s="1"/>
  <c r="G1846" i="2"/>
  <c r="H1846" i="2" s="1"/>
  <c r="I1846" i="2" s="1"/>
  <c r="G1847" i="2"/>
  <c r="H1847" i="2" s="1"/>
  <c r="I1847" i="2" s="1"/>
  <c r="G1848" i="2"/>
  <c r="H1848" i="2" s="1"/>
  <c r="I1848" i="2" s="1"/>
  <c r="G1849" i="2"/>
  <c r="H1849" i="2" s="1"/>
  <c r="I1849" i="2" s="1"/>
  <c r="G1850" i="2"/>
  <c r="H1850" i="2" s="1"/>
  <c r="I1850" i="2" s="1"/>
  <c r="G1851" i="2"/>
  <c r="H1851" i="2" s="1"/>
  <c r="I1851" i="2" s="1"/>
  <c r="G1852" i="2"/>
  <c r="H1852" i="2" s="1"/>
  <c r="I1852" i="2" s="1"/>
  <c r="G1853" i="2"/>
  <c r="H1853" i="2" s="1"/>
  <c r="I1853" i="2" s="1"/>
  <c r="G1854" i="2"/>
  <c r="H1854" i="2" s="1"/>
  <c r="I1854" i="2" s="1"/>
  <c r="G1855" i="2"/>
  <c r="H1855" i="2" s="1"/>
  <c r="I1855" i="2" s="1"/>
  <c r="G1856" i="2"/>
  <c r="H1856" i="2" s="1"/>
  <c r="I1856" i="2" s="1"/>
  <c r="G1857" i="2"/>
  <c r="H1857" i="2" s="1"/>
  <c r="I1857" i="2" s="1"/>
  <c r="G1858" i="2"/>
  <c r="H1858" i="2" s="1"/>
  <c r="I1858" i="2" s="1"/>
  <c r="G1859" i="2"/>
  <c r="H1859" i="2" s="1"/>
  <c r="I1859" i="2" s="1"/>
  <c r="G1860" i="2"/>
  <c r="H1860" i="2" s="1"/>
  <c r="I1860" i="2" s="1"/>
  <c r="G1861" i="2"/>
  <c r="G1862" i="2"/>
  <c r="G1863" i="2"/>
  <c r="G1864" i="2"/>
  <c r="H1864" i="2" s="1"/>
  <c r="I1864" i="2" s="1"/>
  <c r="G1865" i="2"/>
  <c r="H1865" i="2" s="1"/>
  <c r="I1865" i="2" s="1"/>
  <c r="G1866" i="2"/>
  <c r="H1866" i="2" s="1"/>
  <c r="I1866" i="2" s="1"/>
  <c r="G1867" i="2"/>
  <c r="H1867" i="2" s="1"/>
  <c r="I1867" i="2" s="1"/>
  <c r="G1868" i="2"/>
  <c r="H1868" i="2" s="1"/>
  <c r="I1868" i="2" s="1"/>
  <c r="G1869" i="2"/>
  <c r="H1869" i="2" s="1"/>
  <c r="I1869" i="2" s="1"/>
  <c r="G1870" i="2"/>
  <c r="H1870" i="2" s="1"/>
  <c r="I1870" i="2" s="1"/>
  <c r="G1871" i="2"/>
  <c r="H1871" i="2" s="1"/>
  <c r="I1871" i="2" s="1"/>
  <c r="G1872" i="2"/>
  <c r="H1872" i="2" s="1"/>
  <c r="I1872" i="2" s="1"/>
  <c r="G1873" i="2"/>
  <c r="H1873" i="2" s="1"/>
  <c r="I1873" i="2" s="1"/>
  <c r="G1874" i="2"/>
  <c r="H1874" i="2" s="1"/>
  <c r="I1874" i="2" s="1"/>
  <c r="G1875" i="2"/>
  <c r="H1875" i="2" s="1"/>
  <c r="I1875" i="2" s="1"/>
  <c r="G1876" i="2"/>
  <c r="H1876" i="2" s="1"/>
  <c r="I1876" i="2" s="1"/>
  <c r="G1877" i="2"/>
  <c r="H1877" i="2" s="1"/>
  <c r="I1877" i="2" s="1"/>
  <c r="G1878" i="2"/>
  <c r="H1878" i="2" s="1"/>
  <c r="I1878" i="2" s="1"/>
  <c r="G1879" i="2"/>
  <c r="H1879" i="2" s="1"/>
  <c r="I1879" i="2" s="1"/>
  <c r="G1880" i="2"/>
  <c r="H1880" i="2" s="1"/>
  <c r="I1880" i="2" s="1"/>
  <c r="G1881" i="2"/>
  <c r="H1881" i="2" s="1"/>
  <c r="I1881" i="2" s="1"/>
  <c r="G1882" i="2"/>
  <c r="H1882" i="2" s="1"/>
  <c r="I1882" i="2" s="1"/>
  <c r="G1883" i="2"/>
  <c r="H1883" i="2" s="1"/>
  <c r="I1883" i="2" s="1"/>
  <c r="G1884" i="2"/>
  <c r="H1884" i="2" s="1"/>
  <c r="I1884" i="2" s="1"/>
  <c r="G1885" i="2"/>
  <c r="G1886" i="2"/>
  <c r="G1887" i="2"/>
  <c r="G1888" i="2"/>
  <c r="H1888" i="2" s="1"/>
  <c r="I1888" i="2" s="1"/>
  <c r="G1889" i="2"/>
  <c r="H1889" i="2" s="1"/>
  <c r="I1889" i="2" s="1"/>
  <c r="G1890" i="2"/>
  <c r="G1891" i="2"/>
  <c r="H1891" i="2" s="1"/>
  <c r="I1891" i="2" s="1"/>
  <c r="G1892" i="2"/>
  <c r="H1892" i="2" s="1"/>
  <c r="I1892" i="2" s="1"/>
  <c r="G1893" i="2"/>
  <c r="H1893" i="2" s="1"/>
  <c r="I1893" i="2" s="1"/>
  <c r="G1894" i="2"/>
  <c r="H1894" i="2" s="1"/>
  <c r="I1894" i="2" s="1"/>
  <c r="G1895" i="2"/>
  <c r="H1895" i="2" s="1"/>
  <c r="I1895" i="2" s="1"/>
  <c r="G1896" i="2"/>
  <c r="H1896" i="2" s="1"/>
  <c r="I1896" i="2" s="1"/>
  <c r="G1897" i="2"/>
  <c r="H1897" i="2" s="1"/>
  <c r="I1897" i="2" s="1"/>
  <c r="G1898" i="2"/>
  <c r="H1898" i="2" s="1"/>
  <c r="I1898" i="2" s="1"/>
  <c r="G1899" i="2"/>
  <c r="H1899" i="2" s="1"/>
  <c r="I1899" i="2" s="1"/>
  <c r="G1900" i="2"/>
  <c r="H1900" i="2" s="1"/>
  <c r="I1900" i="2" s="1"/>
  <c r="G1901" i="2"/>
  <c r="H1901" i="2" s="1"/>
  <c r="I1901" i="2" s="1"/>
  <c r="G1902" i="2"/>
  <c r="H1902" i="2" s="1"/>
  <c r="I1902" i="2" s="1"/>
  <c r="G1903" i="2"/>
  <c r="H1903" i="2" s="1"/>
  <c r="I1903" i="2" s="1"/>
  <c r="G1904" i="2"/>
  <c r="H1904" i="2" s="1"/>
  <c r="I1904" i="2" s="1"/>
  <c r="G1905" i="2"/>
  <c r="H1905" i="2" s="1"/>
  <c r="I1905" i="2" s="1"/>
  <c r="G1906" i="2"/>
  <c r="H1906" i="2" s="1"/>
  <c r="I1906" i="2" s="1"/>
  <c r="G1907" i="2"/>
  <c r="H1907" i="2" s="1"/>
  <c r="I1907" i="2" s="1"/>
  <c r="G1908" i="2"/>
  <c r="H1908" i="2" s="1"/>
  <c r="I1908" i="2" s="1"/>
  <c r="G1909" i="2"/>
  <c r="H1909" i="2" s="1"/>
  <c r="I1909" i="2" s="1"/>
  <c r="G1910" i="2"/>
  <c r="G1911" i="2"/>
  <c r="G1912" i="2"/>
  <c r="H1912" i="2" s="1"/>
  <c r="I1912" i="2" s="1"/>
  <c r="G1913" i="2"/>
  <c r="H1913" i="2" s="1"/>
  <c r="I1913" i="2" s="1"/>
  <c r="G1914" i="2"/>
  <c r="H1914" i="2" s="1"/>
  <c r="I1914" i="2" s="1"/>
  <c r="G1915" i="2"/>
  <c r="H1915" i="2" s="1"/>
  <c r="I1915" i="2" s="1"/>
  <c r="G1916" i="2"/>
  <c r="H1916" i="2" s="1"/>
  <c r="I1916" i="2" s="1"/>
  <c r="G1917" i="2"/>
  <c r="H1917" i="2" s="1"/>
  <c r="I1917" i="2" s="1"/>
  <c r="G1918" i="2"/>
  <c r="H1918" i="2" s="1"/>
  <c r="I1918" i="2" s="1"/>
  <c r="G1919" i="2"/>
  <c r="H1919" i="2" s="1"/>
  <c r="I1919" i="2" s="1"/>
  <c r="G1920" i="2"/>
  <c r="H1920" i="2" s="1"/>
  <c r="I1920" i="2" s="1"/>
  <c r="G1921" i="2"/>
  <c r="H1921" i="2" s="1"/>
  <c r="I1921" i="2" s="1"/>
  <c r="G1922" i="2"/>
  <c r="G1923" i="2"/>
  <c r="G1924" i="2"/>
  <c r="G1925" i="2"/>
  <c r="G1926" i="2"/>
  <c r="H1926" i="2" s="1"/>
  <c r="I1926" i="2" s="1"/>
  <c r="G1927" i="2"/>
  <c r="H1927" i="2" s="1"/>
  <c r="I1927" i="2" s="1"/>
  <c r="G1928" i="2"/>
  <c r="H1928" i="2" s="1"/>
  <c r="I1928" i="2" s="1"/>
  <c r="G1929" i="2"/>
  <c r="H1929" i="2" s="1"/>
  <c r="I1929" i="2" s="1"/>
  <c r="G1930" i="2"/>
  <c r="H1930" i="2" s="1"/>
  <c r="I1930" i="2" s="1"/>
  <c r="G1931" i="2"/>
  <c r="H1931" i="2" s="1"/>
  <c r="I1931" i="2" s="1"/>
  <c r="G1932" i="2"/>
  <c r="H1932" i="2" s="1"/>
  <c r="I1932" i="2" s="1"/>
  <c r="G1933" i="2"/>
  <c r="G1934" i="2"/>
  <c r="H1934" i="2" s="1"/>
  <c r="I1934" i="2" s="1"/>
  <c r="G1935" i="2"/>
  <c r="H1935" i="2" s="1"/>
  <c r="I1935" i="2" s="1"/>
  <c r="G1936" i="2"/>
  <c r="H1936" i="2" s="1"/>
  <c r="I1936" i="2" s="1"/>
  <c r="G1937" i="2"/>
  <c r="H1937" i="2" s="1"/>
  <c r="I1937" i="2" s="1"/>
  <c r="G1938" i="2"/>
  <c r="H1938" i="2" s="1"/>
  <c r="I1938" i="2" s="1"/>
  <c r="G1939" i="2"/>
  <c r="H1939" i="2" s="1"/>
  <c r="I1939" i="2" s="1"/>
  <c r="G1940" i="2"/>
  <c r="H1940" i="2" s="1"/>
  <c r="I1940" i="2" s="1"/>
  <c r="G1941" i="2"/>
  <c r="H1941" i="2" s="1"/>
  <c r="I1941" i="2" s="1"/>
  <c r="G1942" i="2"/>
  <c r="H1942" i="2" s="1"/>
  <c r="I1942" i="2" s="1"/>
  <c r="G1943" i="2"/>
  <c r="H1943" i="2" s="1"/>
  <c r="I1943" i="2" s="1"/>
  <c r="G1944" i="2"/>
  <c r="H1944" i="2" s="1"/>
  <c r="I1944" i="2" s="1"/>
  <c r="G1945" i="2"/>
  <c r="G1946" i="2"/>
  <c r="H1946" i="2" s="1"/>
  <c r="I1946" i="2" s="1"/>
  <c r="G1947" i="2"/>
  <c r="H1947" i="2" s="1"/>
  <c r="I1947" i="2" s="1"/>
  <c r="G1948" i="2"/>
  <c r="H1948" i="2" s="1"/>
  <c r="I1948" i="2" s="1"/>
  <c r="G1949" i="2"/>
  <c r="H1949" i="2" s="1"/>
  <c r="I1949" i="2" s="1"/>
  <c r="G1950" i="2"/>
  <c r="G1951" i="2"/>
  <c r="H1951" i="2" s="1"/>
  <c r="I1951" i="2" s="1"/>
  <c r="G1952" i="2"/>
  <c r="H1952" i="2" s="1"/>
  <c r="I1952" i="2" s="1"/>
  <c r="G1953" i="2"/>
  <c r="H1953" i="2" s="1"/>
  <c r="I1953" i="2" s="1"/>
  <c r="G1954" i="2"/>
  <c r="H1954" i="2" s="1"/>
  <c r="I1954" i="2" s="1"/>
  <c r="G1955" i="2"/>
  <c r="H1955" i="2" s="1"/>
  <c r="I1955" i="2" s="1"/>
  <c r="G1956" i="2"/>
  <c r="H1956" i="2" s="1"/>
  <c r="I1956" i="2" s="1"/>
  <c r="G1957" i="2"/>
  <c r="G1958" i="2"/>
  <c r="H1958" i="2" s="1"/>
  <c r="I1958" i="2" s="1"/>
  <c r="G1959" i="2"/>
  <c r="G1960" i="2"/>
  <c r="G1961" i="2"/>
  <c r="H1961" i="2" s="1"/>
  <c r="I1961" i="2" s="1"/>
  <c r="G1962" i="2"/>
  <c r="H1962" i="2" s="1"/>
  <c r="I1962" i="2" s="1"/>
  <c r="G1963" i="2"/>
  <c r="H1963" i="2" s="1"/>
  <c r="I1963" i="2" s="1"/>
  <c r="G1964" i="2"/>
  <c r="H1964" i="2" s="1"/>
  <c r="I1964" i="2" s="1"/>
  <c r="G1965" i="2"/>
  <c r="H1965" i="2" s="1"/>
  <c r="I1965" i="2" s="1"/>
  <c r="G1966" i="2"/>
  <c r="H1966" i="2" s="1"/>
  <c r="I1966" i="2" s="1"/>
  <c r="G1967" i="2"/>
  <c r="H1967" i="2" s="1"/>
  <c r="I1967" i="2" s="1"/>
  <c r="G1968" i="2"/>
  <c r="H1968" i="2" s="1"/>
  <c r="I1968" i="2" s="1"/>
  <c r="G1969" i="2"/>
  <c r="G1970" i="2"/>
  <c r="G1971" i="2"/>
  <c r="H1971" i="2" s="1"/>
  <c r="I1971" i="2" s="1"/>
  <c r="G1972" i="2"/>
  <c r="H1972" i="2" s="1"/>
  <c r="I1972" i="2" s="1"/>
  <c r="G1973" i="2"/>
  <c r="H1973" i="2" s="1"/>
  <c r="I1973" i="2" s="1"/>
  <c r="G1974" i="2"/>
  <c r="H1974" i="2" s="1"/>
  <c r="I1974" i="2" s="1"/>
  <c r="G1975" i="2"/>
  <c r="H1975" i="2" s="1"/>
  <c r="I1975" i="2" s="1"/>
  <c r="G1976" i="2"/>
  <c r="H1976" i="2" s="1"/>
  <c r="I1976" i="2" s="1"/>
  <c r="G1977" i="2"/>
  <c r="H1977" i="2" s="1"/>
  <c r="I1977" i="2" s="1"/>
  <c r="G1978" i="2"/>
  <c r="H1978" i="2" s="1"/>
  <c r="I1978" i="2" s="1"/>
  <c r="G1979" i="2"/>
  <c r="H1979" i="2" s="1"/>
  <c r="I1979" i="2" s="1"/>
  <c r="G1980" i="2"/>
  <c r="H1980" i="2" s="1"/>
  <c r="I1980" i="2" s="1"/>
  <c r="G1981" i="2"/>
  <c r="G1982" i="2"/>
  <c r="G1983" i="2"/>
  <c r="G1984" i="2"/>
  <c r="G1985" i="2"/>
  <c r="H1985" i="2" s="1"/>
  <c r="I1985" i="2" s="1"/>
  <c r="G1986" i="2"/>
  <c r="H1986" i="2" s="1"/>
  <c r="I1986" i="2" s="1"/>
  <c r="G1987" i="2"/>
  <c r="H1987" i="2" s="1"/>
  <c r="I1987" i="2" s="1"/>
  <c r="G1988" i="2"/>
  <c r="H1988" i="2" s="1"/>
  <c r="I1988" i="2" s="1"/>
  <c r="G1989" i="2"/>
  <c r="H1989" i="2" s="1"/>
  <c r="I1989" i="2" s="1"/>
  <c r="G1990" i="2"/>
  <c r="G1991" i="2"/>
  <c r="H1991" i="2" s="1"/>
  <c r="I1991" i="2" s="1"/>
  <c r="G1992" i="2"/>
  <c r="H1992" i="2" s="1"/>
  <c r="I1992" i="2" s="1"/>
  <c r="G1993" i="2"/>
  <c r="H1993" i="2" s="1"/>
  <c r="I1993" i="2" s="1"/>
  <c r="G1994" i="2"/>
  <c r="H1994" i="2" s="1"/>
  <c r="I1994" i="2" s="1"/>
  <c r="G1995" i="2"/>
  <c r="H1995" i="2" s="1"/>
  <c r="I1995" i="2" s="1"/>
  <c r="G1996" i="2"/>
  <c r="H1996" i="2" s="1"/>
  <c r="I1996" i="2" s="1"/>
  <c r="G1997" i="2"/>
  <c r="H1997" i="2" s="1"/>
  <c r="I1997" i="2" s="1"/>
  <c r="G1998" i="2"/>
  <c r="H1998" i="2" s="1"/>
  <c r="I1998" i="2" s="1"/>
  <c r="G1999" i="2"/>
  <c r="H1999" i="2" s="1"/>
  <c r="I1999" i="2" s="1"/>
  <c r="G2000" i="2"/>
  <c r="H2000" i="2" s="1"/>
  <c r="I2000" i="2" s="1"/>
  <c r="G2001" i="2"/>
  <c r="H2001" i="2" s="1"/>
  <c r="I2001" i="2" s="1"/>
  <c r="G2002" i="2"/>
  <c r="H2002" i="2" s="1"/>
  <c r="I2002" i="2" s="1"/>
  <c r="G2003" i="2"/>
  <c r="H2003" i="2" s="1"/>
  <c r="I2003" i="2" s="1"/>
  <c r="G2004" i="2"/>
  <c r="H2004" i="2" s="1"/>
  <c r="I2004" i="2" s="1"/>
  <c r="G2005" i="2"/>
  <c r="H2005" i="2" s="1"/>
  <c r="I2005" i="2" s="1"/>
  <c r="G2006" i="2"/>
  <c r="G2007" i="2"/>
  <c r="G2008" i="2"/>
  <c r="H2008" i="2" s="1"/>
  <c r="I2008" i="2" s="1"/>
  <c r="G2009" i="2"/>
  <c r="H2009" i="2" s="1"/>
  <c r="I2009" i="2" s="1"/>
  <c r="G2010" i="2"/>
  <c r="H2010" i="2" s="1"/>
  <c r="I2010" i="2" s="1"/>
  <c r="G2011" i="2"/>
  <c r="H2011" i="2" s="1"/>
  <c r="I2011" i="2" s="1"/>
  <c r="G2012" i="2"/>
  <c r="H2012" i="2" s="1"/>
  <c r="I2012" i="2" s="1"/>
  <c r="G2013" i="2"/>
  <c r="H2013" i="2" s="1"/>
  <c r="I2013" i="2" s="1"/>
  <c r="G2014" i="2"/>
  <c r="H2014" i="2" s="1"/>
  <c r="I2014" i="2" s="1"/>
  <c r="G2015" i="2"/>
  <c r="H2015" i="2" s="1"/>
  <c r="I2015" i="2" s="1"/>
  <c r="G2016" i="2"/>
  <c r="H2016" i="2" s="1"/>
  <c r="I2016" i="2" s="1"/>
  <c r="G2017" i="2"/>
  <c r="H2017" i="2" s="1"/>
  <c r="I2017" i="2" s="1"/>
  <c r="G2018" i="2"/>
  <c r="G2019" i="2"/>
  <c r="G2020" i="2"/>
  <c r="G2021" i="2"/>
  <c r="G2022" i="2"/>
  <c r="H2022" i="2" s="1"/>
  <c r="I2022" i="2" s="1"/>
  <c r="G2023" i="2"/>
  <c r="H2023" i="2" s="1"/>
  <c r="I2023" i="2" s="1"/>
  <c r="G2024" i="2"/>
  <c r="H2024" i="2" s="1"/>
  <c r="I2024" i="2" s="1"/>
  <c r="G2025" i="2"/>
  <c r="H2025" i="2" s="1"/>
  <c r="I2025" i="2" s="1"/>
  <c r="G2026" i="2"/>
  <c r="H2026" i="2" s="1"/>
  <c r="I2026" i="2" s="1"/>
  <c r="G2027" i="2"/>
  <c r="H2027" i="2" s="1"/>
  <c r="I2027" i="2" s="1"/>
  <c r="G2028" i="2"/>
  <c r="H2028" i="2" s="1"/>
  <c r="I2028" i="2" s="1"/>
  <c r="G2029" i="2"/>
  <c r="G2030" i="2"/>
  <c r="H2030" i="2" s="1"/>
  <c r="I2030" i="2" s="1"/>
  <c r="G2031" i="2"/>
  <c r="H2031" i="2" s="1"/>
  <c r="I2031" i="2" s="1"/>
  <c r="G2032" i="2"/>
  <c r="H2032" i="2" s="1"/>
  <c r="I2032" i="2" s="1"/>
  <c r="G2033" i="2"/>
  <c r="H2033" i="2" s="1"/>
  <c r="I2033" i="2" s="1"/>
  <c r="G2034" i="2"/>
  <c r="H2034" i="2" s="1"/>
  <c r="I2034" i="2" s="1"/>
  <c r="G2035" i="2"/>
  <c r="H2035" i="2" s="1"/>
  <c r="I2035" i="2" s="1"/>
  <c r="G2036" i="2"/>
  <c r="H2036" i="2" s="1"/>
  <c r="I2036" i="2" s="1"/>
  <c r="G2037" i="2"/>
  <c r="H2037" i="2" s="1"/>
  <c r="I2037" i="2" s="1"/>
  <c r="G2038" i="2"/>
  <c r="H2038" i="2" s="1"/>
  <c r="I2038" i="2" s="1"/>
  <c r="G2039" i="2"/>
  <c r="H2039" i="2" s="1"/>
  <c r="I2039" i="2" s="1"/>
  <c r="G2040" i="2"/>
  <c r="H2040" i="2" s="1"/>
  <c r="I2040" i="2" s="1"/>
  <c r="G2041" i="2"/>
  <c r="G2042" i="2"/>
  <c r="H2042" i="2" s="1"/>
  <c r="I2042" i="2" s="1"/>
  <c r="G2043" i="2"/>
  <c r="H2043" i="2" s="1"/>
  <c r="I2043" i="2" s="1"/>
  <c r="G2044" i="2"/>
  <c r="H2044" i="2" s="1"/>
  <c r="I2044" i="2" s="1"/>
  <c r="G2045" i="2"/>
  <c r="H2045" i="2" s="1"/>
  <c r="I2045" i="2" s="1"/>
  <c r="G2046" i="2"/>
  <c r="G2047" i="2"/>
  <c r="H2047" i="2" s="1"/>
  <c r="I2047" i="2" s="1"/>
  <c r="G2048" i="2"/>
  <c r="H2048" i="2" s="1"/>
  <c r="I2048" i="2" s="1"/>
  <c r="G2049" i="2"/>
  <c r="H2049" i="2" s="1"/>
  <c r="I2049" i="2" s="1"/>
  <c r="G2050" i="2"/>
  <c r="H2050" i="2" s="1"/>
  <c r="I2050" i="2" s="1"/>
  <c r="G2051" i="2"/>
  <c r="H2051" i="2" s="1"/>
  <c r="I2051" i="2" s="1"/>
  <c r="G2052" i="2"/>
  <c r="H2052" i="2" s="1"/>
  <c r="I2052" i="2" s="1"/>
  <c r="G2053" i="2"/>
  <c r="G2054" i="2"/>
  <c r="H2054" i="2" s="1"/>
  <c r="I2054" i="2" s="1"/>
  <c r="G2055" i="2"/>
  <c r="G2056" i="2"/>
  <c r="G2057" i="2"/>
  <c r="H2057" i="2" s="1"/>
  <c r="I2057" i="2" s="1"/>
  <c r="G2058" i="2"/>
  <c r="H2058" i="2" s="1"/>
  <c r="I2058" i="2" s="1"/>
  <c r="G2059" i="2"/>
  <c r="H2059" i="2" s="1"/>
  <c r="I2059" i="2" s="1"/>
  <c r="G2060" i="2"/>
  <c r="H2060" i="2" s="1"/>
  <c r="I2060" i="2" s="1"/>
  <c r="G2061" i="2"/>
  <c r="H2061" i="2" s="1"/>
  <c r="I2061" i="2" s="1"/>
  <c r="G2062" i="2"/>
  <c r="H2062" i="2" s="1"/>
  <c r="I2062" i="2" s="1"/>
  <c r="G2063" i="2"/>
  <c r="H2063" i="2" s="1"/>
  <c r="I2063" i="2" s="1"/>
  <c r="G2064" i="2"/>
  <c r="H2064" i="2" s="1"/>
  <c r="I2064" i="2" s="1"/>
  <c r="G2065" i="2"/>
  <c r="G2066" i="2"/>
  <c r="G2067" i="2"/>
  <c r="H2067" i="2" s="1"/>
  <c r="I2067" i="2" s="1"/>
  <c r="G2068" i="2"/>
  <c r="H2068" i="2" s="1"/>
  <c r="I2068" i="2" s="1"/>
  <c r="G2069" i="2"/>
  <c r="H2069" i="2" s="1"/>
  <c r="I2069" i="2" s="1"/>
  <c r="G2070" i="2"/>
  <c r="H2070" i="2" s="1"/>
  <c r="I2070" i="2" s="1"/>
  <c r="G2071" i="2"/>
  <c r="H2071" i="2" s="1"/>
  <c r="I2071" i="2" s="1"/>
  <c r="G2072" i="2"/>
  <c r="H2072" i="2" s="1"/>
  <c r="I2072" i="2" s="1"/>
  <c r="G2073" i="2"/>
  <c r="H2073" i="2" s="1"/>
  <c r="I2073" i="2" s="1"/>
  <c r="G2074" i="2"/>
  <c r="H2074" i="2" s="1"/>
  <c r="I2074" i="2" s="1"/>
  <c r="G2075" i="2"/>
  <c r="H2075" i="2" s="1"/>
  <c r="I2075" i="2" s="1"/>
  <c r="G2076" i="2"/>
  <c r="H2076" i="2" s="1"/>
  <c r="I2076" i="2" s="1"/>
  <c r="G2077" i="2"/>
  <c r="G2078" i="2"/>
  <c r="G2079" i="2"/>
  <c r="G2080" i="2"/>
  <c r="G2081" i="2"/>
  <c r="H2081" i="2" s="1"/>
  <c r="I2081" i="2" s="1"/>
  <c r="G2082" i="2"/>
  <c r="H2082" i="2" s="1"/>
  <c r="I2082" i="2" s="1"/>
  <c r="G2083" i="2"/>
  <c r="H2083" i="2" s="1"/>
  <c r="I2083" i="2" s="1"/>
  <c r="G2084" i="2"/>
  <c r="H2084" i="2" s="1"/>
  <c r="I2084" i="2" s="1"/>
  <c r="G2085" i="2"/>
  <c r="H2085" i="2" s="1"/>
  <c r="I2085" i="2" s="1"/>
  <c r="G2086" i="2"/>
  <c r="G2087" i="2"/>
  <c r="H2087" i="2" s="1"/>
  <c r="I2087" i="2" s="1"/>
  <c r="G2088" i="2"/>
  <c r="H2088" i="2" s="1"/>
  <c r="I2088" i="2" s="1"/>
  <c r="G2089" i="2"/>
  <c r="H2089" i="2" s="1"/>
  <c r="I2089" i="2" s="1"/>
  <c r="G2090" i="2"/>
  <c r="H2090" i="2" s="1"/>
  <c r="I2090" i="2" s="1"/>
  <c r="G2091" i="2"/>
  <c r="H2091" i="2" s="1"/>
  <c r="I2091" i="2" s="1"/>
  <c r="G2092" i="2"/>
  <c r="H2092" i="2" s="1"/>
  <c r="I2092" i="2" s="1"/>
  <c r="G2093" i="2"/>
  <c r="H2093" i="2" s="1"/>
  <c r="I2093" i="2" s="1"/>
  <c r="G2094" i="2"/>
  <c r="H2094" i="2" s="1"/>
  <c r="I2094" i="2" s="1"/>
  <c r="G2095" i="2"/>
  <c r="H2095" i="2" s="1"/>
  <c r="I2095" i="2" s="1"/>
  <c r="G2096" i="2"/>
  <c r="H2096" i="2" s="1"/>
  <c r="I2096" i="2" s="1"/>
  <c r="G2097" i="2"/>
  <c r="H2097" i="2" s="1"/>
  <c r="I2097" i="2" s="1"/>
  <c r="G2098" i="2"/>
  <c r="H2098" i="2" s="1"/>
  <c r="I2098" i="2" s="1"/>
  <c r="G2099" i="2"/>
  <c r="H2099" i="2" s="1"/>
  <c r="I2099" i="2" s="1"/>
  <c r="G2100" i="2"/>
  <c r="H2100" i="2" s="1"/>
  <c r="I2100" i="2" s="1"/>
  <c r="G2101" i="2"/>
  <c r="H2101" i="2" s="1"/>
  <c r="I2101" i="2" s="1"/>
  <c r="G2102" i="2"/>
  <c r="G2103" i="2"/>
  <c r="G2104" i="2"/>
  <c r="H2104" i="2" s="1"/>
  <c r="I2104" i="2" s="1"/>
  <c r="G2105" i="2"/>
  <c r="H2105" i="2" s="1"/>
  <c r="I2105" i="2" s="1"/>
  <c r="G2106" i="2"/>
  <c r="H2106" i="2" s="1"/>
  <c r="I2106" i="2" s="1"/>
  <c r="G2107" i="2"/>
  <c r="H2107" i="2" s="1"/>
  <c r="I2107" i="2" s="1"/>
  <c r="G2108" i="2"/>
  <c r="H2108" i="2" s="1"/>
  <c r="I2108" i="2" s="1"/>
  <c r="G2109" i="2"/>
  <c r="H2109" i="2" s="1"/>
  <c r="I2109" i="2" s="1"/>
  <c r="G2110" i="2"/>
  <c r="H2110" i="2" s="1"/>
  <c r="I2110" i="2" s="1"/>
  <c r="G2111" i="2"/>
  <c r="H2111" i="2" s="1"/>
  <c r="I2111" i="2" s="1"/>
  <c r="G2112" i="2"/>
  <c r="H2112" i="2" s="1"/>
  <c r="I2112" i="2" s="1"/>
  <c r="G2113" i="2"/>
  <c r="H2113" i="2" s="1"/>
  <c r="I2113" i="2" s="1"/>
  <c r="G2114" i="2"/>
  <c r="G2115" i="2"/>
  <c r="G2116" i="2"/>
  <c r="G2117" i="2"/>
  <c r="G2118" i="2"/>
  <c r="H2118" i="2" s="1"/>
  <c r="I2118" i="2" s="1"/>
  <c r="G2119" i="2"/>
  <c r="H2119" i="2" s="1"/>
  <c r="I2119" i="2" s="1"/>
  <c r="G2120" i="2"/>
  <c r="H2120" i="2" s="1"/>
  <c r="I2120" i="2" s="1"/>
  <c r="G2121" i="2"/>
  <c r="H2121" i="2" s="1"/>
  <c r="I2121" i="2" s="1"/>
  <c r="G2122" i="2"/>
  <c r="H2122" i="2" s="1"/>
  <c r="I2122" i="2" s="1"/>
  <c r="G2123" i="2"/>
  <c r="H2123" i="2" s="1"/>
  <c r="I2123" i="2" s="1"/>
  <c r="G2124" i="2"/>
  <c r="H2124" i="2" s="1"/>
  <c r="I2124" i="2" s="1"/>
  <c r="G2125" i="2"/>
  <c r="G2126" i="2"/>
  <c r="H2126" i="2" s="1"/>
  <c r="I2126" i="2" s="1"/>
  <c r="G2127" i="2"/>
  <c r="H2127" i="2" s="1"/>
  <c r="I2127" i="2" s="1"/>
  <c r="G2128" i="2"/>
  <c r="H2128" i="2" s="1"/>
  <c r="I2128" i="2" s="1"/>
  <c r="G2129" i="2"/>
  <c r="H2129" i="2" s="1"/>
  <c r="I2129" i="2" s="1"/>
  <c r="G2130" i="2"/>
  <c r="H2130" i="2" s="1"/>
  <c r="I2130" i="2" s="1"/>
  <c r="G2131" i="2"/>
  <c r="H2131" i="2" s="1"/>
  <c r="I2131" i="2" s="1"/>
  <c r="G2132" i="2"/>
  <c r="H2132" i="2" s="1"/>
  <c r="I2132" i="2" s="1"/>
  <c r="G2133" i="2"/>
  <c r="H2133" i="2" s="1"/>
  <c r="I2133" i="2" s="1"/>
  <c r="G2134" i="2"/>
  <c r="H2134" i="2" s="1"/>
  <c r="I2134" i="2" s="1"/>
  <c r="G2135" i="2"/>
  <c r="H2135" i="2" s="1"/>
  <c r="I2135" i="2" s="1"/>
  <c r="G2136" i="2"/>
  <c r="H2136" i="2" s="1"/>
  <c r="I2136" i="2" s="1"/>
  <c r="G2137" i="2"/>
  <c r="G2138" i="2"/>
  <c r="H2138" i="2" s="1"/>
  <c r="I2138" i="2" s="1"/>
  <c r="G2139" i="2"/>
  <c r="H2139" i="2" s="1"/>
  <c r="I2139" i="2" s="1"/>
  <c r="G2140" i="2"/>
  <c r="H2140" i="2" s="1"/>
  <c r="I2140" i="2" s="1"/>
  <c r="G2141" i="2"/>
  <c r="H2141" i="2" s="1"/>
  <c r="I2141" i="2" s="1"/>
  <c r="G2142" i="2"/>
  <c r="G2143" i="2"/>
  <c r="H2143" i="2" s="1"/>
  <c r="I2143" i="2" s="1"/>
  <c r="G2144" i="2"/>
  <c r="H2144" i="2" s="1"/>
  <c r="I2144" i="2" s="1"/>
  <c r="G2145" i="2"/>
  <c r="H2145" i="2" s="1"/>
  <c r="I2145" i="2" s="1"/>
  <c r="G2146" i="2"/>
  <c r="H2146" i="2" s="1"/>
  <c r="I2146" i="2" s="1"/>
  <c r="G2147" i="2"/>
  <c r="H2147" i="2" s="1"/>
  <c r="I2147" i="2" s="1"/>
  <c r="G2148" i="2"/>
  <c r="H2148" i="2" s="1"/>
  <c r="I2148" i="2" s="1"/>
  <c r="G2149" i="2"/>
  <c r="G2150" i="2"/>
  <c r="H2150" i="2" s="1"/>
  <c r="I2150" i="2" s="1"/>
  <c r="G2151" i="2"/>
  <c r="G2152" i="2"/>
  <c r="G2153" i="2"/>
  <c r="H2153" i="2" s="1"/>
  <c r="I2153" i="2" s="1"/>
  <c r="G2154" i="2"/>
  <c r="H2154" i="2" s="1"/>
  <c r="I2154" i="2" s="1"/>
  <c r="G2155" i="2"/>
  <c r="H2155" i="2" s="1"/>
  <c r="I2155" i="2" s="1"/>
  <c r="G2156" i="2"/>
  <c r="H2156" i="2" s="1"/>
  <c r="I2156" i="2" s="1"/>
  <c r="G2157" i="2"/>
  <c r="H2157" i="2" s="1"/>
  <c r="I2157" i="2" s="1"/>
  <c r="G2158" i="2"/>
  <c r="H2158" i="2" s="1"/>
  <c r="I2158" i="2" s="1"/>
  <c r="G2159" i="2"/>
  <c r="H2159" i="2" s="1"/>
  <c r="I2159" i="2" s="1"/>
  <c r="G2160" i="2"/>
  <c r="H2160" i="2" s="1"/>
  <c r="I2160" i="2" s="1"/>
  <c r="G2161" i="2"/>
  <c r="G2162" i="2"/>
  <c r="G2163" i="2"/>
  <c r="H2163" i="2" s="1"/>
  <c r="I2163" i="2" s="1"/>
  <c r="G2164" i="2"/>
  <c r="H2164" i="2" s="1"/>
  <c r="I2164" i="2" s="1"/>
  <c r="G2165" i="2"/>
  <c r="H2165" i="2" s="1"/>
  <c r="I2165" i="2" s="1"/>
  <c r="G2166" i="2"/>
  <c r="H2166" i="2" s="1"/>
  <c r="I2166" i="2" s="1"/>
  <c r="G2167" i="2"/>
  <c r="H2167" i="2" s="1"/>
  <c r="I2167" i="2" s="1"/>
  <c r="G2168" i="2"/>
  <c r="H2168" i="2" s="1"/>
  <c r="I2168" i="2" s="1"/>
  <c r="G2169" i="2"/>
  <c r="H2169" i="2" s="1"/>
  <c r="I2169" i="2" s="1"/>
  <c r="G2170" i="2"/>
  <c r="H2170" i="2" s="1"/>
  <c r="I2170" i="2" s="1"/>
  <c r="G2171" i="2"/>
  <c r="H2171" i="2" s="1"/>
  <c r="I2171" i="2" s="1"/>
  <c r="G2172" i="2"/>
  <c r="H2172" i="2" s="1"/>
  <c r="I2172" i="2" s="1"/>
  <c r="G2173" i="2"/>
  <c r="G2174" i="2"/>
  <c r="G2175" i="2"/>
  <c r="G2176" i="2"/>
  <c r="G2177" i="2"/>
  <c r="H2177" i="2" s="1"/>
  <c r="I2177" i="2" s="1"/>
  <c r="G2178" i="2"/>
  <c r="H2178" i="2" s="1"/>
  <c r="I2178" i="2" s="1"/>
  <c r="G2179" i="2"/>
  <c r="H2179" i="2" s="1"/>
  <c r="I2179" i="2" s="1"/>
  <c r="G2180" i="2"/>
  <c r="H2180" i="2" s="1"/>
  <c r="I2180" i="2" s="1"/>
  <c r="G2181" i="2"/>
  <c r="H2181" i="2" s="1"/>
  <c r="I2181" i="2" s="1"/>
  <c r="G2182" i="2"/>
  <c r="G2183" i="2"/>
  <c r="H2183" i="2" s="1"/>
  <c r="I2183" i="2" s="1"/>
  <c r="G2184" i="2"/>
  <c r="H2184" i="2" s="1"/>
  <c r="I2184" i="2" s="1"/>
  <c r="G2185" i="2"/>
  <c r="H2185" i="2" s="1"/>
  <c r="I2185" i="2" s="1"/>
  <c r="G2186" i="2"/>
  <c r="H2186" i="2" s="1"/>
  <c r="I2186" i="2" s="1"/>
  <c r="G2187" i="2"/>
  <c r="H2187" i="2" s="1"/>
  <c r="I2187" i="2" s="1"/>
  <c r="G2188" i="2"/>
  <c r="H2188" i="2" s="1"/>
  <c r="I2188" i="2" s="1"/>
  <c r="G2189" i="2"/>
  <c r="H2189" i="2" s="1"/>
  <c r="I2189" i="2" s="1"/>
  <c r="G2190" i="2"/>
  <c r="H2190" i="2" s="1"/>
  <c r="I2190" i="2" s="1"/>
  <c r="G2191" i="2"/>
  <c r="H2191" i="2" s="1"/>
  <c r="I2191" i="2" s="1"/>
  <c r="G2192" i="2"/>
  <c r="H2192" i="2" s="1"/>
  <c r="I2192" i="2" s="1"/>
  <c r="G2193" i="2"/>
  <c r="H2193" i="2" s="1"/>
  <c r="I2193" i="2" s="1"/>
  <c r="G2194" i="2"/>
  <c r="H2194" i="2" s="1"/>
  <c r="I2194" i="2" s="1"/>
  <c r="G2195" i="2"/>
  <c r="H2195" i="2" s="1"/>
  <c r="I2195" i="2" s="1"/>
  <c r="G2196" i="2"/>
  <c r="H2196" i="2" s="1"/>
  <c r="I2196" i="2" s="1"/>
  <c r="G2197" i="2"/>
  <c r="H2197" i="2" s="1"/>
  <c r="I2197" i="2" s="1"/>
  <c r="G2198" i="2"/>
  <c r="G2199" i="2"/>
  <c r="G2200" i="2"/>
  <c r="H2200" i="2" s="1"/>
  <c r="I2200" i="2" s="1"/>
  <c r="G2201" i="2"/>
  <c r="H2201" i="2" s="1"/>
  <c r="I2201" i="2" s="1"/>
  <c r="G2202" i="2"/>
  <c r="H2202" i="2" s="1"/>
  <c r="I2202" i="2" s="1"/>
  <c r="G2203" i="2"/>
  <c r="H2203" i="2" s="1"/>
  <c r="I2203" i="2" s="1"/>
  <c r="G2204" i="2"/>
  <c r="H2204" i="2" s="1"/>
  <c r="I2204" i="2" s="1"/>
  <c r="G2205" i="2"/>
  <c r="H2205" i="2" s="1"/>
  <c r="I2205" i="2" s="1"/>
  <c r="G2206" i="2"/>
  <c r="H2206" i="2" s="1"/>
  <c r="I2206" i="2" s="1"/>
  <c r="G2207" i="2"/>
  <c r="H2207" i="2" s="1"/>
  <c r="I2207" i="2" s="1"/>
  <c r="G2208" i="2"/>
  <c r="H2208" i="2" s="1"/>
  <c r="I2208" i="2" s="1"/>
  <c r="G2209" i="2"/>
  <c r="H2209" i="2" s="1"/>
  <c r="I2209" i="2" s="1"/>
  <c r="G2210" i="2"/>
  <c r="G2211" i="2"/>
  <c r="G2212" i="2"/>
  <c r="G2213" i="2"/>
  <c r="G2214" i="2"/>
  <c r="H2214" i="2" s="1"/>
  <c r="I2214" i="2" s="1"/>
  <c r="G2215" i="2"/>
  <c r="H2215" i="2" s="1"/>
  <c r="I2215" i="2" s="1"/>
  <c r="G2216" i="2"/>
  <c r="H2216" i="2" s="1"/>
  <c r="I2216" i="2" s="1"/>
  <c r="G2217" i="2"/>
  <c r="H2217" i="2" s="1"/>
  <c r="I2217" i="2" s="1"/>
  <c r="G2218" i="2"/>
  <c r="H2218" i="2" s="1"/>
  <c r="I2218" i="2" s="1"/>
  <c r="G2219" i="2"/>
  <c r="H2219" i="2" s="1"/>
  <c r="I2219" i="2" s="1"/>
  <c r="G2220" i="2"/>
  <c r="H2220" i="2" s="1"/>
  <c r="I2220" i="2" s="1"/>
  <c r="G2221" i="2"/>
  <c r="G2222" i="2"/>
  <c r="H2222" i="2" s="1"/>
  <c r="I2222" i="2" s="1"/>
  <c r="G2223" i="2"/>
  <c r="H2223" i="2" s="1"/>
  <c r="I2223" i="2" s="1"/>
  <c r="G2224" i="2"/>
  <c r="H2224" i="2" s="1"/>
  <c r="I2224" i="2" s="1"/>
  <c r="G2225" i="2"/>
  <c r="H2225" i="2" s="1"/>
  <c r="I2225" i="2" s="1"/>
  <c r="G2226" i="2"/>
  <c r="H2226" i="2" s="1"/>
  <c r="I2226" i="2" s="1"/>
  <c r="G2227" i="2"/>
  <c r="H2227" i="2" s="1"/>
  <c r="I2227" i="2" s="1"/>
  <c r="G2228" i="2"/>
  <c r="H2228" i="2" s="1"/>
  <c r="I2228" i="2" s="1"/>
  <c r="G2229" i="2"/>
  <c r="H2229" i="2" s="1"/>
  <c r="I2229" i="2" s="1"/>
  <c r="G2230" i="2"/>
  <c r="H2230" i="2" s="1"/>
  <c r="I2230" i="2" s="1"/>
  <c r="G2231" i="2"/>
  <c r="H2231" i="2" s="1"/>
  <c r="I2231" i="2" s="1"/>
  <c r="G2232" i="2"/>
  <c r="H2232" i="2" s="1"/>
  <c r="I2232" i="2" s="1"/>
  <c r="G2233" i="2"/>
  <c r="G2234" i="2"/>
  <c r="H2234" i="2" s="1"/>
  <c r="I2234" i="2" s="1"/>
  <c r="G2235" i="2"/>
  <c r="H2235" i="2" s="1"/>
  <c r="I2235" i="2" s="1"/>
  <c r="G2236" i="2"/>
  <c r="H2236" i="2" s="1"/>
  <c r="I2236" i="2" s="1"/>
  <c r="G2237" i="2"/>
  <c r="H2237" i="2" s="1"/>
  <c r="I2237" i="2" s="1"/>
  <c r="G2238" i="2"/>
  <c r="G2239" i="2"/>
  <c r="H2239" i="2" s="1"/>
  <c r="I2239" i="2" s="1"/>
  <c r="G2240" i="2"/>
  <c r="H2240" i="2" s="1"/>
  <c r="I2240" i="2" s="1"/>
  <c r="G2241" i="2"/>
  <c r="H2241" i="2" s="1"/>
  <c r="I2241" i="2" s="1"/>
  <c r="G2242" i="2"/>
  <c r="H2242" i="2" s="1"/>
  <c r="I2242" i="2" s="1"/>
  <c r="G2243" i="2"/>
  <c r="H2243" i="2" s="1"/>
  <c r="I2243" i="2" s="1"/>
  <c r="G2244" i="2"/>
  <c r="H2244" i="2" s="1"/>
  <c r="I2244" i="2" s="1"/>
  <c r="G2245" i="2"/>
  <c r="G2246" i="2"/>
  <c r="H2246" i="2" s="1"/>
  <c r="I2246" i="2" s="1"/>
  <c r="G2247" i="2"/>
  <c r="G2248" i="2"/>
  <c r="G2249" i="2"/>
  <c r="H2249" i="2" s="1"/>
  <c r="I2249" i="2" s="1"/>
  <c r="G2250" i="2"/>
  <c r="H2250" i="2" s="1"/>
  <c r="I2250" i="2" s="1"/>
  <c r="G2251" i="2"/>
  <c r="H2251" i="2" s="1"/>
  <c r="I2251" i="2" s="1"/>
  <c r="G2252" i="2"/>
  <c r="H2252" i="2" s="1"/>
  <c r="I2252" i="2" s="1"/>
  <c r="G2253" i="2"/>
  <c r="H2253" i="2" s="1"/>
  <c r="I2253" i="2" s="1"/>
  <c r="G2254" i="2"/>
  <c r="H2254" i="2" s="1"/>
  <c r="I2254" i="2" s="1"/>
  <c r="G2255" i="2"/>
  <c r="H2255" i="2" s="1"/>
  <c r="I2255" i="2" s="1"/>
  <c r="G2256" i="2"/>
  <c r="H2256" i="2" s="1"/>
  <c r="I2256" i="2" s="1"/>
  <c r="G2257" i="2"/>
  <c r="G2258" i="2"/>
  <c r="G2259" i="2"/>
  <c r="H2259" i="2" s="1"/>
  <c r="I2259" i="2" s="1"/>
  <c r="G2260" i="2"/>
  <c r="H2260" i="2" s="1"/>
  <c r="I2260" i="2" s="1"/>
  <c r="G2261" i="2"/>
  <c r="H2261" i="2" s="1"/>
  <c r="I2261" i="2" s="1"/>
  <c r="G2262" i="2"/>
  <c r="H2262" i="2" s="1"/>
  <c r="I2262" i="2" s="1"/>
  <c r="G2263" i="2"/>
  <c r="H2263" i="2" s="1"/>
  <c r="I2263" i="2" s="1"/>
  <c r="G2264" i="2"/>
  <c r="H2264" i="2" s="1"/>
  <c r="I2264" i="2" s="1"/>
  <c r="G2265" i="2"/>
  <c r="H2265" i="2" s="1"/>
  <c r="I2265" i="2" s="1"/>
  <c r="G2266" i="2"/>
  <c r="H2266" i="2" s="1"/>
  <c r="I2266" i="2" s="1"/>
  <c r="G2267" i="2"/>
  <c r="H2267" i="2" s="1"/>
  <c r="I2267" i="2" s="1"/>
  <c r="G2268" i="2"/>
  <c r="H2268" i="2" s="1"/>
  <c r="I2268" i="2" s="1"/>
  <c r="G2269" i="2"/>
  <c r="G2270" i="2"/>
  <c r="G2271" i="2"/>
  <c r="G2272" i="2"/>
  <c r="G2273" i="2"/>
  <c r="H2273" i="2" s="1"/>
  <c r="I2273" i="2" s="1"/>
  <c r="G2274" i="2"/>
  <c r="H2274" i="2" s="1"/>
  <c r="I2274" i="2" s="1"/>
  <c r="G2275" i="2"/>
  <c r="H2275" i="2" s="1"/>
  <c r="I2275" i="2" s="1"/>
  <c r="G2276" i="2"/>
  <c r="H2276" i="2" s="1"/>
  <c r="I2276" i="2" s="1"/>
  <c r="G2277" i="2"/>
  <c r="H2277" i="2" s="1"/>
  <c r="I2277" i="2" s="1"/>
  <c r="G2278" i="2"/>
  <c r="G2279" i="2"/>
  <c r="H2279" i="2" s="1"/>
  <c r="I2279" i="2" s="1"/>
  <c r="G2280" i="2"/>
  <c r="H2280" i="2" s="1"/>
  <c r="I2280" i="2" s="1"/>
  <c r="G2281" i="2"/>
  <c r="H2281" i="2" s="1"/>
  <c r="I2281" i="2" s="1"/>
  <c r="G2282" i="2"/>
  <c r="H2282" i="2" s="1"/>
  <c r="I2282" i="2" s="1"/>
  <c r="G2283" i="2"/>
  <c r="H2283" i="2" s="1"/>
  <c r="I2283" i="2" s="1"/>
  <c r="G2284" i="2"/>
  <c r="H2284" i="2" s="1"/>
  <c r="I2284" i="2" s="1"/>
  <c r="G2285" i="2"/>
  <c r="H2285" i="2" s="1"/>
  <c r="I2285" i="2" s="1"/>
  <c r="G2286" i="2"/>
  <c r="H2286" i="2" s="1"/>
  <c r="I2286" i="2" s="1"/>
  <c r="G2287" i="2"/>
  <c r="H2287" i="2" s="1"/>
  <c r="I2287" i="2" s="1"/>
  <c r="G2288" i="2"/>
  <c r="H2288" i="2" s="1"/>
  <c r="I2288" i="2" s="1"/>
  <c r="G2289" i="2"/>
  <c r="H2289" i="2" s="1"/>
  <c r="I2289" i="2" s="1"/>
  <c r="G2290" i="2"/>
  <c r="H2290" i="2" s="1"/>
  <c r="I2290" i="2" s="1"/>
  <c r="G2291" i="2"/>
  <c r="H2291" i="2" s="1"/>
  <c r="I2291" i="2" s="1"/>
  <c r="G2292" i="2"/>
  <c r="H2292" i="2" s="1"/>
  <c r="I2292" i="2" s="1"/>
  <c r="G2293" i="2"/>
  <c r="H2293" i="2" s="1"/>
  <c r="I2293" i="2" s="1"/>
  <c r="G2294" i="2"/>
  <c r="G2295" i="2"/>
  <c r="G2296" i="2"/>
  <c r="H2296" i="2" s="1"/>
  <c r="I2296" i="2" s="1"/>
  <c r="G2297" i="2"/>
  <c r="H2297" i="2" s="1"/>
  <c r="I2297" i="2" s="1"/>
  <c r="G2298" i="2"/>
  <c r="H2298" i="2" s="1"/>
  <c r="I2298" i="2" s="1"/>
  <c r="G2299" i="2"/>
  <c r="H2299" i="2" s="1"/>
  <c r="I2299" i="2" s="1"/>
  <c r="G2300" i="2"/>
  <c r="H2300" i="2" s="1"/>
  <c r="I2300" i="2" s="1"/>
  <c r="G2301" i="2"/>
  <c r="H2301" i="2" s="1"/>
  <c r="I2301" i="2" s="1"/>
  <c r="G2302" i="2"/>
  <c r="H2302" i="2" s="1"/>
  <c r="I2302" i="2" s="1"/>
  <c r="G2303" i="2"/>
  <c r="H2303" i="2" s="1"/>
  <c r="I2303" i="2" s="1"/>
  <c r="G2304" i="2"/>
  <c r="H2304" i="2" s="1"/>
  <c r="I2304" i="2" s="1"/>
  <c r="G2305" i="2"/>
  <c r="H2305" i="2" s="1"/>
  <c r="I2305" i="2" s="1"/>
  <c r="G2306" i="2"/>
  <c r="G2307" i="2"/>
  <c r="G2308" i="2"/>
  <c r="G2309" i="2"/>
  <c r="G2310" i="2"/>
  <c r="H2310" i="2" s="1"/>
  <c r="I2310" i="2" s="1"/>
  <c r="G2311" i="2"/>
  <c r="H2311" i="2" s="1"/>
  <c r="I2311" i="2" s="1"/>
  <c r="G2312" i="2"/>
  <c r="H2312" i="2" s="1"/>
  <c r="I2312" i="2" s="1"/>
  <c r="G2313" i="2"/>
  <c r="H2313" i="2" s="1"/>
  <c r="I2313" i="2" s="1"/>
  <c r="G2314" i="2"/>
  <c r="H2314" i="2" s="1"/>
  <c r="I2314" i="2" s="1"/>
  <c r="G2315" i="2"/>
  <c r="H2315" i="2" s="1"/>
  <c r="I2315" i="2" s="1"/>
  <c r="G2316" i="2"/>
  <c r="H2316" i="2" s="1"/>
  <c r="I2316" i="2" s="1"/>
  <c r="G2317" i="2"/>
  <c r="G2318" i="2"/>
  <c r="H2318" i="2" s="1"/>
  <c r="I2318" i="2" s="1"/>
  <c r="G2319" i="2"/>
  <c r="H2319" i="2" s="1"/>
  <c r="I2319" i="2" s="1"/>
  <c r="G2320" i="2"/>
  <c r="H2320" i="2" s="1"/>
  <c r="I2320" i="2" s="1"/>
  <c r="G2321" i="2"/>
  <c r="H2321" i="2" s="1"/>
  <c r="I2321" i="2" s="1"/>
  <c r="G2322" i="2"/>
  <c r="H2322" i="2" s="1"/>
  <c r="I2322" i="2" s="1"/>
  <c r="G2323" i="2"/>
  <c r="H2323" i="2" s="1"/>
  <c r="I2323" i="2" s="1"/>
  <c r="G2324" i="2"/>
  <c r="H2324" i="2" s="1"/>
  <c r="I2324" i="2" s="1"/>
  <c r="G2325" i="2"/>
  <c r="H2325" i="2" s="1"/>
  <c r="I2325" i="2" s="1"/>
  <c r="G2326" i="2"/>
  <c r="H2326" i="2" s="1"/>
  <c r="I2326" i="2" s="1"/>
  <c r="G2327" i="2"/>
  <c r="H2327" i="2" s="1"/>
  <c r="I2327" i="2" s="1"/>
  <c r="G2328" i="2"/>
  <c r="H2328" i="2" s="1"/>
  <c r="I2328" i="2" s="1"/>
  <c r="G2329" i="2"/>
  <c r="G2330" i="2"/>
  <c r="H2330" i="2" s="1"/>
  <c r="I2330" i="2" s="1"/>
  <c r="G2331" i="2"/>
  <c r="H2331" i="2" s="1"/>
  <c r="I2331" i="2" s="1"/>
  <c r="G2332" i="2"/>
  <c r="H2332" i="2" s="1"/>
  <c r="I2332" i="2" s="1"/>
  <c r="G2333" i="2"/>
  <c r="H2333" i="2" s="1"/>
  <c r="I2333" i="2" s="1"/>
  <c r="G2334" i="2"/>
  <c r="G2335" i="2"/>
  <c r="H2335" i="2" s="1"/>
  <c r="I2335" i="2" s="1"/>
  <c r="G2336" i="2"/>
  <c r="H2336" i="2" s="1"/>
  <c r="I2336" i="2" s="1"/>
  <c r="G2337" i="2"/>
  <c r="H2337" i="2" s="1"/>
  <c r="I2337" i="2" s="1"/>
  <c r="G2338" i="2"/>
  <c r="H2338" i="2" s="1"/>
  <c r="I2338" i="2" s="1"/>
  <c r="G2339" i="2"/>
  <c r="H2339" i="2" s="1"/>
  <c r="I2339" i="2" s="1"/>
  <c r="G2340" i="2"/>
  <c r="H2340" i="2" s="1"/>
  <c r="I2340" i="2" s="1"/>
  <c r="G2341" i="2"/>
  <c r="G2342" i="2"/>
  <c r="H2342" i="2" s="1"/>
  <c r="I2342" i="2" s="1"/>
  <c r="G2343" i="2"/>
  <c r="G2344" i="2"/>
  <c r="G2345" i="2"/>
  <c r="H2345" i="2" s="1"/>
  <c r="I2345" i="2" s="1"/>
  <c r="G2346" i="2"/>
  <c r="H2346" i="2" s="1"/>
  <c r="I2346" i="2" s="1"/>
  <c r="G2347" i="2"/>
  <c r="H2347" i="2" s="1"/>
  <c r="I2347" i="2" s="1"/>
  <c r="G2348" i="2"/>
  <c r="H2348" i="2" s="1"/>
  <c r="I2348" i="2" s="1"/>
  <c r="G2349" i="2"/>
  <c r="H2349" i="2" s="1"/>
  <c r="I2349" i="2" s="1"/>
  <c r="G2350" i="2"/>
  <c r="H2350" i="2" s="1"/>
  <c r="I2350" i="2" s="1"/>
  <c r="G2351" i="2"/>
  <c r="H2351" i="2" s="1"/>
  <c r="I2351" i="2" s="1"/>
  <c r="G2352" i="2"/>
  <c r="H2352" i="2" s="1"/>
  <c r="I2352" i="2" s="1"/>
  <c r="G2353" i="2"/>
  <c r="G2354" i="2"/>
  <c r="G2355" i="2"/>
  <c r="H2355" i="2" s="1"/>
  <c r="I2355" i="2" s="1"/>
  <c r="G2356" i="2"/>
  <c r="H2356" i="2" s="1"/>
  <c r="I2356" i="2" s="1"/>
  <c r="G2357" i="2"/>
  <c r="H2357" i="2" s="1"/>
  <c r="I2357" i="2" s="1"/>
  <c r="G2358" i="2"/>
  <c r="H2358" i="2" s="1"/>
  <c r="I2358" i="2" s="1"/>
  <c r="G2359" i="2"/>
  <c r="H2359" i="2" s="1"/>
  <c r="I2359" i="2" s="1"/>
  <c r="G2360" i="2"/>
  <c r="H2360" i="2" s="1"/>
  <c r="I2360" i="2" s="1"/>
  <c r="G2361" i="2"/>
  <c r="H2361" i="2" s="1"/>
  <c r="I2361" i="2" s="1"/>
  <c r="G2362" i="2"/>
  <c r="H2362" i="2" s="1"/>
  <c r="I2362" i="2" s="1"/>
  <c r="G2363" i="2"/>
  <c r="H2363" i="2" s="1"/>
  <c r="I2363" i="2" s="1"/>
  <c r="G2364" i="2"/>
  <c r="H2364" i="2" s="1"/>
  <c r="I2364" i="2" s="1"/>
  <c r="G2365" i="2"/>
  <c r="G2366" i="2"/>
  <c r="G2367" i="2"/>
  <c r="G2368" i="2"/>
  <c r="G2369" i="2"/>
  <c r="H2369" i="2" s="1"/>
  <c r="I2369" i="2" s="1"/>
  <c r="G2370" i="2"/>
  <c r="H2370" i="2" s="1"/>
  <c r="I2370" i="2" s="1"/>
  <c r="G2371" i="2"/>
  <c r="H2371" i="2" s="1"/>
  <c r="I2371" i="2" s="1"/>
  <c r="G2372" i="2"/>
  <c r="H2372" i="2" s="1"/>
  <c r="I2372" i="2" s="1"/>
  <c r="G2373" i="2"/>
  <c r="H2373" i="2" s="1"/>
  <c r="I2373" i="2" s="1"/>
  <c r="G2374" i="2"/>
  <c r="G2375" i="2"/>
  <c r="H2375" i="2" s="1"/>
  <c r="I2375" i="2" s="1"/>
  <c r="G2376" i="2"/>
  <c r="H2376" i="2" s="1"/>
  <c r="I2376" i="2" s="1"/>
  <c r="G2377" i="2"/>
  <c r="H2377" i="2" s="1"/>
  <c r="I2377" i="2" s="1"/>
  <c r="G2378" i="2"/>
  <c r="H2378" i="2" s="1"/>
  <c r="I2378" i="2" s="1"/>
  <c r="G2379" i="2"/>
  <c r="H2379" i="2" s="1"/>
  <c r="I2379" i="2" s="1"/>
  <c r="G2380" i="2"/>
  <c r="H2380" i="2" s="1"/>
  <c r="I2380" i="2" s="1"/>
  <c r="G2381" i="2"/>
  <c r="H2381" i="2" s="1"/>
  <c r="I2381" i="2" s="1"/>
  <c r="G2382" i="2"/>
  <c r="H2382" i="2" s="1"/>
  <c r="I2382" i="2" s="1"/>
  <c r="G2383" i="2"/>
  <c r="H2383" i="2" s="1"/>
  <c r="I2383" i="2" s="1"/>
  <c r="G2384" i="2"/>
  <c r="H2384" i="2" s="1"/>
  <c r="I2384" i="2" s="1"/>
  <c r="G2385" i="2"/>
  <c r="H2385" i="2" s="1"/>
  <c r="I2385" i="2" s="1"/>
  <c r="G2386" i="2"/>
  <c r="H2386" i="2" s="1"/>
  <c r="I2386" i="2" s="1"/>
  <c r="G2387" i="2"/>
  <c r="H2387" i="2" s="1"/>
  <c r="I2387" i="2" s="1"/>
  <c r="G2388" i="2"/>
  <c r="H2388" i="2" s="1"/>
  <c r="I2388" i="2" s="1"/>
  <c r="G2389" i="2"/>
  <c r="H2389" i="2" s="1"/>
  <c r="I2389" i="2" s="1"/>
  <c r="G2390" i="2"/>
  <c r="G2391" i="2"/>
  <c r="G2392" i="2"/>
  <c r="H2392" i="2" s="1"/>
  <c r="I2392" i="2" s="1"/>
  <c r="G2393" i="2"/>
  <c r="H2393" i="2" s="1"/>
  <c r="I2393" i="2" s="1"/>
  <c r="G2394" i="2"/>
  <c r="H2394" i="2" s="1"/>
  <c r="I2394" i="2" s="1"/>
  <c r="G2395" i="2"/>
  <c r="H2395" i="2" s="1"/>
  <c r="I2395" i="2" s="1"/>
  <c r="G2396" i="2"/>
  <c r="H2396" i="2" s="1"/>
  <c r="I2396" i="2" s="1"/>
  <c r="G2397" i="2"/>
  <c r="H2397" i="2" s="1"/>
  <c r="I2397" i="2" s="1"/>
  <c r="G2398" i="2"/>
  <c r="H2398" i="2" s="1"/>
  <c r="I2398" i="2" s="1"/>
  <c r="G2399" i="2"/>
  <c r="H2399" i="2" s="1"/>
  <c r="I2399" i="2" s="1"/>
  <c r="G2400" i="2"/>
  <c r="H2400" i="2" s="1"/>
  <c r="I2400" i="2" s="1"/>
  <c r="G2401" i="2"/>
  <c r="H2401" i="2" s="1"/>
  <c r="I2401" i="2" s="1"/>
  <c r="G2402" i="2"/>
  <c r="G2403" i="2"/>
  <c r="G2404" i="2"/>
  <c r="G2405" i="2"/>
  <c r="G2406" i="2"/>
  <c r="H2406" i="2" s="1"/>
  <c r="I2406" i="2" s="1"/>
  <c r="G2407" i="2"/>
  <c r="H2407" i="2" s="1"/>
  <c r="I2407" i="2" s="1"/>
  <c r="G2408" i="2"/>
  <c r="H2408" i="2" s="1"/>
  <c r="I2408" i="2" s="1"/>
  <c r="G2409" i="2"/>
  <c r="H2409" i="2" s="1"/>
  <c r="I2409" i="2" s="1"/>
  <c r="G2410" i="2"/>
  <c r="H2410" i="2" s="1"/>
  <c r="I2410" i="2" s="1"/>
  <c r="G2411" i="2"/>
  <c r="H2411" i="2" s="1"/>
  <c r="I2411" i="2" s="1"/>
  <c r="G2412" i="2"/>
  <c r="H2412" i="2" s="1"/>
  <c r="I2412" i="2" s="1"/>
  <c r="G2413" i="2"/>
  <c r="G2414" i="2"/>
  <c r="H2414" i="2" s="1"/>
  <c r="I2414" i="2" s="1"/>
  <c r="G2415" i="2"/>
  <c r="H2415" i="2" s="1"/>
  <c r="I2415" i="2" s="1"/>
  <c r="G2416" i="2"/>
  <c r="H2416" i="2" s="1"/>
  <c r="I2416" i="2" s="1"/>
  <c r="G2417" i="2"/>
  <c r="H2417" i="2" s="1"/>
  <c r="I2417" i="2" s="1"/>
  <c r="G2418" i="2"/>
  <c r="H2418" i="2" s="1"/>
  <c r="I2418" i="2" s="1"/>
  <c r="G2419" i="2"/>
  <c r="H2419" i="2" s="1"/>
  <c r="I2419" i="2" s="1"/>
  <c r="G2420" i="2"/>
  <c r="H2420" i="2" s="1"/>
  <c r="I2420" i="2" s="1"/>
  <c r="G2421" i="2"/>
  <c r="H2421" i="2" s="1"/>
  <c r="I2421" i="2" s="1"/>
  <c r="G2422" i="2"/>
  <c r="H2422" i="2" s="1"/>
  <c r="I2422" i="2" s="1"/>
  <c r="G2423" i="2"/>
  <c r="H2423" i="2" s="1"/>
  <c r="I2423" i="2" s="1"/>
  <c r="G2424" i="2"/>
  <c r="H2424" i="2" s="1"/>
  <c r="I2424" i="2" s="1"/>
  <c r="G2425" i="2"/>
  <c r="G2426" i="2"/>
  <c r="H2426" i="2" s="1"/>
  <c r="I2426" i="2" s="1"/>
  <c r="G2427" i="2"/>
  <c r="H2427" i="2" s="1"/>
  <c r="I2427" i="2" s="1"/>
  <c r="G2428" i="2"/>
  <c r="H2428" i="2" s="1"/>
  <c r="I2428" i="2" s="1"/>
  <c r="G2429" i="2"/>
  <c r="H2429" i="2" s="1"/>
  <c r="I2429" i="2" s="1"/>
  <c r="G2430" i="2"/>
  <c r="G2431" i="2"/>
  <c r="H2431" i="2" s="1"/>
  <c r="I2431" i="2" s="1"/>
  <c r="G2432" i="2"/>
  <c r="H2432" i="2" s="1"/>
  <c r="I2432" i="2" s="1"/>
  <c r="G2433" i="2"/>
  <c r="H2433" i="2" s="1"/>
  <c r="I2433" i="2" s="1"/>
  <c r="G2434" i="2"/>
  <c r="H2434" i="2" s="1"/>
  <c r="I2434" i="2" s="1"/>
  <c r="G2435" i="2"/>
  <c r="H2435" i="2" s="1"/>
  <c r="I2435" i="2" s="1"/>
  <c r="G2436" i="2"/>
  <c r="H2436" i="2" s="1"/>
  <c r="I2436" i="2" s="1"/>
  <c r="G2437" i="2"/>
  <c r="G2438" i="2"/>
  <c r="H2438" i="2" s="1"/>
  <c r="I2438" i="2" s="1"/>
  <c r="G2439" i="2"/>
  <c r="G2440" i="2"/>
  <c r="G2441" i="2"/>
  <c r="H2441" i="2" s="1"/>
  <c r="I2441" i="2" s="1"/>
  <c r="G2442" i="2"/>
  <c r="H2442" i="2" s="1"/>
  <c r="I2442" i="2" s="1"/>
  <c r="G2443" i="2"/>
  <c r="H2443" i="2" s="1"/>
  <c r="I2443" i="2" s="1"/>
  <c r="G2444" i="2"/>
  <c r="H2444" i="2" s="1"/>
  <c r="I2444" i="2" s="1"/>
  <c r="G2445" i="2"/>
  <c r="H2445" i="2" s="1"/>
  <c r="I2445" i="2" s="1"/>
  <c r="G2446" i="2"/>
  <c r="H2446" i="2" s="1"/>
  <c r="I2446" i="2" s="1"/>
  <c r="G2447" i="2"/>
  <c r="H2447" i="2" s="1"/>
  <c r="I2447" i="2" s="1"/>
  <c r="G2448" i="2"/>
  <c r="H2448" i="2" s="1"/>
  <c r="I2448" i="2" s="1"/>
  <c r="G2449" i="2"/>
  <c r="G2450" i="2"/>
  <c r="G2451" i="2"/>
  <c r="H2451" i="2" s="1"/>
  <c r="I2451" i="2" s="1"/>
  <c r="G2452" i="2"/>
  <c r="H2452" i="2" s="1"/>
  <c r="I2452" i="2" s="1"/>
  <c r="G2453" i="2"/>
  <c r="H2453" i="2" s="1"/>
  <c r="I2453" i="2" s="1"/>
  <c r="G2454" i="2"/>
  <c r="H2454" i="2" s="1"/>
  <c r="I2454" i="2" s="1"/>
  <c r="G2455" i="2"/>
  <c r="H2455" i="2" s="1"/>
  <c r="I2455" i="2" s="1"/>
  <c r="G2456" i="2"/>
  <c r="H2456" i="2" s="1"/>
  <c r="I2456" i="2" s="1"/>
  <c r="G2457" i="2"/>
  <c r="H2457" i="2" s="1"/>
  <c r="I2457" i="2" s="1"/>
  <c r="G2458" i="2"/>
  <c r="H2458" i="2" s="1"/>
  <c r="I2458" i="2" s="1"/>
  <c r="G2459" i="2"/>
  <c r="H2459" i="2" s="1"/>
  <c r="I2459" i="2" s="1"/>
  <c r="G2460" i="2"/>
  <c r="H2460" i="2" s="1"/>
  <c r="I2460" i="2" s="1"/>
  <c r="G2461" i="2"/>
  <c r="G2462" i="2"/>
  <c r="G2463" i="2"/>
  <c r="G2464" i="2"/>
  <c r="G2465" i="2"/>
  <c r="H2465" i="2" s="1"/>
  <c r="I2465" i="2" s="1"/>
  <c r="G2466" i="2"/>
  <c r="H2466" i="2" s="1"/>
  <c r="I2466" i="2" s="1"/>
  <c r="G2467" i="2"/>
  <c r="H2467" i="2" s="1"/>
  <c r="I2467" i="2" s="1"/>
  <c r="G2468" i="2"/>
  <c r="H2468" i="2" s="1"/>
  <c r="I2468" i="2" s="1"/>
  <c r="G2469" i="2"/>
  <c r="H2469" i="2" s="1"/>
  <c r="I2469" i="2" s="1"/>
  <c r="G2470" i="2"/>
  <c r="G2471" i="2"/>
  <c r="H2471" i="2" s="1"/>
  <c r="I2471" i="2" s="1"/>
  <c r="G2472" i="2"/>
  <c r="H2472" i="2" s="1"/>
  <c r="I2472" i="2" s="1"/>
  <c r="G2473" i="2"/>
  <c r="H2473" i="2" s="1"/>
  <c r="I2473" i="2" s="1"/>
  <c r="G2474" i="2"/>
  <c r="H2474" i="2" s="1"/>
  <c r="I2474" i="2" s="1"/>
  <c r="G2475" i="2"/>
  <c r="H2475" i="2" s="1"/>
  <c r="I2475" i="2" s="1"/>
  <c r="G2476" i="2"/>
  <c r="H2476" i="2" s="1"/>
  <c r="I2476" i="2" s="1"/>
  <c r="G2477" i="2"/>
  <c r="H2477" i="2" s="1"/>
  <c r="I2477" i="2" s="1"/>
  <c r="G2478" i="2"/>
  <c r="H2478" i="2" s="1"/>
  <c r="I2478" i="2" s="1"/>
  <c r="G2479" i="2"/>
  <c r="H2479" i="2" s="1"/>
  <c r="I2479" i="2" s="1"/>
  <c r="G2480" i="2"/>
  <c r="H2480" i="2" s="1"/>
  <c r="I2480" i="2" s="1"/>
  <c r="G2481" i="2"/>
  <c r="H2481" i="2" s="1"/>
  <c r="I2481" i="2" s="1"/>
  <c r="G2482" i="2"/>
  <c r="H2482" i="2" s="1"/>
  <c r="I2482" i="2" s="1"/>
  <c r="G2483" i="2"/>
  <c r="H2483" i="2" s="1"/>
  <c r="I2483" i="2" s="1"/>
  <c r="G2484" i="2"/>
  <c r="H2484" i="2" s="1"/>
  <c r="I2484" i="2" s="1"/>
  <c r="G2485" i="2"/>
  <c r="H2485" i="2" s="1"/>
  <c r="I2485" i="2" s="1"/>
  <c r="G2486" i="2"/>
  <c r="G2487" i="2"/>
  <c r="G2488" i="2"/>
  <c r="H2488" i="2" s="1"/>
  <c r="I2488" i="2" s="1"/>
  <c r="G2489" i="2"/>
  <c r="H2489" i="2" s="1"/>
  <c r="I2489" i="2" s="1"/>
  <c r="G2490" i="2"/>
  <c r="H2490" i="2" s="1"/>
  <c r="I2490" i="2" s="1"/>
  <c r="G2491" i="2"/>
  <c r="H2491" i="2" s="1"/>
  <c r="I2491" i="2" s="1"/>
  <c r="G2492" i="2"/>
  <c r="H2492" i="2" s="1"/>
  <c r="I2492" i="2" s="1"/>
  <c r="G2493" i="2"/>
  <c r="H2493" i="2" s="1"/>
  <c r="I2493" i="2" s="1"/>
  <c r="G2494" i="2"/>
  <c r="H2494" i="2" s="1"/>
  <c r="I2494" i="2" s="1"/>
  <c r="G2495" i="2"/>
  <c r="H2495" i="2" s="1"/>
  <c r="I2495" i="2" s="1"/>
  <c r="G2496" i="2"/>
  <c r="H2496" i="2" s="1"/>
  <c r="I2496" i="2" s="1"/>
  <c r="G2497" i="2"/>
  <c r="H2497" i="2" s="1"/>
  <c r="I2497" i="2" s="1"/>
  <c r="G2498" i="2"/>
  <c r="G2499" i="2"/>
  <c r="G2500" i="2"/>
  <c r="G2501" i="2"/>
  <c r="G2502" i="2"/>
  <c r="H2502" i="2" s="1"/>
  <c r="I2502" i="2" s="1"/>
  <c r="G2503" i="2"/>
  <c r="H2503" i="2" s="1"/>
  <c r="I2503" i="2" s="1"/>
  <c r="G2504" i="2"/>
  <c r="H2504" i="2" s="1"/>
  <c r="I2504" i="2" s="1"/>
  <c r="G2505" i="2"/>
  <c r="H2505" i="2" s="1"/>
  <c r="I2505" i="2" s="1"/>
  <c r="G2506" i="2"/>
  <c r="H2506" i="2" s="1"/>
  <c r="I2506" i="2" s="1"/>
  <c r="G2507" i="2"/>
  <c r="H2507" i="2" s="1"/>
  <c r="I2507" i="2" s="1"/>
  <c r="G2508" i="2"/>
  <c r="H2508" i="2" s="1"/>
  <c r="I2508" i="2" s="1"/>
  <c r="G2509" i="2"/>
  <c r="G2510" i="2"/>
  <c r="H2510" i="2" s="1"/>
  <c r="I2510" i="2" s="1"/>
  <c r="G2511" i="2"/>
  <c r="H2511" i="2" s="1"/>
  <c r="I2511" i="2" s="1"/>
  <c r="G2512" i="2"/>
  <c r="H2512" i="2" s="1"/>
  <c r="I2512" i="2" s="1"/>
  <c r="G2513" i="2"/>
  <c r="H2513" i="2" s="1"/>
  <c r="I2513" i="2" s="1"/>
  <c r="G2514" i="2"/>
  <c r="H2514" i="2" s="1"/>
  <c r="I2514" i="2" s="1"/>
  <c r="G2515" i="2"/>
  <c r="H2515" i="2" s="1"/>
  <c r="I2515" i="2" s="1"/>
  <c r="G2516" i="2"/>
  <c r="H2516" i="2" s="1"/>
  <c r="I2516" i="2" s="1"/>
  <c r="G2517" i="2"/>
  <c r="H2517" i="2" s="1"/>
  <c r="I2517" i="2" s="1"/>
  <c r="G2518" i="2"/>
  <c r="H2518" i="2" s="1"/>
  <c r="I2518" i="2" s="1"/>
  <c r="G2519" i="2"/>
  <c r="H2519" i="2" s="1"/>
  <c r="I2519" i="2" s="1"/>
  <c r="G2520" i="2"/>
  <c r="H2520" i="2" s="1"/>
  <c r="I2520" i="2" s="1"/>
  <c r="G2521" i="2"/>
  <c r="G2522" i="2"/>
  <c r="H2522" i="2" s="1"/>
  <c r="I2522" i="2" s="1"/>
  <c r="G2523" i="2"/>
  <c r="H2523" i="2" s="1"/>
  <c r="I2523" i="2" s="1"/>
  <c r="G2524" i="2"/>
  <c r="H2524" i="2" s="1"/>
  <c r="I2524" i="2" s="1"/>
  <c r="G2525" i="2"/>
  <c r="H2525" i="2" s="1"/>
  <c r="I2525" i="2" s="1"/>
  <c r="G2526" i="2"/>
  <c r="G2527" i="2"/>
  <c r="H2527" i="2" s="1"/>
  <c r="I2527" i="2" s="1"/>
  <c r="G2528" i="2"/>
  <c r="H2528" i="2" s="1"/>
  <c r="I2528" i="2" s="1"/>
  <c r="G2529" i="2"/>
  <c r="H2529" i="2" s="1"/>
  <c r="I2529" i="2" s="1"/>
  <c r="G2530" i="2"/>
  <c r="H2530" i="2" s="1"/>
  <c r="I2530" i="2" s="1"/>
  <c r="G2531" i="2"/>
  <c r="H2531" i="2" s="1"/>
  <c r="I2531" i="2" s="1"/>
  <c r="G2532" i="2"/>
  <c r="H2532" i="2" s="1"/>
  <c r="I2532" i="2" s="1"/>
  <c r="G2533" i="2"/>
  <c r="G2534" i="2"/>
  <c r="H2534" i="2" s="1"/>
  <c r="I2534" i="2" s="1"/>
  <c r="G2535" i="2"/>
  <c r="G2536" i="2"/>
  <c r="G2537" i="2"/>
  <c r="H2537" i="2" s="1"/>
  <c r="I2537" i="2" s="1"/>
  <c r="G2538" i="2"/>
  <c r="H2538" i="2" s="1"/>
  <c r="I2538" i="2" s="1"/>
  <c r="G2539" i="2"/>
  <c r="H2539" i="2" s="1"/>
  <c r="I2539" i="2" s="1"/>
  <c r="G2540" i="2"/>
  <c r="H2540" i="2" s="1"/>
  <c r="I2540" i="2" s="1"/>
  <c r="G2541" i="2"/>
  <c r="H2541" i="2" s="1"/>
  <c r="I2541" i="2" s="1"/>
  <c r="G2542" i="2"/>
  <c r="H2542" i="2" s="1"/>
  <c r="I2542" i="2" s="1"/>
  <c r="G2543" i="2"/>
  <c r="H2543" i="2" s="1"/>
  <c r="I2543" i="2" s="1"/>
  <c r="G2544" i="2"/>
  <c r="H2544" i="2" s="1"/>
  <c r="I2544" i="2" s="1"/>
  <c r="G2545" i="2"/>
  <c r="G2546" i="2"/>
  <c r="G2547" i="2"/>
  <c r="H2547" i="2" s="1"/>
  <c r="I2547" i="2" s="1"/>
  <c r="G2548" i="2"/>
  <c r="H2548" i="2" s="1"/>
  <c r="I2548" i="2" s="1"/>
  <c r="G2549" i="2"/>
  <c r="H2549" i="2" s="1"/>
  <c r="I2549" i="2" s="1"/>
  <c r="G2550" i="2"/>
  <c r="H2550" i="2" s="1"/>
  <c r="I2550" i="2" s="1"/>
  <c r="G2551" i="2"/>
  <c r="H2551" i="2" s="1"/>
  <c r="I2551" i="2" s="1"/>
  <c r="G2552" i="2"/>
  <c r="H2552" i="2" s="1"/>
  <c r="I2552" i="2" s="1"/>
  <c r="G2553" i="2"/>
  <c r="H2553" i="2" s="1"/>
  <c r="I2553" i="2" s="1"/>
  <c r="G2554" i="2"/>
  <c r="H2554" i="2" s="1"/>
  <c r="I2554" i="2" s="1"/>
  <c r="G2555" i="2"/>
  <c r="H2555" i="2" s="1"/>
  <c r="I2555" i="2" s="1"/>
  <c r="G2556" i="2"/>
  <c r="H2556" i="2" s="1"/>
  <c r="I2556" i="2" s="1"/>
  <c r="G2557" i="2"/>
  <c r="G2558" i="2"/>
  <c r="G2559" i="2"/>
  <c r="G2560" i="2"/>
  <c r="G2561" i="2"/>
  <c r="H2561" i="2" s="1"/>
  <c r="I2561" i="2" s="1"/>
  <c r="G2562" i="2"/>
  <c r="H2562" i="2" s="1"/>
  <c r="I2562" i="2" s="1"/>
  <c r="G2563" i="2"/>
  <c r="H2563" i="2" s="1"/>
  <c r="I2563" i="2" s="1"/>
  <c r="G2564" i="2"/>
  <c r="H2564" i="2" s="1"/>
  <c r="I2564" i="2" s="1"/>
  <c r="G2565" i="2"/>
  <c r="H2565" i="2" s="1"/>
  <c r="I2565" i="2" s="1"/>
  <c r="G2566" i="2"/>
  <c r="G2567" i="2"/>
  <c r="H2567" i="2" s="1"/>
  <c r="I2567" i="2" s="1"/>
  <c r="G2568" i="2"/>
  <c r="H2568" i="2" s="1"/>
  <c r="I2568" i="2" s="1"/>
  <c r="G2569" i="2"/>
  <c r="H2569" i="2" s="1"/>
  <c r="I2569" i="2" s="1"/>
  <c r="G2570" i="2"/>
  <c r="H2570" i="2" s="1"/>
  <c r="I2570" i="2" s="1"/>
  <c r="G2571" i="2"/>
  <c r="H2571" i="2" s="1"/>
  <c r="I2571" i="2" s="1"/>
  <c r="G2572" i="2"/>
  <c r="H2572" i="2" s="1"/>
  <c r="I2572" i="2" s="1"/>
  <c r="G2573" i="2"/>
  <c r="H2573" i="2" s="1"/>
  <c r="I2573" i="2" s="1"/>
  <c r="G2574" i="2"/>
  <c r="H2574" i="2" s="1"/>
  <c r="I2574" i="2" s="1"/>
  <c r="G2575" i="2"/>
  <c r="H2575" i="2" s="1"/>
  <c r="I2575" i="2" s="1"/>
  <c r="G2576" i="2"/>
  <c r="H2576" i="2" s="1"/>
  <c r="I2576" i="2" s="1"/>
  <c r="G2577" i="2"/>
  <c r="H2577" i="2" s="1"/>
  <c r="I2577" i="2" s="1"/>
  <c r="G2578" i="2"/>
  <c r="H2578" i="2" s="1"/>
  <c r="I2578" i="2" s="1"/>
  <c r="G2579" i="2"/>
  <c r="H2579" i="2" s="1"/>
  <c r="I2579" i="2" s="1"/>
  <c r="G2580" i="2"/>
  <c r="H2580" i="2" s="1"/>
  <c r="I2580" i="2" s="1"/>
  <c r="G2581" i="2"/>
  <c r="H2581" i="2" s="1"/>
  <c r="I2581" i="2" s="1"/>
  <c r="G2582" i="2"/>
  <c r="G2583" i="2"/>
  <c r="G2584" i="2"/>
  <c r="H2584" i="2" s="1"/>
  <c r="I2584" i="2" s="1"/>
  <c r="G2585" i="2"/>
  <c r="H2585" i="2" s="1"/>
  <c r="I2585" i="2" s="1"/>
  <c r="G2586" i="2"/>
  <c r="H2586" i="2" s="1"/>
  <c r="I2586" i="2" s="1"/>
  <c r="G2587" i="2"/>
  <c r="H2587" i="2" s="1"/>
  <c r="I2587" i="2" s="1"/>
  <c r="G2588" i="2"/>
  <c r="H2588" i="2" s="1"/>
  <c r="I2588" i="2" s="1"/>
  <c r="G2589" i="2"/>
  <c r="H2589" i="2" s="1"/>
  <c r="I2589" i="2" s="1"/>
  <c r="G2590" i="2"/>
  <c r="H2590" i="2" s="1"/>
  <c r="I2590" i="2" s="1"/>
  <c r="G2591" i="2"/>
  <c r="H2591" i="2" s="1"/>
  <c r="I2591" i="2" s="1"/>
  <c r="G2592" i="2"/>
  <c r="H2592" i="2" s="1"/>
  <c r="I2592" i="2" s="1"/>
  <c r="G2593" i="2"/>
  <c r="H2593" i="2" s="1"/>
  <c r="I2593" i="2" s="1"/>
  <c r="G2594" i="2"/>
  <c r="G2595" i="2"/>
  <c r="G2596" i="2"/>
  <c r="G2597" i="2"/>
  <c r="G2598" i="2"/>
  <c r="H2598" i="2" s="1"/>
  <c r="I2598" i="2" s="1"/>
  <c r="G2599" i="2"/>
  <c r="H2599" i="2" s="1"/>
  <c r="I2599" i="2" s="1"/>
  <c r="G2600" i="2"/>
  <c r="H2600" i="2" s="1"/>
  <c r="I2600" i="2" s="1"/>
  <c r="G2601" i="2"/>
  <c r="H2601" i="2" s="1"/>
  <c r="I2601" i="2" s="1"/>
  <c r="G2602" i="2"/>
  <c r="H2602" i="2" s="1"/>
  <c r="I2602" i="2" s="1"/>
  <c r="G2603" i="2"/>
  <c r="H2603" i="2" s="1"/>
  <c r="I2603" i="2" s="1"/>
  <c r="G2604" i="2"/>
  <c r="H2604" i="2" s="1"/>
  <c r="I2604" i="2" s="1"/>
  <c r="G2605" i="2"/>
  <c r="G2606" i="2"/>
  <c r="H2606" i="2" s="1"/>
  <c r="I2606" i="2" s="1"/>
  <c r="G2607" i="2"/>
  <c r="H2607" i="2" s="1"/>
  <c r="I2607" i="2" s="1"/>
  <c r="G2608" i="2"/>
  <c r="H2608" i="2" s="1"/>
  <c r="I2608" i="2" s="1"/>
  <c r="G2609" i="2"/>
  <c r="H2609" i="2" s="1"/>
  <c r="I2609" i="2" s="1"/>
  <c r="G2610" i="2"/>
  <c r="H2610" i="2" s="1"/>
  <c r="I2610" i="2" s="1"/>
  <c r="G2611" i="2"/>
  <c r="H2611" i="2" s="1"/>
  <c r="I2611" i="2" s="1"/>
  <c r="G2612" i="2"/>
  <c r="H2612" i="2" s="1"/>
  <c r="I2612" i="2" s="1"/>
  <c r="G2613" i="2"/>
  <c r="H2613" i="2" s="1"/>
  <c r="I2613" i="2" s="1"/>
  <c r="G2614" i="2"/>
  <c r="H2614" i="2" s="1"/>
  <c r="I2614" i="2" s="1"/>
  <c r="G2615" i="2"/>
  <c r="H2615" i="2" s="1"/>
  <c r="I2615" i="2" s="1"/>
  <c r="G2616" i="2"/>
  <c r="H2616" i="2" s="1"/>
  <c r="I2616" i="2" s="1"/>
  <c r="G2617" i="2"/>
  <c r="G2618" i="2"/>
  <c r="H2618" i="2" s="1"/>
  <c r="I2618" i="2" s="1"/>
  <c r="G2619" i="2"/>
  <c r="H2619" i="2" s="1"/>
  <c r="I2619" i="2" s="1"/>
  <c r="G2620" i="2"/>
  <c r="H2620" i="2" s="1"/>
  <c r="I2620" i="2" s="1"/>
  <c r="G2621" i="2"/>
  <c r="H2621" i="2" s="1"/>
  <c r="I2621" i="2" s="1"/>
  <c r="G2622" i="2"/>
  <c r="G2623" i="2"/>
  <c r="H2623" i="2" s="1"/>
  <c r="I2623" i="2" s="1"/>
  <c r="G2624" i="2"/>
  <c r="H2624" i="2" s="1"/>
  <c r="I2624" i="2" s="1"/>
  <c r="G2625" i="2"/>
  <c r="H2625" i="2" s="1"/>
  <c r="I2625" i="2" s="1"/>
  <c r="G2626" i="2"/>
  <c r="H2626" i="2" s="1"/>
  <c r="I2626" i="2" s="1"/>
  <c r="G2627" i="2"/>
  <c r="H2627" i="2" s="1"/>
  <c r="I2627" i="2" s="1"/>
  <c r="G2628" i="2"/>
  <c r="H2628" i="2" s="1"/>
  <c r="I2628" i="2" s="1"/>
  <c r="G2629" i="2"/>
  <c r="G2630" i="2"/>
  <c r="H2630" i="2" s="1"/>
  <c r="I2630" i="2" s="1"/>
  <c r="G2631" i="2"/>
  <c r="G2632" i="2"/>
  <c r="G2633" i="2"/>
  <c r="H2633" i="2" s="1"/>
  <c r="I2633" i="2" s="1"/>
  <c r="G2634" i="2"/>
  <c r="H2634" i="2" s="1"/>
  <c r="I2634" i="2" s="1"/>
  <c r="G2635" i="2"/>
  <c r="H2635" i="2" s="1"/>
  <c r="I2635" i="2" s="1"/>
  <c r="G2636" i="2"/>
  <c r="H2636" i="2" s="1"/>
  <c r="I2636" i="2" s="1"/>
  <c r="G2637" i="2"/>
  <c r="H2637" i="2" s="1"/>
  <c r="I2637" i="2" s="1"/>
  <c r="G2638" i="2"/>
  <c r="H2638" i="2" s="1"/>
  <c r="I2638" i="2" s="1"/>
  <c r="G2639" i="2"/>
  <c r="H2639" i="2" s="1"/>
  <c r="I2639" i="2" s="1"/>
  <c r="G2640" i="2"/>
  <c r="H2640" i="2" s="1"/>
  <c r="I2640" i="2" s="1"/>
  <c r="G2641" i="2"/>
  <c r="G2642" i="2"/>
  <c r="G2643" i="2"/>
  <c r="H2643" i="2" s="1"/>
  <c r="I2643" i="2" s="1"/>
  <c r="G2644" i="2"/>
  <c r="H2644" i="2" s="1"/>
  <c r="I2644" i="2" s="1"/>
  <c r="G2645" i="2"/>
  <c r="H2645" i="2" s="1"/>
  <c r="I2645" i="2" s="1"/>
  <c r="G2646" i="2"/>
  <c r="H2646" i="2" s="1"/>
  <c r="I2646" i="2" s="1"/>
  <c r="G2647" i="2"/>
  <c r="H2647" i="2" s="1"/>
  <c r="I2647" i="2" s="1"/>
  <c r="G2648" i="2"/>
  <c r="H2648" i="2" s="1"/>
  <c r="I2648" i="2" s="1"/>
  <c r="G2649" i="2"/>
  <c r="H2649" i="2" s="1"/>
  <c r="I2649" i="2" s="1"/>
  <c r="G2650" i="2"/>
  <c r="H2650" i="2" s="1"/>
  <c r="I2650" i="2" s="1"/>
  <c r="G2651" i="2"/>
  <c r="H2651" i="2" s="1"/>
  <c r="I2651" i="2" s="1"/>
  <c r="G2652" i="2"/>
  <c r="H2652" i="2" s="1"/>
  <c r="I2652" i="2" s="1"/>
  <c r="G2653" i="2"/>
  <c r="G2654" i="2"/>
  <c r="G2655" i="2"/>
  <c r="G2656" i="2"/>
  <c r="G2657" i="2"/>
  <c r="H2657" i="2" s="1"/>
  <c r="I2657" i="2" s="1"/>
  <c r="G2658" i="2"/>
  <c r="H2658" i="2" s="1"/>
  <c r="I2658" i="2" s="1"/>
  <c r="G2659" i="2"/>
  <c r="H2659" i="2" s="1"/>
  <c r="I2659" i="2" s="1"/>
  <c r="G2660" i="2"/>
  <c r="H2660" i="2" s="1"/>
  <c r="I2660" i="2" s="1"/>
  <c r="G2661" i="2"/>
  <c r="H2661" i="2" s="1"/>
  <c r="I2661" i="2" s="1"/>
  <c r="G2662" i="2"/>
  <c r="G2663" i="2"/>
  <c r="H2663" i="2" s="1"/>
  <c r="I2663" i="2" s="1"/>
  <c r="G2664" i="2"/>
  <c r="H2664" i="2" s="1"/>
  <c r="I2664" i="2" s="1"/>
  <c r="G2665" i="2"/>
  <c r="H2665" i="2" s="1"/>
  <c r="I2665" i="2" s="1"/>
  <c r="G2666" i="2"/>
  <c r="H2666" i="2" s="1"/>
  <c r="I2666" i="2" s="1"/>
  <c r="G2667" i="2"/>
  <c r="H2667" i="2" s="1"/>
  <c r="I2667" i="2" s="1"/>
  <c r="G2668" i="2"/>
  <c r="H2668" i="2" s="1"/>
  <c r="I2668" i="2" s="1"/>
  <c r="G2669" i="2"/>
  <c r="H2669" i="2" s="1"/>
  <c r="I2669" i="2" s="1"/>
  <c r="G2670" i="2"/>
  <c r="H2670" i="2" s="1"/>
  <c r="I2670" i="2" s="1"/>
  <c r="G2671" i="2"/>
  <c r="H2671" i="2" s="1"/>
  <c r="I2671" i="2" s="1"/>
  <c r="G2672" i="2"/>
  <c r="H2672" i="2" s="1"/>
  <c r="I2672" i="2" s="1"/>
  <c r="G2673" i="2"/>
  <c r="H2673" i="2" s="1"/>
  <c r="I2673" i="2" s="1"/>
  <c r="G2674" i="2"/>
  <c r="H2674" i="2" s="1"/>
  <c r="I2674" i="2" s="1"/>
  <c r="G2675" i="2"/>
  <c r="H2675" i="2" s="1"/>
  <c r="I2675" i="2" s="1"/>
  <c r="G2676" i="2"/>
  <c r="H2676" i="2" s="1"/>
  <c r="I2676" i="2" s="1"/>
  <c r="G2677" i="2"/>
  <c r="H2677" i="2" s="1"/>
  <c r="I2677" i="2" s="1"/>
  <c r="G2678" i="2"/>
  <c r="G2679" i="2"/>
  <c r="G2680" i="2"/>
  <c r="H2680" i="2" s="1"/>
  <c r="I2680" i="2" s="1"/>
  <c r="G2681" i="2"/>
  <c r="H2681" i="2" s="1"/>
  <c r="I2681" i="2" s="1"/>
  <c r="G2682" i="2"/>
  <c r="H2682" i="2" s="1"/>
  <c r="I2682" i="2" s="1"/>
  <c r="G2683" i="2"/>
  <c r="H2683" i="2" s="1"/>
  <c r="I2683" i="2" s="1"/>
  <c r="G2684" i="2"/>
  <c r="H2684" i="2" s="1"/>
  <c r="I2684" i="2" s="1"/>
  <c r="G2685" i="2"/>
  <c r="H2685" i="2" s="1"/>
  <c r="I2685" i="2" s="1"/>
  <c r="G2686" i="2"/>
  <c r="H2686" i="2" s="1"/>
  <c r="I2686" i="2" s="1"/>
  <c r="G2687" i="2"/>
  <c r="H2687" i="2" s="1"/>
  <c r="I2687" i="2" s="1"/>
  <c r="G2688" i="2"/>
  <c r="H2688" i="2" s="1"/>
  <c r="I2688" i="2" s="1"/>
  <c r="G2689" i="2"/>
  <c r="H2689" i="2" s="1"/>
  <c r="I2689" i="2" s="1"/>
  <c r="G2690" i="2"/>
  <c r="G2691" i="2"/>
  <c r="G2692" i="2"/>
  <c r="G2693" i="2"/>
  <c r="G2694" i="2"/>
  <c r="H2694" i="2" s="1"/>
  <c r="I2694" i="2" s="1"/>
  <c r="G2695" i="2"/>
  <c r="H2695" i="2" s="1"/>
  <c r="I2695" i="2" s="1"/>
  <c r="G2696" i="2"/>
  <c r="H2696" i="2" s="1"/>
  <c r="I2696" i="2" s="1"/>
  <c r="G2697" i="2"/>
  <c r="H2697" i="2" s="1"/>
  <c r="I2697" i="2" s="1"/>
  <c r="G2698" i="2"/>
  <c r="H2698" i="2" s="1"/>
  <c r="I2698" i="2" s="1"/>
  <c r="G2699" i="2"/>
  <c r="H2699" i="2" s="1"/>
  <c r="I2699" i="2" s="1"/>
  <c r="G2700" i="2"/>
  <c r="H2700" i="2" s="1"/>
  <c r="I2700" i="2" s="1"/>
  <c r="G2701" i="2"/>
  <c r="G2702" i="2"/>
  <c r="H2702" i="2" s="1"/>
  <c r="I2702" i="2" s="1"/>
  <c r="G2703" i="2"/>
  <c r="H2703" i="2" s="1"/>
  <c r="I2703" i="2" s="1"/>
  <c r="G2704" i="2"/>
  <c r="H2704" i="2" s="1"/>
  <c r="I2704" i="2" s="1"/>
  <c r="G2705" i="2"/>
  <c r="H2705" i="2" s="1"/>
  <c r="I2705" i="2" s="1"/>
  <c r="G2706" i="2"/>
  <c r="H2706" i="2" s="1"/>
  <c r="I2706" i="2" s="1"/>
  <c r="G2707" i="2"/>
  <c r="H2707" i="2" s="1"/>
  <c r="I2707" i="2" s="1"/>
  <c r="G2708" i="2"/>
  <c r="H2708" i="2" s="1"/>
  <c r="I2708" i="2" s="1"/>
  <c r="G2709" i="2"/>
  <c r="H2709" i="2" s="1"/>
  <c r="I2709" i="2" s="1"/>
  <c r="G2710" i="2"/>
  <c r="H2710" i="2" s="1"/>
  <c r="I2710" i="2" s="1"/>
  <c r="G2711" i="2"/>
  <c r="H2711" i="2" s="1"/>
  <c r="I2711" i="2" s="1"/>
  <c r="G2712" i="2"/>
  <c r="H2712" i="2" s="1"/>
  <c r="I2712" i="2" s="1"/>
  <c r="G2713" i="2"/>
  <c r="G2714" i="2"/>
  <c r="H2714" i="2" s="1"/>
  <c r="I2714" i="2" s="1"/>
  <c r="G2715" i="2"/>
  <c r="H2715" i="2" s="1"/>
  <c r="I2715" i="2" s="1"/>
  <c r="G2716" i="2"/>
  <c r="G2717" i="2"/>
  <c r="G2718" i="2"/>
  <c r="H2718" i="2" s="1"/>
  <c r="I2718" i="2" s="1"/>
  <c r="G2719" i="2"/>
  <c r="H2719" i="2" s="1"/>
  <c r="I2719" i="2" s="1"/>
  <c r="G2720" i="2"/>
  <c r="H2720" i="2" s="1"/>
  <c r="I2720" i="2" s="1"/>
  <c r="G2721" i="2"/>
  <c r="H2721" i="2" s="1"/>
  <c r="I2721" i="2" s="1"/>
  <c r="G2722" i="2"/>
  <c r="H2722" i="2" s="1"/>
  <c r="I2722" i="2" s="1"/>
  <c r="G2723" i="2"/>
  <c r="H2723" i="2" s="1"/>
  <c r="I2723" i="2" s="1"/>
  <c r="G2724" i="2"/>
  <c r="H2724" i="2" s="1"/>
  <c r="I2724" i="2" s="1"/>
  <c r="G2725" i="2"/>
  <c r="H2725" i="2" s="1"/>
  <c r="I2725" i="2" s="1"/>
  <c r="G2726" i="2"/>
  <c r="G2727" i="2"/>
  <c r="G2728" i="2"/>
  <c r="G2729" i="2"/>
  <c r="G2730" i="2"/>
  <c r="H2730" i="2" s="1"/>
  <c r="I2730" i="2" s="1"/>
  <c r="G2731" i="2"/>
  <c r="H2731" i="2" s="1"/>
  <c r="I2731" i="2" s="1"/>
  <c r="G2732" i="2"/>
  <c r="H2732" i="2" s="1"/>
  <c r="I2732" i="2" s="1"/>
  <c r="G2733" i="2"/>
  <c r="H2733" i="2" s="1"/>
  <c r="I2733" i="2" s="1"/>
  <c r="G2734" i="2"/>
  <c r="H2734" i="2" s="1"/>
  <c r="I2734" i="2" s="1"/>
  <c r="G2735" i="2"/>
  <c r="H2735" i="2" s="1"/>
  <c r="I2735" i="2" s="1"/>
  <c r="G2736" i="2"/>
  <c r="H2736" i="2" s="1"/>
  <c r="I2736" i="2" s="1"/>
  <c r="G2737" i="2"/>
  <c r="H2737" i="2" s="1"/>
  <c r="I2737" i="2" s="1"/>
  <c r="G2738" i="2"/>
  <c r="H2738" i="2" s="1"/>
  <c r="I2738" i="2" s="1"/>
  <c r="G2739" i="2"/>
  <c r="H2739" i="2" s="1"/>
  <c r="I2739" i="2" s="1"/>
  <c r="G2740" i="2"/>
  <c r="H2740" i="2" s="1"/>
  <c r="I2740" i="2" s="1"/>
  <c r="G2741" i="2"/>
  <c r="H2741" i="2" s="1"/>
  <c r="I2741" i="2" s="1"/>
  <c r="G2742" i="2"/>
  <c r="H2742" i="2" s="1"/>
  <c r="I2742" i="2" s="1"/>
  <c r="G2743" i="2"/>
  <c r="H2743" i="2" s="1"/>
  <c r="I2743" i="2" s="1"/>
  <c r="G2744" i="2"/>
  <c r="H2744" i="2" s="1"/>
  <c r="I2744" i="2" s="1"/>
  <c r="G2745" i="2"/>
  <c r="H2745" i="2" s="1"/>
  <c r="I2745" i="2" s="1"/>
  <c r="G2746" i="2"/>
  <c r="H2746" i="2" s="1"/>
  <c r="I2746" i="2" s="1"/>
  <c r="G2747" i="2"/>
  <c r="H2747" i="2" s="1"/>
  <c r="I2747" i="2" s="1"/>
  <c r="G2748" i="2"/>
  <c r="H2748" i="2" s="1"/>
  <c r="I2748" i="2" s="1"/>
  <c r="G2749" i="2"/>
  <c r="G2750" i="2"/>
  <c r="H2750" i="2" s="1"/>
  <c r="I2750" i="2" s="1"/>
  <c r="G2751" i="2"/>
  <c r="G2752" i="2"/>
  <c r="G2753" i="2"/>
  <c r="H2753" i="2" s="1"/>
  <c r="I2753" i="2" s="1"/>
  <c r="G2754" i="2"/>
  <c r="H2754" i="2" s="1"/>
  <c r="I2754" i="2" s="1"/>
  <c r="G2755" i="2"/>
  <c r="H2755" i="2" s="1"/>
  <c r="I2755" i="2" s="1"/>
  <c r="G2756" i="2"/>
  <c r="H2756" i="2" s="1"/>
  <c r="I2756" i="2" s="1"/>
  <c r="G2757" i="2"/>
  <c r="H2757" i="2" s="1"/>
  <c r="I2757" i="2" s="1"/>
  <c r="G2758" i="2"/>
  <c r="H2758" i="2" s="1"/>
  <c r="I2758" i="2" s="1"/>
  <c r="G2759" i="2"/>
  <c r="H2759" i="2" s="1"/>
  <c r="I2759" i="2" s="1"/>
  <c r="G2760" i="2"/>
  <c r="H2760" i="2" s="1"/>
  <c r="I2760" i="2" s="1"/>
  <c r="G2761" i="2"/>
  <c r="G2762" i="2"/>
  <c r="G2763" i="2"/>
  <c r="H2763" i="2" s="1"/>
  <c r="G2764" i="2"/>
  <c r="G2765" i="2"/>
  <c r="G2766" i="2"/>
  <c r="H2766" i="2" s="1"/>
  <c r="I2766" i="2" s="1"/>
  <c r="G2767" i="2"/>
  <c r="H2767" i="2" s="1"/>
  <c r="I2767" i="2" s="1"/>
  <c r="G2768" i="2"/>
  <c r="H2768" i="2" s="1"/>
  <c r="I2768" i="2" s="1"/>
  <c r="G2769" i="2"/>
  <c r="H2769" i="2" s="1"/>
  <c r="I2769" i="2" s="1"/>
  <c r="G2770" i="2"/>
  <c r="H2770" i="2" s="1"/>
  <c r="I2770" i="2" s="1"/>
  <c r="G2771" i="2"/>
  <c r="G2772" i="2"/>
  <c r="H2772" i="2" s="1"/>
  <c r="I2772" i="2" s="1"/>
  <c r="G2773" i="2"/>
  <c r="H2773" i="2" s="1"/>
  <c r="I2773" i="2" s="1"/>
  <c r="G2774" i="2"/>
  <c r="H2774" i="2" s="1"/>
  <c r="I2774" i="2" s="1"/>
  <c r="G2775" i="2"/>
  <c r="G2776" i="2"/>
  <c r="H2776" i="2" s="1"/>
  <c r="I2776" i="2" s="1"/>
  <c r="G2777" i="2"/>
  <c r="G2778" i="2"/>
  <c r="H2778" i="2" s="1"/>
  <c r="I2778" i="2" s="1"/>
  <c r="G2779" i="2"/>
  <c r="H2779" i="2" s="1"/>
  <c r="I2779" i="2" s="1"/>
  <c r="G2780" i="2"/>
  <c r="H2780" i="2" s="1"/>
  <c r="I2780" i="2" s="1"/>
  <c r="G2781" i="2"/>
  <c r="H2781" i="2" s="1"/>
  <c r="I2781" i="2" s="1"/>
  <c r="G2782" i="2"/>
  <c r="H2782" i="2" s="1"/>
  <c r="I2782" i="2" s="1"/>
  <c r="G2783" i="2"/>
  <c r="H2783" i="2" s="1"/>
  <c r="I2783" i="2" s="1"/>
  <c r="G2784" i="2"/>
  <c r="H2784" i="2" s="1"/>
  <c r="I2784" i="2" s="1"/>
  <c r="G2785" i="2"/>
  <c r="H2785" i="2" s="1"/>
  <c r="I2785" i="2" s="1"/>
  <c r="G2786" i="2"/>
  <c r="G2787" i="2"/>
  <c r="G2788" i="2"/>
  <c r="H2788" i="2" s="1"/>
  <c r="I2788" i="2" s="1"/>
  <c r="G2789" i="2"/>
  <c r="H2789" i="2" s="1"/>
  <c r="I2789" i="2" s="1"/>
  <c r="G2790" i="2"/>
  <c r="H2790" i="2" s="1"/>
  <c r="I2790" i="2" s="1"/>
  <c r="G2791" i="2"/>
  <c r="H2791" i="2" s="1"/>
  <c r="I2791" i="2" s="1"/>
  <c r="G2792" i="2"/>
  <c r="H2792" i="2" s="1"/>
  <c r="I2792" i="2" s="1"/>
  <c r="G2793" i="2"/>
  <c r="H2793" i="2" s="1"/>
  <c r="I2793" i="2" s="1"/>
  <c r="G2794" i="2"/>
  <c r="H2794" i="2" s="1"/>
  <c r="I2794" i="2" s="1"/>
  <c r="G2795" i="2"/>
  <c r="H2795" i="2" s="1"/>
  <c r="I2795" i="2" s="1"/>
  <c r="G2796" i="2"/>
  <c r="H2796" i="2" s="1"/>
  <c r="I2796" i="2" s="1"/>
  <c r="G2797" i="2"/>
  <c r="G2798" i="2"/>
  <c r="G2799" i="2"/>
  <c r="G2800" i="2"/>
  <c r="G2801" i="2"/>
  <c r="H2801" i="2" s="1"/>
  <c r="I2801" i="2" s="1"/>
  <c r="G2802" i="2"/>
  <c r="H2802" i="2" s="1"/>
  <c r="I2802" i="2" s="1"/>
  <c r="G2803" i="2"/>
  <c r="H2803" i="2" s="1"/>
  <c r="I2803" i="2" s="1"/>
  <c r="G2804" i="2"/>
  <c r="H2804" i="2" s="1"/>
  <c r="I2804" i="2" s="1"/>
  <c r="G2805" i="2"/>
  <c r="H2805" i="2" s="1"/>
  <c r="I2805" i="2" s="1"/>
  <c r="G2806" i="2"/>
  <c r="G2807" i="2"/>
  <c r="H2807" i="2" s="1"/>
  <c r="I2807" i="2" s="1"/>
  <c r="G2808" i="2"/>
  <c r="H2808" i="2" s="1"/>
  <c r="I2808" i="2" s="1"/>
  <c r="G2809" i="2"/>
  <c r="H2809" i="2" s="1"/>
  <c r="I2809" i="2" s="1"/>
  <c r="G2810" i="2"/>
  <c r="G2811" i="2"/>
  <c r="H2811" i="2" s="1"/>
  <c r="I2811" i="2" s="1"/>
  <c r="G2812" i="2"/>
  <c r="H2812" i="2" s="1"/>
  <c r="I2812" i="2" s="1"/>
  <c r="G2813" i="2"/>
  <c r="G2814" i="2"/>
  <c r="G2815" i="2"/>
  <c r="H2815" i="2" s="1"/>
  <c r="I2815" i="2" s="1"/>
  <c r="G2816" i="2"/>
  <c r="H2816" i="2" s="1"/>
  <c r="I2816" i="2" s="1"/>
  <c r="G2817" i="2"/>
  <c r="H2817" i="2" s="1"/>
  <c r="I2817" i="2" s="1"/>
  <c r="G2818" i="2"/>
  <c r="H2818" i="2" s="1"/>
  <c r="I2818" i="2" s="1"/>
  <c r="G2819" i="2"/>
  <c r="H2819" i="2" s="1"/>
  <c r="I2819" i="2" s="1"/>
  <c r="G2820" i="2"/>
  <c r="H2820" i="2" s="1"/>
  <c r="I2820" i="2" s="1"/>
  <c r="G2821" i="2"/>
  <c r="G2822" i="2"/>
  <c r="G2823" i="2"/>
  <c r="H2823" i="2" s="1"/>
  <c r="I2823" i="2" s="1"/>
  <c r="G2824" i="2"/>
  <c r="H2824" i="2" s="1"/>
  <c r="I2824" i="2" s="1"/>
  <c r="G2825" i="2"/>
  <c r="H2825" i="2" s="1"/>
  <c r="I2825" i="2" s="1"/>
  <c r="G2826" i="2"/>
  <c r="H2826" i="2" s="1"/>
  <c r="I2826" i="2" s="1"/>
  <c r="G2827" i="2"/>
  <c r="H2827" i="2" s="1"/>
  <c r="I2827" i="2" s="1"/>
  <c r="G2828" i="2"/>
  <c r="H2828" i="2" s="1"/>
  <c r="I2828" i="2" s="1"/>
  <c r="G2829" i="2"/>
  <c r="H2829" i="2" s="1"/>
  <c r="I2829" i="2" s="1"/>
  <c r="G2830" i="2"/>
  <c r="H2830" i="2" s="1"/>
  <c r="I2830" i="2" s="1"/>
  <c r="G2831" i="2"/>
  <c r="H2831" i="2" s="1"/>
  <c r="I2831" i="2" s="1"/>
  <c r="G2832" i="2"/>
  <c r="H2832" i="2" s="1"/>
  <c r="I2832" i="2" s="1"/>
  <c r="G2833" i="2"/>
  <c r="G2834" i="2"/>
  <c r="G2835" i="2"/>
  <c r="G2836" i="2"/>
  <c r="H2836" i="2" s="1"/>
  <c r="I2836" i="2" s="1"/>
  <c r="G2837" i="2"/>
  <c r="G2838" i="2"/>
  <c r="G2839" i="2"/>
  <c r="H2839" i="2" s="1"/>
  <c r="I2839" i="2" s="1"/>
  <c r="G2840" i="2"/>
  <c r="H2840" i="2" s="1"/>
  <c r="I2840" i="2" s="1"/>
  <c r="G2841" i="2"/>
  <c r="H2841" i="2" s="1"/>
  <c r="I2841" i="2" s="1"/>
  <c r="G2842" i="2"/>
  <c r="H2842" i="2" s="1"/>
  <c r="I2842" i="2" s="1"/>
  <c r="G2843" i="2"/>
  <c r="H2843" i="2" s="1"/>
  <c r="I2843" i="2" s="1"/>
  <c r="G2844" i="2"/>
  <c r="H2844" i="2" s="1"/>
  <c r="I2844" i="2" s="1"/>
  <c r="G2845" i="2"/>
  <c r="H2845" i="2" s="1"/>
  <c r="I2845" i="2" s="1"/>
  <c r="G2846" i="2"/>
  <c r="G2847" i="2"/>
  <c r="H2847" i="2" s="1"/>
  <c r="I2847" i="2" s="1"/>
  <c r="G2848" i="2"/>
  <c r="G2849" i="2"/>
  <c r="G2850" i="2"/>
  <c r="G2851" i="2"/>
  <c r="H2851" i="2" s="1"/>
  <c r="I2851" i="2" s="1"/>
  <c r="G2852" i="2"/>
  <c r="H2852" i="2" s="1"/>
  <c r="I2852" i="2" s="1"/>
  <c r="G2853" i="2"/>
  <c r="H2853" i="2" s="1"/>
  <c r="I2853" i="2" s="1"/>
  <c r="G2854" i="2"/>
  <c r="H2854" i="2" s="1"/>
  <c r="I2854" i="2" s="1"/>
  <c r="G2855" i="2"/>
  <c r="H2855" i="2" s="1"/>
  <c r="I2855" i="2" s="1"/>
  <c r="G2856" i="2"/>
  <c r="H2856" i="2" s="1"/>
  <c r="I2856" i="2" s="1"/>
  <c r="G2857" i="2"/>
  <c r="G2858" i="2"/>
  <c r="H2858" i="2" s="1"/>
  <c r="I2858" i="2" s="1"/>
  <c r="G2859" i="2"/>
  <c r="H2859" i="2" s="1"/>
  <c r="I2859" i="2" s="1"/>
  <c r="G2860" i="2"/>
  <c r="H2860" i="2" s="1"/>
  <c r="I2860" i="2" s="1"/>
  <c r="G2861" i="2"/>
  <c r="H2861" i="2" s="1"/>
  <c r="I2861" i="2" s="1"/>
  <c r="G2862" i="2"/>
  <c r="H2862" i="2" s="1"/>
  <c r="I2862" i="2" s="1"/>
  <c r="G2863" i="2"/>
  <c r="H2863" i="2" s="1"/>
  <c r="I2863" i="2" s="1"/>
  <c r="G2864" i="2"/>
  <c r="H2864" i="2" s="1"/>
  <c r="I2864" i="2" s="1"/>
  <c r="G2865" i="2"/>
  <c r="H2865" i="2" s="1"/>
  <c r="I2865" i="2" s="1"/>
  <c r="G2866" i="2"/>
  <c r="H2866" i="2" s="1"/>
  <c r="I2866" i="2" s="1"/>
  <c r="G2867" i="2"/>
  <c r="H2867" i="2" s="1"/>
  <c r="I2867" i="2" s="1"/>
  <c r="G2868" i="2"/>
  <c r="H2868" i="2" s="1"/>
  <c r="I2868" i="2" s="1"/>
  <c r="G2869" i="2"/>
  <c r="G2870" i="2"/>
  <c r="G2871" i="2"/>
  <c r="H2871" i="2" s="1"/>
  <c r="I2871" i="2" s="1"/>
  <c r="G2872" i="2"/>
  <c r="G2873" i="2"/>
  <c r="G2874" i="2"/>
  <c r="H2874" i="2" s="1"/>
  <c r="I2874" i="2" s="1"/>
  <c r="G2875" i="2"/>
  <c r="H2875" i="2" s="1"/>
  <c r="I2875" i="2" s="1"/>
  <c r="G2876" i="2"/>
  <c r="H2876" i="2" s="1"/>
  <c r="I2876" i="2" s="1"/>
  <c r="G2877" i="2"/>
  <c r="H2877" i="2" s="1"/>
  <c r="I2877" i="2" s="1"/>
  <c r="G2878" i="2"/>
  <c r="H2878" i="2" s="1"/>
  <c r="I2878" i="2" s="1"/>
  <c r="G2879" i="2"/>
  <c r="H2879" i="2" s="1"/>
  <c r="I2879" i="2" s="1"/>
  <c r="G2880" i="2"/>
  <c r="H2880" i="2" s="1"/>
  <c r="I2880" i="2" s="1"/>
  <c r="G2881" i="2"/>
  <c r="G2882" i="2"/>
  <c r="H2882" i="2" s="1"/>
  <c r="I2882" i="2" s="1"/>
  <c r="G2883" i="2"/>
  <c r="G2884" i="2"/>
  <c r="G2885" i="2"/>
  <c r="G2886" i="2"/>
  <c r="G2887" i="2"/>
  <c r="H2887" i="2" s="1"/>
  <c r="I2887" i="2" s="1"/>
  <c r="G2888" i="2"/>
  <c r="H2888" i="2" s="1"/>
  <c r="I2888" i="2" s="1"/>
  <c r="G2889" i="2"/>
  <c r="H2889" i="2" s="1"/>
  <c r="I2889" i="2" s="1"/>
  <c r="G2890" i="2"/>
  <c r="H2890" i="2" s="1"/>
  <c r="I2890" i="2" s="1"/>
  <c r="G2891" i="2"/>
  <c r="H2891" i="2" s="1"/>
  <c r="I2891" i="2" s="1"/>
  <c r="G2892" i="2"/>
  <c r="H2892" i="2" s="1"/>
  <c r="I2892" i="2" s="1"/>
  <c r="G2893" i="2"/>
  <c r="G2894" i="2"/>
  <c r="H2894" i="2" s="1"/>
  <c r="I2894" i="2" s="1"/>
  <c r="G2895" i="2"/>
  <c r="H2895" i="2" s="1"/>
  <c r="I2895" i="2" s="1"/>
  <c r="G2896" i="2"/>
  <c r="H2896" i="2" s="1"/>
  <c r="I2896" i="2" s="1"/>
  <c r="G2897" i="2"/>
  <c r="H2897" i="2" s="1"/>
  <c r="I2897" i="2" s="1"/>
  <c r="G2898" i="2"/>
  <c r="H2898" i="2" s="1"/>
  <c r="I2898" i="2" s="1"/>
  <c r="G2899" i="2"/>
  <c r="H2899" i="2" s="1"/>
  <c r="I2899" i="2" s="1"/>
  <c r="G2900" i="2"/>
  <c r="H2900" i="2" s="1"/>
  <c r="I2900" i="2" s="1"/>
  <c r="G2901" i="2"/>
  <c r="H2901" i="2" s="1"/>
  <c r="I2901" i="2" s="1"/>
  <c r="G2902" i="2"/>
  <c r="H2902" i="2" s="1"/>
  <c r="I2902" i="2" s="1"/>
  <c r="G2903" i="2"/>
  <c r="H2903" i="2" s="1"/>
  <c r="I2903" i="2" s="1"/>
  <c r="G2904" i="2"/>
  <c r="H2904" i="2" s="1"/>
  <c r="I2904" i="2" s="1"/>
  <c r="G2905" i="2"/>
  <c r="G2906" i="2"/>
  <c r="H2906" i="2" s="1"/>
  <c r="I2906" i="2" s="1"/>
  <c r="G2907" i="2"/>
  <c r="H2907" i="2" s="1"/>
  <c r="I2907" i="2" s="1"/>
  <c r="G2908" i="2"/>
  <c r="G2909" i="2"/>
  <c r="G2910" i="2"/>
  <c r="H2910" i="2" s="1"/>
  <c r="I2910" i="2" s="1"/>
  <c r="G2911" i="2"/>
  <c r="H2911" i="2" s="1"/>
  <c r="I2911" i="2" s="1"/>
  <c r="G2912" i="2"/>
  <c r="H2912" i="2" s="1"/>
  <c r="I2912" i="2" s="1"/>
  <c r="G2913" i="2"/>
  <c r="H2913" i="2" s="1"/>
  <c r="I2913" i="2" s="1"/>
  <c r="G2914" i="2"/>
  <c r="H2914" i="2" s="1"/>
  <c r="I2914" i="2" s="1"/>
  <c r="G2915" i="2"/>
  <c r="H2915" i="2" s="1"/>
  <c r="I2915" i="2" s="1"/>
  <c r="G2916" i="2"/>
  <c r="H2916" i="2" s="1"/>
  <c r="I2916" i="2" s="1"/>
  <c r="G2917" i="2"/>
  <c r="H2917" i="2" s="1"/>
  <c r="I2917" i="2" s="1"/>
  <c r="G2918" i="2"/>
  <c r="G2919" i="2"/>
  <c r="G2920" i="2"/>
  <c r="G2921" i="2"/>
  <c r="G2922" i="2"/>
  <c r="H2922" i="2" s="1"/>
  <c r="I2922" i="2" s="1"/>
  <c r="G2923" i="2"/>
  <c r="H2923" i="2" s="1"/>
  <c r="I2923" i="2" s="1"/>
  <c r="G2924" i="2"/>
  <c r="H2924" i="2" s="1"/>
  <c r="I2924" i="2" s="1"/>
  <c r="G2925" i="2"/>
  <c r="H2925" i="2" s="1"/>
  <c r="I2925" i="2" s="1"/>
  <c r="G2926" i="2"/>
  <c r="H2926" i="2" s="1"/>
  <c r="I2926" i="2" s="1"/>
  <c r="G2927" i="2"/>
  <c r="H2927" i="2" s="1"/>
  <c r="I2927" i="2" s="1"/>
  <c r="G2928" i="2"/>
  <c r="H2928" i="2" s="1"/>
  <c r="I2928" i="2" s="1"/>
  <c r="G2929" i="2"/>
  <c r="H2929" i="2" s="1"/>
  <c r="I2929" i="2" s="1"/>
  <c r="G2930" i="2"/>
  <c r="H2930" i="2" s="1"/>
  <c r="I2930" i="2" s="1"/>
  <c r="G2931" i="2"/>
  <c r="H2931" i="2" s="1"/>
  <c r="I2931" i="2" s="1"/>
  <c r="G2932" i="2"/>
  <c r="H2932" i="2" s="1"/>
  <c r="I2932" i="2" s="1"/>
  <c r="G2933" i="2"/>
  <c r="H2933" i="2" s="1"/>
  <c r="I2933" i="2" s="1"/>
  <c r="G2934" i="2"/>
  <c r="H2934" i="2" s="1"/>
  <c r="I2934" i="2" s="1"/>
  <c r="G2935" i="2"/>
  <c r="H2935" i="2" s="1"/>
  <c r="I2935" i="2" s="1"/>
  <c r="G2936" i="2"/>
  <c r="H2936" i="2" s="1"/>
  <c r="I2936" i="2" s="1"/>
  <c r="G2937" i="2"/>
  <c r="H2937" i="2" s="1"/>
  <c r="I2937" i="2" s="1"/>
  <c r="G2938" i="2"/>
  <c r="H2938" i="2" s="1"/>
  <c r="I2938" i="2" s="1"/>
  <c r="G2939" i="2"/>
  <c r="H2939" i="2" s="1"/>
  <c r="I2939" i="2" s="1"/>
  <c r="G2940" i="2"/>
  <c r="H2940" i="2" s="1"/>
  <c r="I2940" i="2" s="1"/>
  <c r="G2941" i="2"/>
  <c r="G2942" i="2"/>
  <c r="H2942" i="2" s="1"/>
  <c r="I2942" i="2" s="1"/>
  <c r="G2943" i="2"/>
  <c r="G2944" i="2"/>
  <c r="G2945" i="2"/>
  <c r="H2945" i="2" s="1"/>
  <c r="I2945" i="2" s="1"/>
  <c r="G2946" i="2"/>
  <c r="H2946" i="2" s="1"/>
  <c r="I2946" i="2" s="1"/>
  <c r="G2947" i="2"/>
  <c r="H2947" i="2" s="1"/>
  <c r="I2947" i="2" s="1"/>
  <c r="G2948" i="2"/>
  <c r="H2948" i="2" s="1"/>
  <c r="I2948" i="2" s="1"/>
  <c r="G2949" i="2"/>
  <c r="H2949" i="2" s="1"/>
  <c r="I2949" i="2" s="1"/>
  <c r="G2950" i="2"/>
  <c r="H2950" i="2" s="1"/>
  <c r="I2950" i="2" s="1"/>
  <c r="G2951" i="2"/>
  <c r="H2951" i="2" s="1"/>
  <c r="I2951" i="2" s="1"/>
  <c r="G2952" i="2"/>
  <c r="H2952" i="2" s="1"/>
  <c r="I2952" i="2" s="1"/>
  <c r="G2953" i="2"/>
  <c r="G2954" i="2"/>
  <c r="G2955" i="2"/>
  <c r="H2955" i="2" s="1"/>
  <c r="I2955" i="2" s="1"/>
  <c r="G2956" i="2"/>
  <c r="G2957" i="2"/>
  <c r="G2958" i="2"/>
  <c r="H2958" i="2" s="1"/>
  <c r="I2958" i="2" s="1"/>
  <c r="G2959" i="2"/>
  <c r="H2959" i="2" s="1"/>
  <c r="I2959" i="2" s="1"/>
  <c r="G2960" i="2"/>
  <c r="H2960" i="2" s="1"/>
  <c r="I2960" i="2" s="1"/>
  <c r="G2961" i="2"/>
  <c r="H2961" i="2" s="1"/>
  <c r="I2961" i="2" s="1"/>
  <c r="G2962" i="2"/>
  <c r="H2962" i="2" s="1"/>
  <c r="I2962" i="2" s="1"/>
  <c r="G2963" i="2"/>
  <c r="G2964" i="2"/>
  <c r="H2964" i="2" s="1"/>
  <c r="I2964" i="2" s="1"/>
  <c r="G2965" i="2"/>
  <c r="H2965" i="2" s="1"/>
  <c r="I2965" i="2" s="1"/>
  <c r="G2966" i="2"/>
  <c r="H2966" i="2" s="1"/>
  <c r="I2966" i="2" s="1"/>
  <c r="G2967" i="2"/>
  <c r="G2968" i="2"/>
  <c r="H2968" i="2" s="1"/>
  <c r="I2968" i="2" s="1"/>
  <c r="G2969" i="2"/>
  <c r="G2970" i="2"/>
  <c r="H2970" i="2" s="1"/>
  <c r="I2970" i="2" s="1"/>
  <c r="G2971" i="2"/>
  <c r="H2971" i="2" s="1"/>
  <c r="I2971" i="2" s="1"/>
  <c r="G2972" i="2"/>
  <c r="H2972" i="2" s="1"/>
  <c r="I2972" i="2" s="1"/>
  <c r="G2973" i="2"/>
  <c r="H2973" i="2" s="1"/>
  <c r="I2973" i="2" s="1"/>
  <c r="G2974" i="2"/>
  <c r="H2974" i="2" s="1"/>
  <c r="I2974" i="2" s="1"/>
  <c r="G2975" i="2"/>
  <c r="H2975" i="2" s="1"/>
  <c r="I2975" i="2" s="1"/>
  <c r="G2976" i="2"/>
  <c r="H2976" i="2" s="1"/>
  <c r="I2976" i="2" s="1"/>
  <c r="G2977" i="2"/>
  <c r="H2977" i="2" s="1"/>
  <c r="I2977" i="2" s="1"/>
  <c r="G2978" i="2"/>
  <c r="G2979" i="2"/>
  <c r="G2980" i="2"/>
  <c r="H2980" i="2" s="1"/>
  <c r="I2980" i="2" s="1"/>
  <c r="G2981" i="2"/>
  <c r="H2981" i="2" s="1"/>
  <c r="I2981" i="2" s="1"/>
  <c r="G2982" i="2"/>
  <c r="H2982" i="2" s="1"/>
  <c r="I2982" i="2" s="1"/>
  <c r="G2983" i="2"/>
  <c r="H2983" i="2" s="1"/>
  <c r="I2983" i="2" s="1"/>
  <c r="G2984" i="2"/>
  <c r="H2984" i="2" s="1"/>
  <c r="I2984" i="2" s="1"/>
  <c r="G2985" i="2"/>
  <c r="H2985" i="2" s="1"/>
  <c r="I2985" i="2" s="1"/>
  <c r="G2986" i="2"/>
  <c r="H2986" i="2" s="1"/>
  <c r="I2986" i="2" s="1"/>
  <c r="G2987" i="2"/>
  <c r="H2987" i="2" s="1"/>
  <c r="I2987" i="2" s="1"/>
  <c r="G2988" i="2"/>
  <c r="H2988" i="2" s="1"/>
  <c r="I2988" i="2" s="1"/>
  <c r="G2989" i="2"/>
  <c r="G2990" i="2"/>
  <c r="G2991" i="2"/>
  <c r="G2992" i="2"/>
  <c r="G2993" i="2"/>
  <c r="H2993" i="2" s="1"/>
  <c r="I2993" i="2" s="1"/>
  <c r="G2994" i="2"/>
  <c r="H2994" i="2" s="1"/>
  <c r="I2994" i="2" s="1"/>
  <c r="G2995" i="2"/>
  <c r="H2995" i="2" s="1"/>
  <c r="I2995" i="2" s="1"/>
  <c r="G2996" i="2"/>
  <c r="H2996" i="2" s="1"/>
  <c r="I2996" i="2" s="1"/>
  <c r="G2997" i="2"/>
  <c r="H2997" i="2" s="1"/>
  <c r="I2997" i="2" s="1"/>
  <c r="G2998" i="2"/>
  <c r="G2999" i="2"/>
  <c r="H2999" i="2" s="1"/>
  <c r="I2999" i="2" s="1"/>
  <c r="G3000" i="2"/>
  <c r="H3000" i="2" s="1"/>
  <c r="I3000" i="2" s="1"/>
  <c r="G3001" i="2"/>
  <c r="H3001" i="2" s="1"/>
  <c r="I3001" i="2" s="1"/>
  <c r="G3002" i="2"/>
  <c r="G3003" i="2"/>
  <c r="H3003" i="2" s="1"/>
  <c r="I3003" i="2" s="1"/>
  <c r="G3004" i="2"/>
  <c r="H3004" i="2" s="1"/>
  <c r="I3004" i="2" s="1"/>
  <c r="G3005" i="2"/>
  <c r="G3006" i="2"/>
  <c r="G3007" i="2"/>
  <c r="H3007" i="2" s="1"/>
  <c r="I3007" i="2" s="1"/>
  <c r="G3008" i="2"/>
  <c r="H3008" i="2" s="1"/>
  <c r="I3008" i="2" s="1"/>
  <c r="G3009" i="2"/>
  <c r="H3009" i="2" s="1"/>
  <c r="I3009" i="2" s="1"/>
  <c r="G3010" i="2"/>
  <c r="H3010" i="2" s="1"/>
  <c r="I3010" i="2" s="1"/>
  <c r="G3011" i="2"/>
  <c r="H3011" i="2" s="1"/>
  <c r="I3011" i="2" s="1"/>
  <c r="G3012" i="2"/>
  <c r="H3012" i="2" s="1"/>
  <c r="I3012" i="2" s="1"/>
  <c r="G3013" i="2"/>
  <c r="G3014" i="2"/>
  <c r="G3015" i="2"/>
  <c r="H3015" i="2" s="1"/>
  <c r="I3015" i="2" s="1"/>
  <c r="G3016" i="2"/>
  <c r="H3016" i="2" s="1"/>
  <c r="I3016" i="2" s="1"/>
  <c r="G3017" i="2"/>
  <c r="H3017" i="2" s="1"/>
  <c r="I3017" i="2" s="1"/>
  <c r="G3018" i="2"/>
  <c r="H3018" i="2" s="1"/>
  <c r="I3018" i="2" s="1"/>
  <c r="G3019" i="2"/>
  <c r="H3019" i="2" s="1"/>
  <c r="I3019" i="2" s="1"/>
  <c r="G3020" i="2"/>
  <c r="H3020" i="2" s="1"/>
  <c r="I3020" i="2" s="1"/>
  <c r="G3021" i="2"/>
  <c r="H3021" i="2" s="1"/>
  <c r="I3021" i="2" s="1"/>
  <c r="G3022" i="2"/>
  <c r="H3022" i="2" s="1"/>
  <c r="I3022" i="2" s="1"/>
  <c r="G3023" i="2"/>
  <c r="H3023" i="2" s="1"/>
  <c r="I3023" i="2" s="1"/>
  <c r="G3024" i="2"/>
  <c r="H3024" i="2" s="1"/>
  <c r="I3024" i="2" s="1"/>
  <c r="G3025" i="2"/>
  <c r="G3026" i="2"/>
  <c r="G3027" i="2"/>
  <c r="G3028" i="2"/>
  <c r="H3028" i="2" s="1"/>
  <c r="I3028" i="2" s="1"/>
  <c r="G3029" i="2"/>
  <c r="G3030" i="2"/>
  <c r="G3031" i="2"/>
  <c r="H3031" i="2" s="1"/>
  <c r="I3031" i="2" s="1"/>
  <c r="G3032" i="2"/>
  <c r="H3032" i="2" s="1"/>
  <c r="I3032" i="2" s="1"/>
  <c r="G3033" i="2"/>
  <c r="H3033" i="2" s="1"/>
  <c r="I3033" i="2" s="1"/>
  <c r="G3034" i="2"/>
  <c r="H3034" i="2" s="1"/>
  <c r="I3034" i="2" s="1"/>
  <c r="G3035" i="2"/>
  <c r="H3035" i="2" s="1"/>
  <c r="I3035" i="2" s="1"/>
  <c r="G3036" i="2"/>
  <c r="H3036" i="2" s="1"/>
  <c r="I3036" i="2" s="1"/>
  <c r="G3037" i="2"/>
  <c r="H3037" i="2" s="1"/>
  <c r="I3037" i="2" s="1"/>
  <c r="G3038" i="2"/>
  <c r="G3039" i="2"/>
  <c r="H3039" i="2" s="1"/>
  <c r="I3039" i="2" s="1"/>
  <c r="G3040" i="2"/>
  <c r="G3041" i="2"/>
  <c r="G3042" i="2"/>
  <c r="G3043" i="2"/>
  <c r="H3043" i="2" s="1"/>
  <c r="I3043" i="2" s="1"/>
  <c r="G3044" i="2"/>
  <c r="H3044" i="2" s="1"/>
  <c r="I3044" i="2" s="1"/>
  <c r="G3045" i="2"/>
  <c r="H3045" i="2" s="1"/>
  <c r="I3045" i="2" s="1"/>
  <c r="G3046" i="2"/>
  <c r="H3046" i="2" s="1"/>
  <c r="I3046" i="2" s="1"/>
  <c r="G3047" i="2"/>
  <c r="H3047" i="2" s="1"/>
  <c r="I3047" i="2" s="1"/>
  <c r="G3048" i="2"/>
  <c r="H3048" i="2" s="1"/>
  <c r="I3048" i="2" s="1"/>
  <c r="G3049" i="2"/>
  <c r="G3050" i="2"/>
  <c r="H3050" i="2" s="1"/>
  <c r="I3050" i="2" s="1"/>
  <c r="G3051" i="2"/>
  <c r="H3051" i="2" s="1"/>
  <c r="I3051" i="2" s="1"/>
  <c r="G3052" i="2"/>
  <c r="H3052" i="2" s="1"/>
  <c r="I3052" i="2" s="1"/>
  <c r="G3053" i="2"/>
  <c r="H3053" i="2" s="1"/>
  <c r="I3053" i="2" s="1"/>
  <c r="G3054" i="2"/>
  <c r="H3054" i="2" s="1"/>
  <c r="I3054" i="2" s="1"/>
  <c r="G3055" i="2"/>
  <c r="H3055" i="2" s="1"/>
  <c r="I3055" i="2" s="1"/>
  <c r="G3056" i="2"/>
  <c r="H3056" i="2" s="1"/>
  <c r="I3056" i="2" s="1"/>
  <c r="G3057" i="2"/>
  <c r="H3057" i="2" s="1"/>
  <c r="I3057" i="2" s="1"/>
  <c r="G3058" i="2"/>
  <c r="H3058" i="2" s="1"/>
  <c r="I3058" i="2" s="1"/>
  <c r="G3059" i="2"/>
  <c r="H3059" i="2" s="1"/>
  <c r="I3059" i="2" s="1"/>
  <c r="G3060" i="2"/>
  <c r="H3060" i="2" s="1"/>
  <c r="I3060" i="2" s="1"/>
  <c r="G3061" i="2"/>
  <c r="G3062" i="2"/>
  <c r="G3063" i="2"/>
  <c r="H3063" i="2" s="1"/>
  <c r="I3063" i="2" s="1"/>
  <c r="G3064" i="2"/>
  <c r="G3065" i="2"/>
  <c r="G3066" i="2"/>
  <c r="H3066" i="2" s="1"/>
  <c r="I3066" i="2" s="1"/>
  <c r="G3067" i="2"/>
  <c r="H3067" i="2" s="1"/>
  <c r="I3067" i="2" s="1"/>
  <c r="G3068" i="2"/>
  <c r="H3068" i="2" s="1"/>
  <c r="I3068" i="2" s="1"/>
  <c r="G3069" i="2"/>
  <c r="H3069" i="2" s="1"/>
  <c r="I3069" i="2" s="1"/>
  <c r="G3070" i="2"/>
  <c r="H3070" i="2" s="1"/>
  <c r="I3070" i="2" s="1"/>
  <c r="G2" i="2"/>
  <c r="H2" i="2" s="1"/>
  <c r="I2" i="2" s="1"/>
</calcChain>
</file>

<file path=xl/sharedStrings.xml><?xml version="1.0" encoding="utf-8"?>
<sst xmlns="http://schemas.openxmlformats.org/spreadsheetml/2006/main" count="12349" uniqueCount="32">
  <si>
    <t>customer_id</t>
  </si>
  <si>
    <t>created_date</t>
  </si>
  <si>
    <t>canceled_date</t>
  </si>
  <si>
    <t>subscription_cost</t>
  </si>
  <si>
    <t>subscription_interval</t>
  </si>
  <si>
    <t>was_subscription_paid</t>
  </si>
  <si>
    <t>month</t>
  </si>
  <si>
    <t>Yes</t>
  </si>
  <si>
    <t>No</t>
  </si>
  <si>
    <t>r_canceled_date</t>
  </si>
  <si>
    <t>Active_months</t>
  </si>
  <si>
    <t>is_5_months</t>
  </si>
  <si>
    <t>Row Labels</t>
  </si>
  <si>
    <t>Grand Total</t>
  </si>
  <si>
    <t>2022</t>
  </si>
  <si>
    <t>2023</t>
  </si>
  <si>
    <t>Count of customer_id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</si>
  <si>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</si>
  <si>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</si>
  <si>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</si>
  <si>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</si>
  <si>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</si>
  <si>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</si>
  <si>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</si>
  <si>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</si>
  <si>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</si>
  <si>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</si>
  <si>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</si>
  <si>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</si>
  <si>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Count of is_5_months</t>
  </si>
  <si>
    <t>retained_month</t>
  </si>
  <si>
    <t>Average of retained_month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</si>
</sst>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7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[Subscription Cohort Analysis Data.xlsx]Sheet3!PivotTable1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4"/>
              </a:gs>
              <a:gs pos="100000">
                <a:schemeClr val="accent4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Sheet3!$B$4:$B$19</c:f>
              <c:numCache>
                <c:formatCode>General</c:formatCode>
                <c:ptCount val="13"/>
                <c:pt idx="0">
                  <c:v>217</c:v>
                </c:pt>
                <c:pt idx="1">
                  <c:v>196</c:v>
                </c:pt>
                <c:pt idx="2">
                  <c:v>189</c:v>
                </c:pt>
                <c:pt idx="3">
                  <c:v>230</c:v>
                </c:pt>
                <c:pt idx="4">
                  <c:v>273</c:v>
                </c:pt>
                <c:pt idx="5">
                  <c:v>275</c:v>
                </c:pt>
                <c:pt idx="6">
                  <c:v>266</c:v>
                </c:pt>
                <c:pt idx="7">
                  <c:v>223</c:v>
                </c:pt>
                <c:pt idx="8">
                  <c:v>285</c:v>
                </c:pt>
                <c:pt idx="9">
                  <c:v>275</c:v>
                </c:pt>
                <c:pt idx="10">
                  <c:v>306</c:v>
                </c:pt>
                <c:pt idx="11">
                  <c:v>268</c:v>
                </c:pt>
                <c:pt idx="1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9-4EA1-BB47-19D2431907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12475648"/>
        <c:axId val="1412478048"/>
      </c:barChart>
      <c:catAx>
        <c:axId val="141247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78048"/>
        <c:crosses val="autoZero"/>
        <c:auto val="1"/>
        <c:lblAlgn val="ctr"/>
        <c:lblOffset val="100"/>
        <c:noMultiLvlLbl val="0"/>
      </c:catAx>
      <c:valAx>
        <c:axId val="1412478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247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[Subscription Cohort Analysis Data.xlsx]Sheet3!PivotTable2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4"/>
            </a:outerShdw>
          </a:effectLst>
        </c:spPr>
        <c:marker>
          <c:symbol val="circle"/>
          <c:size val="14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0F9E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Sheet3!$L$3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circle"/>
            <c:size val="14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solidFill>
                <a:srgbClr val="0F9E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Sheet3!$K$4:$K$19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Sheet3!$L$4:$L$19</c:f>
              <c:numCache>
                <c:formatCode>General</c:formatCode>
                <c:ptCount val="13"/>
                <c:pt idx="0">
                  <c:v>217</c:v>
                </c:pt>
                <c:pt idx="1">
                  <c:v>196</c:v>
                </c:pt>
                <c:pt idx="2">
                  <c:v>189</c:v>
                </c:pt>
                <c:pt idx="3">
                  <c:v>230</c:v>
                </c:pt>
                <c:pt idx="4">
                  <c:v>273</c:v>
                </c:pt>
                <c:pt idx="5">
                  <c:v>275</c:v>
                </c:pt>
                <c:pt idx="6">
                  <c:v>266</c:v>
                </c:pt>
                <c:pt idx="7">
                  <c:v>223</c:v>
                </c:pt>
                <c:pt idx="8">
                  <c:v>285</c:v>
                </c:pt>
                <c:pt idx="9">
                  <c:v>275</c:v>
                </c:pt>
                <c:pt idx="10">
                  <c:v>306</c:v>
                </c:pt>
                <c:pt idx="11">
                  <c:v>268</c:v>
                </c:pt>
                <c:pt idx="1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4-4776-B643-48BC7541AC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784512816"/>
        <c:axId val="1784520496"/>
      </c:lineChart>
      <c:catAx>
        <c:axId val="17845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20496"/>
        <c:crosses val="autoZero"/>
        <c:auto val="1"/>
        <c:lblAlgn val="ctr"/>
        <c:lblOffset val="100"/>
        <c:noMultiLvlLbl val="0"/>
      </c:catAx>
      <c:valAx>
        <c:axId val="1784520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845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[Subscription Cohort Analysis Data.xlsx]Sheet3!PivotTable3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2825896762905"/>
          <c:y val="0.25865522018081066"/>
          <c:w val="0.75065026246719158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Sheet3!$A$26:$A$28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Sheet3!$B$26:$B$28</c:f>
              <c:numCache>
                <c:formatCode>0.0%</c:formatCode>
                <c:ptCount val="2"/>
                <c:pt idx="0">
                  <c:v>0.81557510589768656</c:v>
                </c:pt>
                <c:pt idx="1">
                  <c:v>0.18442489410231347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8-4119-B9A3-A69FDD3A68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84544496"/>
        <c:axId val="1784556976"/>
      </c:barChart>
      <c:catAx>
        <c:axId val="17845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56976"/>
        <c:crosses val="autoZero"/>
        <c:auto val="1"/>
        <c:lblAlgn val="ctr"/>
        <c:lblOffset val="100"/>
        <c:noMultiLvlLbl val="0"/>
      </c:catAx>
      <c:valAx>
        <c:axId val="1784556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845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[Subscription Cohort Analysis Data.xlsx]Sheet3!PivotTable6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4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0F9E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Sheet3!$L$22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7-4FD5-A9F7-AF9BE23E5A1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7-4FD5-A9F7-AF9BE23E5A14}"/>
              </c:ext>
            </c:extLst>
          </c:dPt>
          <c:cat>
            <c:multiLvlStrRef>
              <c:f>Sheet3!$K$23:$K$38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Sheet3!$L$23:$L$38</c:f>
              <c:numCache>
                <c:formatCode>0.00%</c:formatCode>
                <c:ptCount val="13"/>
                <c:pt idx="0">
                  <c:v>0.84792626728110598</c:v>
                </c:pt>
                <c:pt idx="1">
                  <c:v>0.87755102040816324</c:v>
                </c:pt>
                <c:pt idx="2">
                  <c:v>0.85185185185185186</c:v>
                </c:pt>
                <c:pt idx="3">
                  <c:v>0.85652173913043483</c:v>
                </c:pt>
                <c:pt idx="4">
                  <c:v>0.86813186813186816</c:v>
                </c:pt>
                <c:pt idx="5">
                  <c:v>0.87272727272727268</c:v>
                </c:pt>
                <c:pt idx="6">
                  <c:v>0.83458646616541354</c:v>
                </c:pt>
                <c:pt idx="7">
                  <c:v>0.86098654708520184</c:v>
                </c:pt>
                <c:pt idx="8">
                  <c:v>0.86315789473684212</c:v>
                </c:pt>
                <c:pt idx="9">
                  <c:v>0.8545454545454545</c:v>
                </c:pt>
                <c:pt idx="10">
                  <c:v>0.8529411764705882</c:v>
                </c:pt>
                <c:pt idx="11">
                  <c:v>0.85820895522388063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7-4FD5-A9F7-AF9BE23E5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12486208"/>
        <c:axId val="1412486688"/>
      </c:barChart>
      <c:catAx>
        <c:axId val="141248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86688"/>
        <c:crosses val="autoZero"/>
        <c:auto val="1"/>
        <c:lblAlgn val="ctr"/>
        <c:lblOffset val="100"/>
        <c:noMultiLvlLbl val="0"/>
      </c:catAx>
      <c:valAx>
        <c:axId val="14124866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8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87630</xdr:rowOff>
    </xdr:from>
    <xdr:to>
      <xdr:col>9</xdr:col>
      <xdr:colOff>449580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9630E-51DB-94AC-C45A-559BCCE48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205740</xdr:colOff>
      <xdr:row>2</xdr:row>
      <xdr:rowOff>49530</xdr:rowOff>
    </xdr:from>
    <xdr:to>
      <xdr:col>19</xdr:col>
      <xdr:colOff>510540</xdr:colOff>
      <xdr:row>17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FA937C-32ED-B4E6-0414-EA177FFD4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228600</xdr:colOff>
      <xdr:row>18</xdr:row>
      <xdr:rowOff>0</xdr:rowOff>
    </xdr:from>
    <xdr:to>
      <xdr:col>8</xdr:col>
      <xdr:colOff>129540</xdr:colOff>
      <xdr:row>31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F5729E-9791-8AB4-58C9-AF64635C3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327660</xdr:colOff>
      <xdr:row>22</xdr:row>
      <xdr:rowOff>11430</xdr:rowOff>
    </xdr:from>
    <xdr:to>
      <xdr:col>22</xdr:col>
      <xdr:colOff>274320</xdr:colOff>
      <xdr:row>37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F8BDBB-755E-9007-C432-065645C03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" refreshedDate="46178.473058680553" createdVersion="8" refreshedVersion="8" minRefreshableVersion="3" recordCount="3069" xr:uid="{93C801E4-7CBD-4D20-9B6B-6319E508A647}">
  <cacheSource type="worksheet">
    <worksheetSource name="Table1"/>
  </cacheSource>
  <cacheFields count="13">
    <cacheField name="customer_id" numFmtId="0">
      <sharedItems containsSemiMixedTypes="0" containsString="0" containsNumber="1" containsInteger="1" minValue="111394466" maxValue="221189604"/>
    </cacheField>
    <cacheField name="created_date" numFmtId="14">
      <sharedItems containsSemiMixedTypes="0" containsNonDate="0" containsDate="1" containsString="0" minDate="2022-09-01T00:00:00" maxDate="2023-09-09T00:00:00" count="370"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</sharedItems>
      <fieldGroup par="12"/>
    </cacheField>
    <cacheField name="canceled_date" numFmtId="0">
      <sharedItems containsNonDate="0" containsDate="1" containsString="0" containsBlank="1" minDate="2022-09-02T00:00:00" maxDate="2023-09-09T00:00:00"/>
    </cacheField>
    <cacheField name="subscription_cost" numFmtId="0">
      <sharedItems containsSemiMixedTypes="0" containsString="0" containsNumber="1" containsInteger="1" minValue="39" maxValue="39"/>
    </cacheField>
    <cacheField name="subscription_interval" numFmtId="0">
      <sharedItems/>
    </cacheField>
    <cacheField name="was_subscription_paid" numFmtId="0">
      <sharedItems/>
    </cacheField>
    <cacheField name="r_canceled_date" numFmtId="14">
      <sharedItems containsSemiMixedTypes="0" containsNonDate="0" containsDate="1" containsString="0" minDate="2022-09-02T00:00:00" maxDate="2023-10-01T00:00:00"/>
    </cacheField>
    <cacheField name="Active_months" numFmtId="0">
      <sharedItems containsSemiMixedTypes="0" containsString="0" containsNumber="1" containsInteger="1" minValue="0" maxValue="12"/>
    </cacheField>
    <cacheField name="is_5_months" numFmtId="0">
      <sharedItems containsSemiMixedTypes="0" containsString="0" containsNumber="1" containsInteger="1" minValue="0" maxValue="1" count="2">
        <n v="1"/>
        <n v="0"/>
      </sharedItems>
    </cacheField>
    <cacheField name="retained_month" numFmtId="0">
      <sharedItems containsSemiMixedTypes="0" containsString="0" containsNumber="1" containsInteger="1" minValue="0" maxValue="1" count="2">
        <n v="1"/>
        <n v="0"/>
      </sharedItems>
    </cacheField>
    <cacheField name="Months (created_date)" numFmtId="0" databaseField="0">
      <fieldGroup base="1">
        <rangePr groupBy="months" startDate="2022-09-01T00:00:00" endDate="2023-09-09T00:00:00"/>
        <groupItems count="14">
          <s v="&lt;9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3"/>
        </groupItems>
      </fieldGroup>
    </cacheField>
    <cacheField name="Quarters (created_date)" numFmtId="0" databaseField="0">
      <fieldGroup base="1">
        <rangePr groupBy="quarters" startDate="2022-09-01T00:00:00" endDate="2023-09-09T00:00:00"/>
        <groupItems count="6">
          <s v="&lt;9/1/2022"/>
          <s v="Qtr1"/>
          <s v="Qtr2"/>
          <s v="Qtr3"/>
          <s v="Qtr4"/>
          <s v="&gt;9/9/2023"/>
        </groupItems>
      </fieldGroup>
    </cacheField>
    <cacheField name="Years (created_date)" numFmtId="0" databaseField="0">
      <fieldGroup base="1">
        <rangePr groupBy="years" startDate="2022-09-01T00:00:00" endDate="2023-09-09T00:00:00"/>
        <groupItems count="4">
          <s v="&lt;9/1/2022"/>
          <s v="2022"/>
          <s v="2023"/>
          <s v="&gt;9/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9">
  <r>
    <n v="154536156"/>
    <x v="0"/>
    <m/>
    <n v="39"/>
    <s v="month"/>
    <s v="Yes"/>
    <d v="2023-09-30T00:00:00"/>
    <n v="12"/>
    <x v="0"/>
    <x v="0"/>
  </r>
  <r>
    <n v="149713408"/>
    <x v="0"/>
    <d v="2022-09-02T00:00:00"/>
    <n v="39"/>
    <s v="month"/>
    <s v="No"/>
    <d v="2022-09-02T00:00:00"/>
    <n v="0"/>
    <x v="1"/>
    <x v="1"/>
  </r>
  <r>
    <n v="153756284"/>
    <x v="0"/>
    <d v="2022-09-02T00:00:00"/>
    <n v="39"/>
    <s v="month"/>
    <s v="No"/>
    <d v="2022-09-02T00:00:00"/>
    <n v="0"/>
    <x v="1"/>
    <x v="1"/>
  </r>
  <r>
    <n v="121253113"/>
    <x v="0"/>
    <d v="2022-09-23T00:00:00"/>
    <n v="39"/>
    <s v="month"/>
    <s v="Yes"/>
    <d v="2022-09-23T00:00:00"/>
    <n v="0"/>
    <x v="1"/>
    <x v="1"/>
  </r>
  <r>
    <n v="154467210"/>
    <x v="0"/>
    <d v="2023-06-29T00:00:00"/>
    <n v="39"/>
    <s v="month"/>
    <s v="Yes"/>
    <d v="2023-06-29T00:00:00"/>
    <n v="9"/>
    <x v="0"/>
    <x v="0"/>
  </r>
  <r>
    <n v="154510811"/>
    <x v="0"/>
    <d v="2023-05-08T00:00:00"/>
    <n v="39"/>
    <s v="month"/>
    <s v="Yes"/>
    <d v="2023-05-08T00:00:00"/>
    <n v="8"/>
    <x v="0"/>
    <x v="0"/>
  </r>
  <r>
    <n v="154494346"/>
    <x v="0"/>
    <d v="2022-11-26T00:00:00"/>
    <n v="39"/>
    <s v="month"/>
    <s v="Yes"/>
    <d v="2022-11-26T00:00:00"/>
    <n v="2"/>
    <x v="1"/>
    <x v="0"/>
  </r>
  <r>
    <n v="148671505"/>
    <x v="0"/>
    <d v="2022-11-23T00:00:00"/>
    <n v="39"/>
    <s v="month"/>
    <s v="Yes"/>
    <d v="2022-11-23T00:00:00"/>
    <n v="2"/>
    <x v="1"/>
    <x v="0"/>
  </r>
  <r>
    <n v="154568379"/>
    <x v="0"/>
    <d v="2022-10-25T00:00:00"/>
    <n v="39"/>
    <s v="month"/>
    <s v="Yes"/>
    <d v="2022-10-25T00:00:00"/>
    <n v="1"/>
    <x v="1"/>
    <x v="0"/>
  </r>
  <r>
    <n v="154428434"/>
    <x v="0"/>
    <d v="2022-10-31T00:00:00"/>
    <n v="39"/>
    <s v="month"/>
    <s v="Yes"/>
    <d v="2022-10-31T00:00:00"/>
    <n v="1"/>
    <x v="1"/>
    <x v="0"/>
  </r>
  <r>
    <n v="154601651"/>
    <x v="0"/>
    <d v="2022-09-26T00:00:00"/>
    <n v="39"/>
    <s v="month"/>
    <s v="Yes"/>
    <d v="2022-09-26T00:00:00"/>
    <n v="0"/>
    <x v="1"/>
    <x v="1"/>
  </r>
  <r>
    <n v="122824692"/>
    <x v="0"/>
    <d v="2022-09-15T00:00:00"/>
    <n v="39"/>
    <s v="month"/>
    <s v="Yes"/>
    <d v="2022-09-15T00:00:00"/>
    <n v="0"/>
    <x v="1"/>
    <x v="1"/>
  </r>
  <r>
    <n v="152925600"/>
    <x v="1"/>
    <m/>
    <n v="39"/>
    <s v="month"/>
    <s v="Yes"/>
    <d v="2023-09-30T00:00:00"/>
    <n v="12"/>
    <x v="0"/>
    <x v="0"/>
  </r>
  <r>
    <n v="151154171"/>
    <x v="1"/>
    <d v="2022-09-02T00:00:00"/>
    <n v="39"/>
    <s v="month"/>
    <s v="Yes"/>
    <d v="2022-09-02T00:00:00"/>
    <n v="0"/>
    <x v="1"/>
    <x v="1"/>
  </r>
  <r>
    <n v="154640950"/>
    <x v="1"/>
    <d v="2022-12-09T00:00:00"/>
    <n v="39"/>
    <s v="month"/>
    <s v="Yes"/>
    <d v="2022-12-09T00:00:00"/>
    <n v="3"/>
    <x v="1"/>
    <x v="0"/>
  </r>
  <r>
    <n v="154617329"/>
    <x v="1"/>
    <d v="2022-10-27T00:00:00"/>
    <n v="39"/>
    <s v="month"/>
    <s v="Yes"/>
    <d v="2022-10-27T00:00:00"/>
    <n v="1"/>
    <x v="1"/>
    <x v="0"/>
  </r>
  <r>
    <n v="154089211"/>
    <x v="1"/>
    <d v="2022-10-09T00:00:00"/>
    <n v="39"/>
    <s v="month"/>
    <s v="Yes"/>
    <d v="2022-10-09T00:00:00"/>
    <n v="1"/>
    <x v="1"/>
    <x v="0"/>
  </r>
  <r>
    <n v="154653820"/>
    <x v="1"/>
    <d v="2022-09-26T00:00:00"/>
    <n v="39"/>
    <s v="month"/>
    <s v="Yes"/>
    <d v="2022-09-26T00:00:00"/>
    <n v="0"/>
    <x v="1"/>
    <x v="1"/>
  </r>
  <r>
    <n v="154131290"/>
    <x v="2"/>
    <m/>
    <n v="39"/>
    <s v="month"/>
    <s v="Yes"/>
    <d v="2023-09-30T00:00:00"/>
    <n v="12"/>
    <x v="0"/>
    <x v="0"/>
  </r>
  <r>
    <n v="154434009"/>
    <x v="2"/>
    <m/>
    <n v="39"/>
    <s v="month"/>
    <s v="Yes"/>
    <d v="2023-09-30T00:00:00"/>
    <n v="12"/>
    <x v="0"/>
    <x v="0"/>
  </r>
  <r>
    <n v="136108848"/>
    <x v="2"/>
    <d v="2022-09-04T00:00:00"/>
    <n v="39"/>
    <s v="month"/>
    <s v="Yes"/>
    <d v="2022-09-04T00:00:00"/>
    <n v="0"/>
    <x v="1"/>
    <x v="1"/>
  </r>
  <r>
    <n v="135185873"/>
    <x v="2"/>
    <d v="2023-05-10T00:00:00"/>
    <n v="39"/>
    <s v="month"/>
    <s v="Yes"/>
    <d v="2023-05-10T00:00:00"/>
    <n v="8"/>
    <x v="0"/>
    <x v="0"/>
  </r>
  <r>
    <n v="154592664"/>
    <x v="2"/>
    <d v="2023-04-01T00:00:00"/>
    <n v="39"/>
    <s v="month"/>
    <s v="Yes"/>
    <d v="2023-04-01T00:00:00"/>
    <n v="7"/>
    <x v="0"/>
    <x v="0"/>
  </r>
  <r>
    <n v="119436804"/>
    <x v="2"/>
    <d v="2023-04-10T00:00:00"/>
    <n v="39"/>
    <s v="month"/>
    <s v="Yes"/>
    <d v="2023-04-10T00:00:00"/>
    <n v="7"/>
    <x v="0"/>
    <x v="0"/>
  </r>
  <r>
    <n v="152929657"/>
    <x v="2"/>
    <d v="2022-11-23T00:00:00"/>
    <n v="39"/>
    <s v="month"/>
    <s v="Yes"/>
    <d v="2022-11-23T00:00:00"/>
    <n v="2"/>
    <x v="1"/>
    <x v="0"/>
  </r>
  <r>
    <n v="154708974"/>
    <x v="2"/>
    <d v="2022-10-18T00:00:00"/>
    <n v="39"/>
    <s v="month"/>
    <s v="Yes"/>
    <d v="2022-10-18T00:00:00"/>
    <n v="1"/>
    <x v="1"/>
    <x v="0"/>
  </r>
  <r>
    <n v="154567722"/>
    <x v="2"/>
    <d v="2022-09-29T00:00:00"/>
    <n v="39"/>
    <s v="month"/>
    <s v="Yes"/>
    <d v="2022-09-29T00:00:00"/>
    <n v="0"/>
    <x v="1"/>
    <x v="1"/>
  </r>
  <r>
    <n v="154719788"/>
    <x v="2"/>
    <d v="2022-09-25T00:00:00"/>
    <n v="39"/>
    <s v="month"/>
    <s v="Yes"/>
    <d v="2022-09-25T00:00:00"/>
    <n v="0"/>
    <x v="1"/>
    <x v="1"/>
  </r>
  <r>
    <n v="154809306"/>
    <x v="3"/>
    <d v="2022-09-05T00:00:00"/>
    <n v="39"/>
    <s v="month"/>
    <s v="Yes"/>
    <d v="2022-09-05T00:00:00"/>
    <n v="0"/>
    <x v="1"/>
    <x v="1"/>
  </r>
  <r>
    <n v="140391539"/>
    <x v="3"/>
    <d v="2023-04-05T00:00:00"/>
    <n v="39"/>
    <s v="month"/>
    <s v="Yes"/>
    <d v="2023-04-05T00:00:00"/>
    <n v="7"/>
    <x v="0"/>
    <x v="0"/>
  </r>
  <r>
    <n v="153194806"/>
    <x v="3"/>
    <d v="2023-04-16T00:00:00"/>
    <n v="39"/>
    <s v="month"/>
    <s v="Yes"/>
    <d v="2023-04-16T00:00:00"/>
    <n v="7"/>
    <x v="0"/>
    <x v="0"/>
  </r>
  <r>
    <n v="144402204"/>
    <x v="3"/>
    <d v="2022-09-22T00:00:00"/>
    <n v="39"/>
    <s v="month"/>
    <s v="Yes"/>
    <d v="2022-09-22T00:00:00"/>
    <n v="0"/>
    <x v="1"/>
    <x v="1"/>
  </r>
  <r>
    <n v="154747678"/>
    <x v="3"/>
    <d v="2023-01-15T00:00:00"/>
    <n v="39"/>
    <s v="month"/>
    <s v="Yes"/>
    <d v="2023-01-15T00:00:00"/>
    <n v="4"/>
    <x v="1"/>
    <x v="0"/>
  </r>
  <r>
    <n v="130939158"/>
    <x v="3"/>
    <d v="2023-02-19T00:00:00"/>
    <n v="39"/>
    <s v="month"/>
    <s v="Yes"/>
    <d v="2023-02-19T00:00:00"/>
    <n v="5"/>
    <x v="0"/>
    <x v="0"/>
  </r>
  <r>
    <n v="150912359"/>
    <x v="3"/>
    <d v="2022-11-02T00:00:00"/>
    <n v="39"/>
    <s v="month"/>
    <s v="Yes"/>
    <d v="2022-11-02T00:00:00"/>
    <n v="2"/>
    <x v="1"/>
    <x v="0"/>
  </r>
  <r>
    <n v="154132592"/>
    <x v="3"/>
    <d v="2022-11-01T00:00:00"/>
    <n v="39"/>
    <s v="month"/>
    <s v="Yes"/>
    <d v="2022-11-01T00:00:00"/>
    <n v="2"/>
    <x v="1"/>
    <x v="0"/>
  </r>
  <r>
    <n v="153368891"/>
    <x v="3"/>
    <d v="2022-10-11T00:00:00"/>
    <n v="39"/>
    <s v="month"/>
    <s v="Yes"/>
    <d v="2022-10-11T00:00:00"/>
    <n v="1"/>
    <x v="1"/>
    <x v="0"/>
  </r>
  <r>
    <n v="154225450"/>
    <x v="4"/>
    <m/>
    <n v="39"/>
    <s v="month"/>
    <s v="Yes"/>
    <d v="2023-09-30T00:00:00"/>
    <n v="12"/>
    <x v="0"/>
    <x v="0"/>
  </r>
  <r>
    <n v="154904040"/>
    <x v="4"/>
    <d v="2022-09-06T00:00:00"/>
    <n v="39"/>
    <s v="month"/>
    <s v="Yes"/>
    <d v="2022-09-06T00:00:00"/>
    <n v="0"/>
    <x v="1"/>
    <x v="1"/>
  </r>
  <r>
    <n v="127604200"/>
    <x v="4"/>
    <d v="2022-10-06T00:00:00"/>
    <n v="39"/>
    <s v="month"/>
    <s v="Yes"/>
    <d v="2022-10-06T00:00:00"/>
    <n v="1"/>
    <x v="1"/>
    <x v="0"/>
  </r>
  <r>
    <n v="154913576"/>
    <x v="4"/>
    <d v="2023-03-13T00:00:00"/>
    <n v="39"/>
    <s v="month"/>
    <s v="Yes"/>
    <d v="2023-03-13T00:00:00"/>
    <n v="6"/>
    <x v="0"/>
    <x v="0"/>
  </r>
  <r>
    <n v="154910432"/>
    <x v="4"/>
    <d v="2023-03-13T00:00:00"/>
    <n v="39"/>
    <s v="month"/>
    <s v="Yes"/>
    <d v="2023-03-13T00:00:00"/>
    <n v="6"/>
    <x v="0"/>
    <x v="0"/>
  </r>
  <r>
    <n v="154911229"/>
    <x v="4"/>
    <d v="2023-03-12T00:00:00"/>
    <n v="39"/>
    <s v="month"/>
    <s v="Yes"/>
    <d v="2023-03-12T00:00:00"/>
    <n v="6"/>
    <x v="0"/>
    <x v="0"/>
  </r>
  <r>
    <n v="154518837"/>
    <x v="4"/>
    <d v="2023-01-03T00:00:00"/>
    <n v="39"/>
    <s v="month"/>
    <s v="Yes"/>
    <d v="2023-01-03T00:00:00"/>
    <n v="4"/>
    <x v="1"/>
    <x v="0"/>
  </r>
  <r>
    <n v="154910009"/>
    <x v="4"/>
    <d v="2023-02-08T00:00:00"/>
    <n v="39"/>
    <s v="month"/>
    <s v="Yes"/>
    <d v="2023-02-08T00:00:00"/>
    <n v="5"/>
    <x v="0"/>
    <x v="0"/>
  </r>
  <r>
    <n v="154911693"/>
    <x v="4"/>
    <d v="2023-02-08T00:00:00"/>
    <n v="39"/>
    <s v="month"/>
    <s v="Yes"/>
    <d v="2023-02-08T00:00:00"/>
    <n v="5"/>
    <x v="0"/>
    <x v="0"/>
  </r>
  <r>
    <n v="154894177"/>
    <x v="4"/>
    <d v="2022-12-12T00:00:00"/>
    <n v="39"/>
    <s v="month"/>
    <s v="Yes"/>
    <d v="2022-12-12T00:00:00"/>
    <n v="3"/>
    <x v="1"/>
    <x v="0"/>
  </r>
  <r>
    <n v="154494026"/>
    <x v="4"/>
    <d v="2022-12-12T00:00:00"/>
    <n v="39"/>
    <s v="month"/>
    <s v="Yes"/>
    <d v="2022-12-12T00:00:00"/>
    <n v="3"/>
    <x v="1"/>
    <x v="0"/>
  </r>
  <r>
    <n v="154245189"/>
    <x v="4"/>
    <d v="2022-11-26T00:00:00"/>
    <n v="39"/>
    <s v="month"/>
    <s v="Yes"/>
    <d v="2022-11-26T00:00:00"/>
    <n v="2"/>
    <x v="1"/>
    <x v="0"/>
  </r>
  <r>
    <n v="154604182"/>
    <x v="4"/>
    <d v="2022-10-19T00:00:00"/>
    <n v="39"/>
    <s v="month"/>
    <s v="Yes"/>
    <d v="2022-10-19T00:00:00"/>
    <n v="1"/>
    <x v="1"/>
    <x v="0"/>
  </r>
  <r>
    <n v="154711552"/>
    <x v="4"/>
    <d v="2022-10-05T00:00:00"/>
    <n v="39"/>
    <s v="month"/>
    <s v="Yes"/>
    <d v="2022-10-05T00:00:00"/>
    <n v="1"/>
    <x v="1"/>
    <x v="0"/>
  </r>
  <r>
    <n v="154827564"/>
    <x v="4"/>
    <d v="2022-10-09T00:00:00"/>
    <n v="39"/>
    <s v="month"/>
    <s v="Yes"/>
    <d v="2022-10-09T00:00:00"/>
    <n v="1"/>
    <x v="1"/>
    <x v="0"/>
  </r>
  <r>
    <n v="143581543"/>
    <x v="4"/>
    <d v="2022-10-12T00:00:00"/>
    <n v="39"/>
    <s v="month"/>
    <s v="Yes"/>
    <d v="2022-10-12T00:00:00"/>
    <n v="1"/>
    <x v="1"/>
    <x v="0"/>
  </r>
  <r>
    <n v="154867798"/>
    <x v="4"/>
    <d v="2022-10-05T00:00:00"/>
    <n v="39"/>
    <s v="month"/>
    <s v="Yes"/>
    <d v="2022-10-05T00:00:00"/>
    <n v="1"/>
    <x v="1"/>
    <x v="0"/>
  </r>
  <r>
    <n v="154863996"/>
    <x v="4"/>
    <d v="2022-09-09T00:00:00"/>
    <n v="39"/>
    <s v="month"/>
    <s v="Yes"/>
    <d v="2022-09-09T00:00:00"/>
    <n v="0"/>
    <x v="1"/>
    <x v="1"/>
  </r>
  <r>
    <n v="154923423"/>
    <x v="5"/>
    <m/>
    <n v="39"/>
    <s v="month"/>
    <s v="Yes"/>
    <d v="2023-09-30T00:00:00"/>
    <n v="12"/>
    <x v="0"/>
    <x v="0"/>
  </r>
  <r>
    <n v="134664128"/>
    <x v="5"/>
    <m/>
    <n v="39"/>
    <s v="month"/>
    <s v="Yes"/>
    <d v="2023-09-30T00:00:00"/>
    <n v="12"/>
    <x v="0"/>
    <x v="0"/>
  </r>
  <r>
    <n v="154828806"/>
    <x v="5"/>
    <d v="2022-11-20T00:00:00"/>
    <n v="39"/>
    <s v="month"/>
    <s v="Yes"/>
    <d v="2022-11-20T00:00:00"/>
    <n v="2"/>
    <x v="1"/>
    <x v="0"/>
  </r>
  <r>
    <n v="154934030"/>
    <x v="5"/>
    <d v="2022-11-13T00:00:00"/>
    <n v="39"/>
    <s v="month"/>
    <s v="Yes"/>
    <d v="2022-11-13T00:00:00"/>
    <n v="2"/>
    <x v="1"/>
    <x v="0"/>
  </r>
  <r>
    <n v="153671424"/>
    <x v="5"/>
    <d v="2022-10-13T00:00:00"/>
    <n v="39"/>
    <s v="month"/>
    <s v="Yes"/>
    <d v="2022-10-13T00:00:00"/>
    <n v="1"/>
    <x v="1"/>
    <x v="0"/>
  </r>
  <r>
    <n v="154693818"/>
    <x v="5"/>
    <d v="2022-10-13T00:00:00"/>
    <n v="39"/>
    <s v="month"/>
    <s v="Yes"/>
    <d v="2022-10-13T00:00:00"/>
    <n v="1"/>
    <x v="1"/>
    <x v="0"/>
  </r>
  <r>
    <n v="154110938"/>
    <x v="5"/>
    <d v="2022-09-26T00:00:00"/>
    <n v="39"/>
    <s v="month"/>
    <s v="Yes"/>
    <d v="2022-09-26T00:00:00"/>
    <n v="0"/>
    <x v="1"/>
    <x v="1"/>
  </r>
  <r>
    <n v="154809306"/>
    <x v="5"/>
    <d v="2022-09-28T00:00:00"/>
    <n v="39"/>
    <s v="month"/>
    <s v="Yes"/>
    <d v="2022-09-28T00:00:00"/>
    <n v="0"/>
    <x v="1"/>
    <x v="1"/>
  </r>
  <r>
    <n v="154537244"/>
    <x v="6"/>
    <m/>
    <n v="39"/>
    <s v="month"/>
    <s v="Yes"/>
    <d v="2023-09-30T00:00:00"/>
    <n v="12"/>
    <x v="0"/>
    <x v="0"/>
  </r>
  <r>
    <n v="154163218"/>
    <x v="6"/>
    <m/>
    <n v="39"/>
    <s v="month"/>
    <s v="Yes"/>
    <d v="2023-09-30T00:00:00"/>
    <n v="12"/>
    <x v="0"/>
    <x v="0"/>
  </r>
  <r>
    <n v="129467426"/>
    <x v="6"/>
    <d v="2023-05-25T00:00:00"/>
    <n v="39"/>
    <s v="month"/>
    <s v="Yes"/>
    <d v="2023-05-25T00:00:00"/>
    <n v="8"/>
    <x v="0"/>
    <x v="0"/>
  </r>
  <r>
    <n v="152498330"/>
    <x v="6"/>
    <d v="2023-02-22T00:00:00"/>
    <n v="39"/>
    <s v="month"/>
    <s v="Yes"/>
    <d v="2023-02-22T00:00:00"/>
    <n v="5"/>
    <x v="0"/>
    <x v="0"/>
  </r>
  <r>
    <n v="125335731"/>
    <x v="6"/>
    <d v="2022-09-14T00:00:00"/>
    <n v="39"/>
    <s v="month"/>
    <s v="Yes"/>
    <d v="2022-09-14T00:00:00"/>
    <n v="0"/>
    <x v="1"/>
    <x v="1"/>
  </r>
  <r>
    <n v="155113805"/>
    <x v="7"/>
    <m/>
    <n v="39"/>
    <s v="month"/>
    <s v="Yes"/>
    <d v="2023-09-30T00:00:00"/>
    <n v="12"/>
    <x v="0"/>
    <x v="0"/>
  </r>
  <r>
    <n v="148864769"/>
    <x v="7"/>
    <d v="2022-10-28T00:00:00"/>
    <n v="39"/>
    <s v="month"/>
    <s v="Yes"/>
    <d v="2022-10-28T00:00:00"/>
    <n v="1"/>
    <x v="1"/>
    <x v="0"/>
  </r>
  <r>
    <n v="123850281"/>
    <x v="7"/>
    <d v="2022-10-15T00:00:00"/>
    <n v="39"/>
    <s v="month"/>
    <s v="Yes"/>
    <d v="2022-10-15T00:00:00"/>
    <n v="1"/>
    <x v="1"/>
    <x v="0"/>
  </r>
  <r>
    <n v="155167073"/>
    <x v="7"/>
    <d v="2022-10-06T00:00:00"/>
    <n v="39"/>
    <s v="month"/>
    <s v="Yes"/>
    <d v="2022-10-06T00:00:00"/>
    <n v="1"/>
    <x v="1"/>
    <x v="0"/>
  </r>
  <r>
    <n v="153684891"/>
    <x v="7"/>
    <d v="2022-09-09T00:00:00"/>
    <n v="39"/>
    <s v="month"/>
    <s v="Yes"/>
    <d v="2022-09-09T00:00:00"/>
    <n v="0"/>
    <x v="1"/>
    <x v="1"/>
  </r>
  <r>
    <n v="131277340"/>
    <x v="8"/>
    <d v="2023-03-01T00:00:00"/>
    <n v="39"/>
    <s v="month"/>
    <s v="Yes"/>
    <d v="2023-03-01T00:00:00"/>
    <n v="6"/>
    <x v="0"/>
    <x v="0"/>
  </r>
  <r>
    <n v="152027172"/>
    <x v="8"/>
    <d v="2022-12-02T00:00:00"/>
    <n v="39"/>
    <s v="month"/>
    <s v="Yes"/>
    <d v="2022-12-02T00:00:00"/>
    <n v="3"/>
    <x v="1"/>
    <x v="0"/>
  </r>
  <r>
    <n v="155212612"/>
    <x v="8"/>
    <d v="2022-11-03T00:00:00"/>
    <n v="39"/>
    <s v="month"/>
    <s v="Yes"/>
    <d v="2022-11-03T00:00:00"/>
    <n v="2"/>
    <x v="1"/>
    <x v="0"/>
  </r>
  <r>
    <n v="155188498"/>
    <x v="8"/>
    <d v="2022-10-09T00:00:00"/>
    <n v="39"/>
    <s v="month"/>
    <s v="Yes"/>
    <d v="2022-10-09T00:00:00"/>
    <n v="1"/>
    <x v="1"/>
    <x v="0"/>
  </r>
  <r>
    <n v="155145336"/>
    <x v="8"/>
    <d v="2022-10-03T00:00:00"/>
    <n v="39"/>
    <s v="month"/>
    <s v="Yes"/>
    <d v="2022-10-03T00:00:00"/>
    <n v="1"/>
    <x v="1"/>
    <x v="0"/>
  </r>
  <r>
    <n v="152506474"/>
    <x v="8"/>
    <d v="2022-10-16T00:00:00"/>
    <n v="39"/>
    <s v="month"/>
    <s v="Yes"/>
    <d v="2022-10-16T00:00:00"/>
    <n v="1"/>
    <x v="1"/>
    <x v="0"/>
  </r>
  <r>
    <n v="118029150"/>
    <x v="8"/>
    <d v="2023-08-16T00:00:00"/>
    <n v="39"/>
    <s v="month"/>
    <s v="Yes"/>
    <d v="2023-08-16T00:00:00"/>
    <n v="11"/>
    <x v="0"/>
    <x v="0"/>
  </r>
  <r>
    <n v="155245796"/>
    <x v="9"/>
    <m/>
    <n v="39"/>
    <s v="month"/>
    <s v="Yes"/>
    <d v="2023-09-30T00:00:00"/>
    <n v="12"/>
    <x v="0"/>
    <x v="0"/>
  </r>
  <r>
    <n v="155326259"/>
    <x v="9"/>
    <d v="2023-02-21T00:00:00"/>
    <n v="39"/>
    <s v="month"/>
    <s v="Yes"/>
    <d v="2023-02-21T00:00:00"/>
    <n v="5"/>
    <x v="0"/>
    <x v="0"/>
  </r>
  <r>
    <n v="155311918"/>
    <x v="9"/>
    <d v="2022-12-12T00:00:00"/>
    <n v="39"/>
    <s v="month"/>
    <s v="Yes"/>
    <d v="2022-12-12T00:00:00"/>
    <n v="3"/>
    <x v="1"/>
    <x v="0"/>
  </r>
  <r>
    <n v="154391473"/>
    <x v="9"/>
    <d v="2022-10-12T00:00:00"/>
    <n v="39"/>
    <s v="month"/>
    <s v="Yes"/>
    <d v="2022-10-12T00:00:00"/>
    <n v="1"/>
    <x v="1"/>
    <x v="0"/>
  </r>
  <r>
    <n v="155283495"/>
    <x v="9"/>
    <d v="2022-10-08T00:00:00"/>
    <n v="39"/>
    <s v="month"/>
    <s v="Yes"/>
    <d v="2022-10-08T00:00:00"/>
    <n v="1"/>
    <x v="1"/>
    <x v="0"/>
  </r>
  <r>
    <n v="154597373"/>
    <x v="9"/>
    <d v="2022-10-06T00:00:00"/>
    <n v="39"/>
    <s v="month"/>
    <s v="Yes"/>
    <d v="2022-10-06T00:00:00"/>
    <n v="1"/>
    <x v="1"/>
    <x v="0"/>
  </r>
  <r>
    <n v="155370310"/>
    <x v="10"/>
    <d v="2023-05-16T00:00:00"/>
    <n v="39"/>
    <s v="month"/>
    <s v="Yes"/>
    <d v="2023-05-16T00:00:00"/>
    <n v="8"/>
    <x v="0"/>
    <x v="0"/>
  </r>
  <r>
    <n v="155289120"/>
    <x v="10"/>
    <d v="2023-02-15T00:00:00"/>
    <n v="39"/>
    <s v="month"/>
    <s v="Yes"/>
    <d v="2023-02-15T00:00:00"/>
    <n v="5"/>
    <x v="0"/>
    <x v="0"/>
  </r>
  <r>
    <n v="155351408"/>
    <x v="10"/>
    <d v="2022-12-11T00:00:00"/>
    <n v="39"/>
    <s v="month"/>
    <s v="Yes"/>
    <d v="2022-12-11T00:00:00"/>
    <n v="3"/>
    <x v="1"/>
    <x v="0"/>
  </r>
  <r>
    <n v="155336773"/>
    <x v="10"/>
    <d v="2022-12-24T00:00:00"/>
    <n v="39"/>
    <s v="month"/>
    <s v="Yes"/>
    <d v="2022-12-24T00:00:00"/>
    <n v="3"/>
    <x v="1"/>
    <x v="0"/>
  </r>
  <r>
    <n v="155017581"/>
    <x v="10"/>
    <d v="2022-11-02T00:00:00"/>
    <n v="39"/>
    <s v="month"/>
    <s v="Yes"/>
    <d v="2022-11-02T00:00:00"/>
    <n v="2"/>
    <x v="1"/>
    <x v="0"/>
  </r>
  <r>
    <n v="154401329"/>
    <x v="10"/>
    <d v="2022-10-15T00:00:00"/>
    <n v="39"/>
    <s v="month"/>
    <s v="Yes"/>
    <d v="2022-10-15T00:00:00"/>
    <n v="1"/>
    <x v="1"/>
    <x v="0"/>
  </r>
  <r>
    <n v="155334828"/>
    <x v="10"/>
    <d v="2022-10-11T00:00:00"/>
    <n v="39"/>
    <s v="month"/>
    <s v="Yes"/>
    <d v="2022-10-11T00:00:00"/>
    <n v="1"/>
    <x v="1"/>
    <x v="0"/>
  </r>
  <r>
    <n v="154815431"/>
    <x v="10"/>
    <d v="2022-09-11T00:00:00"/>
    <n v="39"/>
    <s v="month"/>
    <s v="Yes"/>
    <d v="2022-09-11T00:00:00"/>
    <n v="0"/>
    <x v="1"/>
    <x v="1"/>
  </r>
  <r>
    <n v="155343938"/>
    <x v="10"/>
    <d v="2023-08-18T00:00:00"/>
    <n v="39"/>
    <s v="month"/>
    <s v="Yes"/>
    <d v="2023-08-18T00:00:00"/>
    <n v="11"/>
    <x v="0"/>
    <x v="0"/>
  </r>
  <r>
    <n v="152436458"/>
    <x v="11"/>
    <d v="2022-09-12T00:00:00"/>
    <n v="39"/>
    <s v="month"/>
    <s v="Yes"/>
    <d v="2022-09-12T00:00:00"/>
    <n v="0"/>
    <x v="1"/>
    <x v="1"/>
  </r>
  <r>
    <n v="154689541"/>
    <x v="11"/>
    <d v="2022-09-13T00:00:00"/>
    <n v="39"/>
    <s v="month"/>
    <s v="No"/>
    <d v="2022-09-13T00:00:00"/>
    <n v="0"/>
    <x v="1"/>
    <x v="1"/>
  </r>
  <r>
    <n v="155425695"/>
    <x v="11"/>
    <d v="2022-10-19T00:00:00"/>
    <n v="39"/>
    <s v="month"/>
    <s v="Yes"/>
    <d v="2022-10-19T00:00:00"/>
    <n v="1"/>
    <x v="1"/>
    <x v="0"/>
  </r>
  <r>
    <n v="152698255"/>
    <x v="11"/>
    <d v="2022-10-12T00:00:00"/>
    <n v="39"/>
    <s v="month"/>
    <s v="Yes"/>
    <d v="2022-10-12T00:00:00"/>
    <n v="1"/>
    <x v="1"/>
    <x v="0"/>
  </r>
  <r>
    <n v="155406449"/>
    <x v="12"/>
    <d v="2023-08-27T00:00:00"/>
    <n v="39"/>
    <s v="month"/>
    <s v="Yes"/>
    <d v="2023-08-27T00:00:00"/>
    <n v="11"/>
    <x v="0"/>
    <x v="0"/>
  </r>
  <r>
    <n v="137338480"/>
    <x v="12"/>
    <d v="2022-09-14T00:00:00"/>
    <n v="39"/>
    <s v="month"/>
    <s v="Yes"/>
    <d v="2022-09-14T00:00:00"/>
    <n v="0"/>
    <x v="1"/>
    <x v="1"/>
  </r>
  <r>
    <n v="155508519"/>
    <x v="12"/>
    <d v="2022-10-23T00:00:00"/>
    <n v="39"/>
    <s v="month"/>
    <s v="Yes"/>
    <d v="2022-10-23T00:00:00"/>
    <n v="1"/>
    <x v="1"/>
    <x v="0"/>
  </r>
  <r>
    <n v="155463846"/>
    <x v="12"/>
    <d v="2022-10-03T00:00:00"/>
    <n v="39"/>
    <s v="month"/>
    <s v="Yes"/>
    <d v="2022-10-03T00:00:00"/>
    <n v="1"/>
    <x v="1"/>
    <x v="0"/>
  </r>
  <r>
    <n v="122335220"/>
    <x v="12"/>
    <d v="2022-09-17T00:00:00"/>
    <n v="39"/>
    <s v="month"/>
    <s v="Yes"/>
    <d v="2022-09-17T00:00:00"/>
    <n v="0"/>
    <x v="1"/>
    <x v="1"/>
  </r>
  <r>
    <n v="155460904"/>
    <x v="12"/>
    <d v="2023-06-14T00:00:00"/>
    <n v="39"/>
    <s v="month"/>
    <s v="Yes"/>
    <d v="2023-06-14T00:00:00"/>
    <n v="9"/>
    <x v="0"/>
    <x v="0"/>
  </r>
  <r>
    <n v="155534484"/>
    <x v="13"/>
    <d v="2022-09-15T00:00:00"/>
    <n v="39"/>
    <s v="month"/>
    <s v="No"/>
    <d v="2022-09-15T00:00:00"/>
    <n v="0"/>
    <x v="1"/>
    <x v="1"/>
  </r>
  <r>
    <n v="155465332"/>
    <x v="13"/>
    <d v="2023-03-06T00:00:00"/>
    <n v="39"/>
    <s v="month"/>
    <s v="Yes"/>
    <d v="2023-03-06T00:00:00"/>
    <n v="6"/>
    <x v="0"/>
    <x v="0"/>
  </r>
  <r>
    <n v="155562517"/>
    <x v="13"/>
    <d v="2022-12-07T00:00:00"/>
    <n v="39"/>
    <s v="month"/>
    <s v="Yes"/>
    <d v="2022-12-07T00:00:00"/>
    <n v="3"/>
    <x v="1"/>
    <x v="0"/>
  </r>
  <r>
    <n v="153577096"/>
    <x v="13"/>
    <d v="2022-10-21T00:00:00"/>
    <n v="39"/>
    <s v="month"/>
    <s v="Yes"/>
    <d v="2022-10-21T00:00:00"/>
    <n v="1"/>
    <x v="1"/>
    <x v="0"/>
  </r>
  <r>
    <n v="154937101"/>
    <x v="14"/>
    <m/>
    <n v="39"/>
    <s v="month"/>
    <s v="Yes"/>
    <d v="2023-09-30T00:00:00"/>
    <n v="12"/>
    <x v="0"/>
    <x v="0"/>
  </r>
  <r>
    <n v="144968444"/>
    <x v="14"/>
    <d v="2022-09-15T00:00:00"/>
    <n v="39"/>
    <s v="month"/>
    <s v="No"/>
    <d v="2022-09-15T00:00:00"/>
    <n v="0"/>
    <x v="1"/>
    <x v="1"/>
  </r>
  <r>
    <n v="155270889"/>
    <x v="14"/>
    <d v="2023-03-06T00:00:00"/>
    <n v="39"/>
    <s v="month"/>
    <s v="Yes"/>
    <d v="2023-03-06T00:00:00"/>
    <n v="6"/>
    <x v="0"/>
    <x v="0"/>
  </r>
  <r>
    <n v="155601465"/>
    <x v="14"/>
    <d v="2023-06-01T00:00:00"/>
    <n v="39"/>
    <s v="month"/>
    <s v="Yes"/>
    <d v="2023-06-01T00:00:00"/>
    <n v="9"/>
    <x v="0"/>
    <x v="0"/>
  </r>
  <r>
    <n v="154045370"/>
    <x v="14"/>
    <d v="2022-11-28T00:00:00"/>
    <n v="39"/>
    <s v="month"/>
    <s v="Yes"/>
    <d v="2022-11-28T00:00:00"/>
    <n v="2"/>
    <x v="1"/>
    <x v="0"/>
  </r>
  <r>
    <n v="155612742"/>
    <x v="14"/>
    <d v="2022-11-08T00:00:00"/>
    <n v="39"/>
    <s v="month"/>
    <s v="Yes"/>
    <d v="2022-11-08T00:00:00"/>
    <n v="2"/>
    <x v="1"/>
    <x v="0"/>
  </r>
  <r>
    <n v="155621162"/>
    <x v="14"/>
    <d v="2022-11-14T00:00:00"/>
    <n v="39"/>
    <s v="month"/>
    <s v="Yes"/>
    <d v="2022-11-14T00:00:00"/>
    <n v="2"/>
    <x v="1"/>
    <x v="0"/>
  </r>
  <r>
    <n v="154904040"/>
    <x v="14"/>
    <d v="2022-10-22T00:00:00"/>
    <n v="39"/>
    <s v="month"/>
    <s v="Yes"/>
    <d v="2022-10-22T00:00:00"/>
    <n v="1"/>
    <x v="1"/>
    <x v="0"/>
  </r>
  <r>
    <n v="150810434"/>
    <x v="14"/>
    <d v="2022-10-12T00:00:00"/>
    <n v="39"/>
    <s v="month"/>
    <s v="Yes"/>
    <d v="2022-10-12T00:00:00"/>
    <n v="1"/>
    <x v="1"/>
    <x v="0"/>
  </r>
  <r>
    <n v="150825802"/>
    <x v="14"/>
    <d v="2022-10-13T00:00:00"/>
    <n v="39"/>
    <s v="month"/>
    <s v="Yes"/>
    <d v="2022-10-13T00:00:00"/>
    <n v="1"/>
    <x v="1"/>
    <x v="0"/>
  </r>
  <r>
    <n v="151907203"/>
    <x v="14"/>
    <d v="2022-10-11T00:00:00"/>
    <n v="39"/>
    <s v="month"/>
    <s v="Yes"/>
    <d v="2022-10-11T00:00:00"/>
    <n v="1"/>
    <x v="1"/>
    <x v="0"/>
  </r>
  <r>
    <n v="149595273"/>
    <x v="14"/>
    <d v="2022-09-29T00:00:00"/>
    <n v="39"/>
    <s v="month"/>
    <s v="Yes"/>
    <d v="2022-09-29T00:00:00"/>
    <n v="0"/>
    <x v="1"/>
    <x v="1"/>
  </r>
  <r>
    <n v="155596960"/>
    <x v="14"/>
    <d v="2022-09-23T00:00:00"/>
    <n v="39"/>
    <s v="month"/>
    <s v="Yes"/>
    <d v="2022-09-23T00:00:00"/>
    <n v="0"/>
    <x v="1"/>
    <x v="1"/>
  </r>
  <r>
    <n v="155192606"/>
    <x v="15"/>
    <m/>
    <n v="39"/>
    <s v="month"/>
    <s v="Yes"/>
    <d v="2023-09-30T00:00:00"/>
    <n v="12"/>
    <x v="0"/>
    <x v="0"/>
  </r>
  <r>
    <n v="129111644"/>
    <x v="15"/>
    <d v="2023-03-23T00:00:00"/>
    <n v="39"/>
    <s v="month"/>
    <s v="Yes"/>
    <d v="2023-03-23T00:00:00"/>
    <n v="6"/>
    <x v="0"/>
    <x v="0"/>
  </r>
  <r>
    <n v="155426674"/>
    <x v="15"/>
    <d v="2023-04-10T00:00:00"/>
    <n v="39"/>
    <s v="month"/>
    <s v="Yes"/>
    <d v="2023-04-10T00:00:00"/>
    <n v="7"/>
    <x v="0"/>
    <x v="0"/>
  </r>
  <r>
    <n v="154389303"/>
    <x v="15"/>
    <d v="2023-01-05T00:00:00"/>
    <n v="39"/>
    <s v="month"/>
    <s v="Yes"/>
    <d v="2023-01-05T00:00:00"/>
    <n v="4"/>
    <x v="1"/>
    <x v="0"/>
  </r>
  <r>
    <n v="155671632"/>
    <x v="15"/>
    <d v="2022-12-22T00:00:00"/>
    <n v="39"/>
    <s v="month"/>
    <s v="Yes"/>
    <d v="2022-12-22T00:00:00"/>
    <n v="3"/>
    <x v="1"/>
    <x v="0"/>
  </r>
  <r>
    <n v="155663101"/>
    <x v="15"/>
    <d v="2022-10-04T00:00:00"/>
    <n v="39"/>
    <s v="month"/>
    <s v="Yes"/>
    <d v="2022-10-04T00:00:00"/>
    <n v="1"/>
    <x v="1"/>
    <x v="0"/>
  </r>
  <r>
    <n v="152084572"/>
    <x v="16"/>
    <m/>
    <n v="39"/>
    <s v="month"/>
    <s v="Yes"/>
    <d v="2023-09-30T00:00:00"/>
    <n v="12"/>
    <x v="0"/>
    <x v="0"/>
  </r>
  <r>
    <n v="155783230"/>
    <x v="16"/>
    <d v="2023-05-12T00:00:00"/>
    <n v="39"/>
    <s v="month"/>
    <s v="Yes"/>
    <d v="2023-05-12T00:00:00"/>
    <n v="8"/>
    <x v="0"/>
    <x v="0"/>
  </r>
  <r>
    <n v="155714315"/>
    <x v="16"/>
    <d v="2023-01-14T00:00:00"/>
    <n v="39"/>
    <s v="month"/>
    <s v="Yes"/>
    <d v="2023-01-14T00:00:00"/>
    <n v="4"/>
    <x v="1"/>
    <x v="0"/>
  </r>
  <r>
    <n v="155774393"/>
    <x v="16"/>
    <d v="2022-10-18T00:00:00"/>
    <n v="39"/>
    <s v="month"/>
    <s v="Yes"/>
    <d v="2022-10-18T00:00:00"/>
    <n v="1"/>
    <x v="1"/>
    <x v="0"/>
  </r>
  <r>
    <n v="152901090"/>
    <x v="17"/>
    <d v="2023-01-25T00:00:00"/>
    <n v="39"/>
    <s v="month"/>
    <s v="Yes"/>
    <d v="2023-01-25T00:00:00"/>
    <n v="4"/>
    <x v="1"/>
    <x v="0"/>
  </r>
  <r>
    <n v="147029752"/>
    <x v="17"/>
    <d v="2022-11-21T00:00:00"/>
    <n v="39"/>
    <s v="month"/>
    <s v="Yes"/>
    <d v="2022-11-21T00:00:00"/>
    <n v="2"/>
    <x v="1"/>
    <x v="0"/>
  </r>
  <r>
    <n v="155809043"/>
    <x v="17"/>
    <d v="2022-12-08T00:00:00"/>
    <n v="39"/>
    <s v="month"/>
    <s v="Yes"/>
    <d v="2022-12-08T00:00:00"/>
    <n v="3"/>
    <x v="1"/>
    <x v="0"/>
  </r>
  <r>
    <n v="155180991"/>
    <x v="17"/>
    <d v="2022-11-12T00:00:00"/>
    <n v="39"/>
    <s v="month"/>
    <s v="Yes"/>
    <d v="2022-11-12T00:00:00"/>
    <n v="2"/>
    <x v="1"/>
    <x v="0"/>
  </r>
  <r>
    <n v="155713732"/>
    <x v="17"/>
    <d v="2022-09-30T00:00:00"/>
    <n v="39"/>
    <s v="month"/>
    <s v="Yes"/>
    <d v="2022-09-30T00:00:00"/>
    <n v="0"/>
    <x v="1"/>
    <x v="1"/>
  </r>
  <r>
    <n v="155204060"/>
    <x v="17"/>
    <d v="2022-10-17T00:00:00"/>
    <n v="39"/>
    <s v="month"/>
    <s v="Yes"/>
    <d v="2022-10-17T00:00:00"/>
    <n v="1"/>
    <x v="1"/>
    <x v="0"/>
  </r>
  <r>
    <n v="136817161"/>
    <x v="18"/>
    <d v="2022-10-17T00:00:00"/>
    <n v="39"/>
    <s v="month"/>
    <s v="No"/>
    <d v="2022-10-17T00:00:00"/>
    <n v="1"/>
    <x v="1"/>
    <x v="0"/>
  </r>
  <r>
    <n v="126212861"/>
    <x v="18"/>
    <d v="2022-09-19T00:00:00"/>
    <n v="39"/>
    <s v="month"/>
    <s v="Yes"/>
    <d v="2022-09-19T00:00:00"/>
    <n v="0"/>
    <x v="1"/>
    <x v="1"/>
  </r>
  <r>
    <n v="155265877"/>
    <x v="18"/>
    <d v="2023-02-10T00:00:00"/>
    <n v="39"/>
    <s v="month"/>
    <s v="Yes"/>
    <d v="2023-02-10T00:00:00"/>
    <n v="5"/>
    <x v="0"/>
    <x v="0"/>
  </r>
  <r>
    <n v="155916753"/>
    <x v="18"/>
    <d v="2023-02-19T00:00:00"/>
    <n v="39"/>
    <s v="month"/>
    <s v="Yes"/>
    <d v="2023-02-19T00:00:00"/>
    <n v="5"/>
    <x v="0"/>
    <x v="0"/>
  </r>
  <r>
    <n v="155927984"/>
    <x v="18"/>
    <d v="2022-12-17T00:00:00"/>
    <n v="39"/>
    <s v="month"/>
    <s v="Yes"/>
    <d v="2022-12-17T00:00:00"/>
    <n v="3"/>
    <x v="1"/>
    <x v="0"/>
  </r>
  <r>
    <n v="155876104"/>
    <x v="18"/>
    <d v="2022-12-14T00:00:00"/>
    <n v="39"/>
    <s v="month"/>
    <s v="Yes"/>
    <d v="2022-12-14T00:00:00"/>
    <n v="3"/>
    <x v="1"/>
    <x v="0"/>
  </r>
  <r>
    <n v="155733164"/>
    <x v="18"/>
    <d v="2022-09-19T00:00:00"/>
    <n v="39"/>
    <s v="month"/>
    <s v="Yes"/>
    <d v="2022-09-19T00:00:00"/>
    <n v="0"/>
    <x v="1"/>
    <x v="1"/>
  </r>
  <r>
    <n v="153832728"/>
    <x v="18"/>
    <d v="2022-10-18T00:00:00"/>
    <n v="39"/>
    <s v="month"/>
    <s v="Yes"/>
    <d v="2022-10-18T00:00:00"/>
    <n v="1"/>
    <x v="1"/>
    <x v="0"/>
  </r>
  <r>
    <n v="155876188"/>
    <x v="18"/>
    <d v="2022-10-20T00:00:00"/>
    <n v="39"/>
    <s v="month"/>
    <s v="Yes"/>
    <d v="2022-10-20T00:00:00"/>
    <n v="1"/>
    <x v="1"/>
    <x v="0"/>
  </r>
  <r>
    <n v="150687940"/>
    <x v="18"/>
    <d v="2022-10-18T00:00:00"/>
    <n v="39"/>
    <s v="month"/>
    <s v="Yes"/>
    <d v="2022-10-18T00:00:00"/>
    <n v="1"/>
    <x v="1"/>
    <x v="0"/>
  </r>
  <r>
    <n v="155967446"/>
    <x v="19"/>
    <m/>
    <n v="39"/>
    <s v="month"/>
    <s v="Yes"/>
    <d v="2023-09-30T00:00:00"/>
    <n v="12"/>
    <x v="0"/>
    <x v="0"/>
  </r>
  <r>
    <n v="155687378"/>
    <x v="19"/>
    <d v="2023-03-27T00:00:00"/>
    <n v="39"/>
    <s v="month"/>
    <s v="Yes"/>
    <d v="2023-03-27T00:00:00"/>
    <n v="6"/>
    <x v="0"/>
    <x v="0"/>
  </r>
  <r>
    <n v="156020667"/>
    <x v="19"/>
    <d v="2023-05-09T00:00:00"/>
    <n v="39"/>
    <s v="month"/>
    <s v="Yes"/>
    <d v="2023-05-09T00:00:00"/>
    <n v="8"/>
    <x v="0"/>
    <x v="0"/>
  </r>
  <r>
    <n v="155869412"/>
    <x v="19"/>
    <d v="2022-12-21T00:00:00"/>
    <n v="39"/>
    <s v="month"/>
    <s v="Yes"/>
    <d v="2022-12-21T00:00:00"/>
    <n v="3"/>
    <x v="1"/>
    <x v="0"/>
  </r>
  <r>
    <n v="156042204"/>
    <x v="19"/>
    <d v="2022-11-08T00:00:00"/>
    <n v="39"/>
    <s v="month"/>
    <s v="Yes"/>
    <d v="2022-11-08T00:00:00"/>
    <n v="2"/>
    <x v="1"/>
    <x v="0"/>
  </r>
  <r>
    <n v="153568990"/>
    <x v="19"/>
    <d v="2022-09-30T00:00:00"/>
    <n v="39"/>
    <s v="month"/>
    <s v="Yes"/>
    <d v="2022-09-30T00:00:00"/>
    <n v="0"/>
    <x v="1"/>
    <x v="1"/>
  </r>
  <r>
    <n v="155327111"/>
    <x v="19"/>
    <d v="2022-10-31T00:00:00"/>
    <n v="39"/>
    <s v="month"/>
    <s v="Yes"/>
    <d v="2022-10-31T00:00:00"/>
    <n v="1"/>
    <x v="1"/>
    <x v="0"/>
  </r>
  <r>
    <n v="155270521"/>
    <x v="19"/>
    <d v="2023-08-08T00:00:00"/>
    <n v="39"/>
    <s v="month"/>
    <s v="Yes"/>
    <d v="2023-08-08T00:00:00"/>
    <n v="11"/>
    <x v="0"/>
    <x v="0"/>
  </r>
  <r>
    <n v="155991618"/>
    <x v="20"/>
    <d v="2023-06-28T00:00:00"/>
    <n v="39"/>
    <s v="month"/>
    <s v="Yes"/>
    <d v="2023-06-28T00:00:00"/>
    <n v="9"/>
    <x v="0"/>
    <x v="0"/>
  </r>
  <r>
    <n v="156045144"/>
    <x v="20"/>
    <d v="2022-12-06T00:00:00"/>
    <n v="39"/>
    <s v="month"/>
    <s v="Yes"/>
    <d v="2022-12-06T00:00:00"/>
    <n v="3"/>
    <x v="1"/>
    <x v="0"/>
  </r>
  <r>
    <n v="155439932"/>
    <x v="20"/>
    <d v="2022-11-14T00:00:00"/>
    <n v="39"/>
    <s v="month"/>
    <s v="Yes"/>
    <d v="2022-11-14T00:00:00"/>
    <n v="2"/>
    <x v="1"/>
    <x v="0"/>
  </r>
  <r>
    <n v="152674430"/>
    <x v="20"/>
    <d v="2022-10-03T00:00:00"/>
    <n v="39"/>
    <s v="month"/>
    <s v="Yes"/>
    <d v="2022-10-03T00:00:00"/>
    <n v="1"/>
    <x v="1"/>
    <x v="0"/>
  </r>
  <r>
    <n v="156135106"/>
    <x v="21"/>
    <m/>
    <n v="39"/>
    <s v="month"/>
    <s v="Yes"/>
    <d v="2023-09-30T00:00:00"/>
    <n v="12"/>
    <x v="0"/>
    <x v="0"/>
  </r>
  <r>
    <n v="156185490"/>
    <x v="21"/>
    <d v="2023-05-02T00:00:00"/>
    <n v="39"/>
    <s v="month"/>
    <s v="Yes"/>
    <d v="2023-05-02T00:00:00"/>
    <n v="8"/>
    <x v="0"/>
    <x v="0"/>
  </r>
  <r>
    <n v="156180312"/>
    <x v="21"/>
    <d v="2022-11-15T00:00:00"/>
    <n v="39"/>
    <s v="month"/>
    <s v="Yes"/>
    <d v="2022-11-15T00:00:00"/>
    <n v="2"/>
    <x v="1"/>
    <x v="0"/>
  </r>
  <r>
    <n v="151263484"/>
    <x v="21"/>
    <d v="2022-10-29T00:00:00"/>
    <n v="39"/>
    <s v="month"/>
    <s v="Yes"/>
    <d v="2022-10-29T00:00:00"/>
    <n v="1"/>
    <x v="1"/>
    <x v="0"/>
  </r>
  <r>
    <n v="156008989"/>
    <x v="21"/>
    <d v="2022-10-21T00:00:00"/>
    <n v="39"/>
    <s v="month"/>
    <s v="Yes"/>
    <d v="2022-10-21T00:00:00"/>
    <n v="1"/>
    <x v="1"/>
    <x v="0"/>
  </r>
  <r>
    <n v="147687218"/>
    <x v="21"/>
    <d v="2022-10-29T00:00:00"/>
    <n v="39"/>
    <s v="month"/>
    <s v="Yes"/>
    <d v="2022-10-29T00:00:00"/>
    <n v="1"/>
    <x v="1"/>
    <x v="0"/>
  </r>
  <r>
    <n v="156235650"/>
    <x v="22"/>
    <m/>
    <n v="39"/>
    <s v="month"/>
    <s v="Yes"/>
    <d v="2023-09-30T00:00:00"/>
    <n v="12"/>
    <x v="0"/>
    <x v="0"/>
  </r>
  <r>
    <n v="131128612"/>
    <x v="22"/>
    <d v="2023-01-16T00:00:00"/>
    <n v="39"/>
    <s v="month"/>
    <s v="Yes"/>
    <d v="2023-01-16T00:00:00"/>
    <n v="4"/>
    <x v="1"/>
    <x v="0"/>
  </r>
  <r>
    <n v="156198840"/>
    <x v="22"/>
    <d v="2023-01-21T00:00:00"/>
    <n v="39"/>
    <s v="month"/>
    <s v="Yes"/>
    <d v="2023-01-21T00:00:00"/>
    <n v="4"/>
    <x v="1"/>
    <x v="0"/>
  </r>
  <r>
    <n v="144166296"/>
    <x v="22"/>
    <d v="2022-10-19T00:00:00"/>
    <n v="39"/>
    <s v="month"/>
    <s v="Yes"/>
    <d v="2022-10-19T00:00:00"/>
    <n v="1"/>
    <x v="1"/>
    <x v="0"/>
  </r>
  <r>
    <n v="136108848"/>
    <x v="22"/>
    <d v="2022-11-30T00:00:00"/>
    <n v="39"/>
    <s v="month"/>
    <s v="Yes"/>
    <d v="2022-11-30T00:00:00"/>
    <n v="2"/>
    <x v="1"/>
    <x v="0"/>
  </r>
  <r>
    <n v="156225482"/>
    <x v="22"/>
    <d v="2022-10-14T00:00:00"/>
    <n v="39"/>
    <s v="month"/>
    <s v="Yes"/>
    <d v="2022-10-14T00:00:00"/>
    <n v="1"/>
    <x v="1"/>
    <x v="0"/>
  </r>
  <r>
    <n v="156209360"/>
    <x v="22"/>
    <d v="2022-10-30T00:00:00"/>
    <n v="39"/>
    <s v="month"/>
    <s v="Yes"/>
    <d v="2022-10-30T00:00:00"/>
    <n v="1"/>
    <x v="1"/>
    <x v="0"/>
  </r>
  <r>
    <n v="153492199"/>
    <x v="23"/>
    <d v="2022-12-01T00:00:00"/>
    <n v="39"/>
    <s v="month"/>
    <s v="Yes"/>
    <d v="2022-12-01T00:00:00"/>
    <n v="3"/>
    <x v="1"/>
    <x v="0"/>
  </r>
  <r>
    <n v="156127439"/>
    <x v="23"/>
    <d v="2022-11-01T00:00:00"/>
    <n v="39"/>
    <s v="month"/>
    <s v="Yes"/>
    <d v="2022-11-01T00:00:00"/>
    <n v="2"/>
    <x v="1"/>
    <x v="0"/>
  </r>
  <r>
    <n v="156197748"/>
    <x v="23"/>
    <d v="2022-10-26T00:00:00"/>
    <n v="39"/>
    <s v="month"/>
    <s v="Yes"/>
    <d v="2022-10-26T00:00:00"/>
    <n v="1"/>
    <x v="1"/>
    <x v="0"/>
  </r>
  <r>
    <n v="156292980"/>
    <x v="24"/>
    <m/>
    <n v="39"/>
    <s v="month"/>
    <s v="Yes"/>
    <d v="2023-09-30T00:00:00"/>
    <n v="12"/>
    <x v="0"/>
    <x v="0"/>
  </r>
  <r>
    <n v="129284681"/>
    <x v="24"/>
    <d v="2022-11-01T00:00:00"/>
    <n v="39"/>
    <s v="month"/>
    <s v="Yes"/>
    <d v="2022-11-01T00:00:00"/>
    <n v="2"/>
    <x v="1"/>
    <x v="0"/>
  </r>
  <r>
    <n v="156249750"/>
    <x v="24"/>
    <d v="2022-11-02T00:00:00"/>
    <n v="39"/>
    <s v="month"/>
    <s v="Yes"/>
    <d v="2022-11-02T00:00:00"/>
    <n v="2"/>
    <x v="1"/>
    <x v="0"/>
  </r>
  <r>
    <n v="155143974"/>
    <x v="24"/>
    <d v="2022-11-18T00:00:00"/>
    <n v="39"/>
    <s v="month"/>
    <s v="Yes"/>
    <d v="2022-11-18T00:00:00"/>
    <n v="2"/>
    <x v="1"/>
    <x v="0"/>
  </r>
  <r>
    <n v="151354965"/>
    <x v="24"/>
    <d v="2022-10-29T00:00:00"/>
    <n v="39"/>
    <s v="month"/>
    <s v="Yes"/>
    <d v="2022-10-29T00:00:00"/>
    <n v="1"/>
    <x v="1"/>
    <x v="0"/>
  </r>
  <r>
    <n v="156178486"/>
    <x v="24"/>
    <d v="2022-10-24T00:00:00"/>
    <n v="39"/>
    <s v="month"/>
    <s v="Yes"/>
    <d v="2022-10-24T00:00:00"/>
    <n v="1"/>
    <x v="1"/>
    <x v="0"/>
  </r>
  <r>
    <n v="132314522"/>
    <x v="25"/>
    <d v="2022-12-04T00:00:00"/>
    <n v="39"/>
    <s v="month"/>
    <s v="Yes"/>
    <d v="2022-12-04T00:00:00"/>
    <n v="3"/>
    <x v="1"/>
    <x v="0"/>
  </r>
  <r>
    <n v="152505897"/>
    <x v="25"/>
    <d v="2023-04-07T00:00:00"/>
    <n v="39"/>
    <s v="month"/>
    <s v="Yes"/>
    <d v="2023-04-07T00:00:00"/>
    <n v="7"/>
    <x v="0"/>
    <x v="0"/>
  </r>
  <r>
    <n v="151086770"/>
    <x v="25"/>
    <d v="2023-01-23T00:00:00"/>
    <n v="39"/>
    <s v="month"/>
    <s v="Yes"/>
    <d v="2023-01-23T00:00:00"/>
    <n v="4"/>
    <x v="1"/>
    <x v="0"/>
  </r>
  <r>
    <n v="148713821"/>
    <x v="25"/>
    <d v="2023-02-10T00:00:00"/>
    <n v="39"/>
    <s v="month"/>
    <s v="Yes"/>
    <d v="2023-02-10T00:00:00"/>
    <n v="5"/>
    <x v="0"/>
    <x v="0"/>
  </r>
  <r>
    <n v="146422602"/>
    <x v="25"/>
    <d v="2022-11-03T00:00:00"/>
    <n v="39"/>
    <s v="month"/>
    <s v="Yes"/>
    <d v="2022-11-03T00:00:00"/>
    <n v="2"/>
    <x v="1"/>
    <x v="0"/>
  </r>
  <r>
    <n v="156460574"/>
    <x v="25"/>
    <d v="2022-11-17T00:00:00"/>
    <n v="39"/>
    <s v="month"/>
    <s v="Yes"/>
    <d v="2022-11-17T00:00:00"/>
    <n v="2"/>
    <x v="1"/>
    <x v="0"/>
  </r>
  <r>
    <n v="156364063"/>
    <x v="25"/>
    <d v="2022-11-14T00:00:00"/>
    <n v="39"/>
    <s v="month"/>
    <s v="Yes"/>
    <d v="2022-11-14T00:00:00"/>
    <n v="2"/>
    <x v="1"/>
    <x v="0"/>
  </r>
  <r>
    <n v="149139298"/>
    <x v="25"/>
    <d v="2022-10-26T00:00:00"/>
    <n v="39"/>
    <s v="month"/>
    <s v="Yes"/>
    <d v="2022-10-26T00:00:00"/>
    <n v="1"/>
    <x v="1"/>
    <x v="0"/>
  </r>
  <r>
    <n v="156371514"/>
    <x v="25"/>
    <d v="2022-10-24T00:00:00"/>
    <n v="39"/>
    <s v="month"/>
    <s v="Yes"/>
    <d v="2022-10-24T00:00:00"/>
    <n v="1"/>
    <x v="1"/>
    <x v="0"/>
  </r>
  <r>
    <n v="156423167"/>
    <x v="26"/>
    <d v="2023-01-18T00:00:00"/>
    <n v="39"/>
    <s v="month"/>
    <s v="Yes"/>
    <d v="2023-01-18T00:00:00"/>
    <n v="4"/>
    <x v="1"/>
    <x v="0"/>
  </r>
  <r>
    <n v="155199164"/>
    <x v="26"/>
    <d v="2023-01-03T00:00:00"/>
    <n v="39"/>
    <s v="month"/>
    <s v="Yes"/>
    <d v="2023-01-03T00:00:00"/>
    <n v="4"/>
    <x v="1"/>
    <x v="0"/>
  </r>
  <r>
    <n v="156373191"/>
    <x v="26"/>
    <d v="2022-12-28T00:00:00"/>
    <n v="39"/>
    <s v="month"/>
    <s v="Yes"/>
    <d v="2022-12-28T00:00:00"/>
    <n v="3"/>
    <x v="1"/>
    <x v="0"/>
  </r>
  <r>
    <n v="156517374"/>
    <x v="26"/>
    <d v="2022-09-27T00:00:00"/>
    <n v="39"/>
    <s v="month"/>
    <s v="Yes"/>
    <d v="2022-09-27T00:00:00"/>
    <n v="0"/>
    <x v="1"/>
    <x v="1"/>
  </r>
  <r>
    <n v="156032089"/>
    <x v="27"/>
    <m/>
    <n v="39"/>
    <s v="month"/>
    <s v="Yes"/>
    <d v="2023-09-30T00:00:00"/>
    <n v="12"/>
    <x v="0"/>
    <x v="0"/>
  </r>
  <r>
    <n v="154563706"/>
    <x v="27"/>
    <d v="2023-03-25T00:00:00"/>
    <n v="39"/>
    <s v="month"/>
    <s v="Yes"/>
    <d v="2023-03-25T00:00:00"/>
    <n v="6"/>
    <x v="0"/>
    <x v="0"/>
  </r>
  <r>
    <n v="124481723"/>
    <x v="27"/>
    <d v="2022-11-22T00:00:00"/>
    <n v="39"/>
    <s v="month"/>
    <s v="Yes"/>
    <d v="2022-11-22T00:00:00"/>
    <n v="2"/>
    <x v="1"/>
    <x v="0"/>
  </r>
  <r>
    <n v="146861757"/>
    <x v="27"/>
    <d v="2022-12-22T00:00:00"/>
    <n v="39"/>
    <s v="month"/>
    <s v="Yes"/>
    <d v="2022-12-22T00:00:00"/>
    <n v="3"/>
    <x v="1"/>
    <x v="0"/>
  </r>
  <r>
    <n v="152476124"/>
    <x v="27"/>
    <d v="2022-11-28T00:00:00"/>
    <n v="39"/>
    <s v="month"/>
    <s v="Yes"/>
    <d v="2022-11-28T00:00:00"/>
    <n v="2"/>
    <x v="1"/>
    <x v="0"/>
  </r>
  <r>
    <n v="156192628"/>
    <x v="27"/>
    <d v="2022-11-20T00:00:00"/>
    <n v="39"/>
    <s v="month"/>
    <s v="Yes"/>
    <d v="2022-11-20T00:00:00"/>
    <n v="2"/>
    <x v="1"/>
    <x v="0"/>
  </r>
  <r>
    <n v="152109538"/>
    <x v="27"/>
    <d v="2022-10-19T00:00:00"/>
    <n v="39"/>
    <s v="month"/>
    <s v="Yes"/>
    <d v="2022-10-19T00:00:00"/>
    <n v="1"/>
    <x v="1"/>
    <x v="0"/>
  </r>
  <r>
    <n v="156659071"/>
    <x v="27"/>
    <d v="2022-09-29T00:00:00"/>
    <n v="39"/>
    <s v="month"/>
    <s v="Yes"/>
    <d v="2022-09-29T00:00:00"/>
    <n v="0"/>
    <x v="1"/>
    <x v="1"/>
  </r>
  <r>
    <n v="156717075"/>
    <x v="28"/>
    <d v="2023-04-14T00:00:00"/>
    <n v="39"/>
    <s v="month"/>
    <s v="Yes"/>
    <d v="2023-04-14T00:00:00"/>
    <n v="7"/>
    <x v="0"/>
    <x v="0"/>
  </r>
  <r>
    <n v="156715443"/>
    <x v="28"/>
    <d v="2022-12-29T00:00:00"/>
    <n v="39"/>
    <s v="month"/>
    <s v="Yes"/>
    <d v="2022-12-29T00:00:00"/>
    <n v="3"/>
    <x v="1"/>
    <x v="0"/>
  </r>
  <r>
    <n v="147656952"/>
    <x v="28"/>
    <d v="2022-12-28T00:00:00"/>
    <n v="39"/>
    <s v="month"/>
    <s v="Yes"/>
    <d v="2022-12-28T00:00:00"/>
    <n v="3"/>
    <x v="1"/>
    <x v="0"/>
  </r>
  <r>
    <n v="152918862"/>
    <x v="28"/>
    <d v="2022-11-20T00:00:00"/>
    <n v="39"/>
    <s v="month"/>
    <s v="Yes"/>
    <d v="2022-11-20T00:00:00"/>
    <n v="2"/>
    <x v="1"/>
    <x v="0"/>
  </r>
  <r>
    <n v="146866890"/>
    <x v="28"/>
    <d v="2022-10-24T00:00:00"/>
    <n v="39"/>
    <s v="month"/>
    <s v="Yes"/>
    <d v="2022-10-24T00:00:00"/>
    <n v="1"/>
    <x v="1"/>
    <x v="0"/>
  </r>
  <r>
    <n v="151735444"/>
    <x v="29"/>
    <m/>
    <n v="39"/>
    <s v="month"/>
    <s v="Yes"/>
    <d v="2023-09-30T00:00:00"/>
    <n v="12"/>
    <x v="0"/>
    <x v="0"/>
  </r>
  <r>
    <n v="155608371"/>
    <x v="29"/>
    <d v="2022-10-01T00:00:00"/>
    <n v="39"/>
    <s v="month"/>
    <s v="No"/>
    <d v="2022-10-01T00:00:00"/>
    <n v="1"/>
    <x v="1"/>
    <x v="0"/>
  </r>
  <r>
    <n v="156809544"/>
    <x v="29"/>
    <d v="2023-03-28T00:00:00"/>
    <n v="39"/>
    <s v="month"/>
    <s v="Yes"/>
    <d v="2023-03-28T00:00:00"/>
    <n v="6"/>
    <x v="0"/>
    <x v="0"/>
  </r>
  <r>
    <n v="156813288"/>
    <x v="29"/>
    <d v="2023-05-20T00:00:00"/>
    <n v="39"/>
    <s v="month"/>
    <s v="Yes"/>
    <d v="2023-05-20T00:00:00"/>
    <n v="8"/>
    <x v="0"/>
    <x v="0"/>
  </r>
  <r>
    <n v="156817946"/>
    <x v="29"/>
    <d v="2023-06-03T00:00:00"/>
    <n v="39"/>
    <s v="month"/>
    <s v="Yes"/>
    <d v="2023-06-03T00:00:00"/>
    <n v="9"/>
    <x v="0"/>
    <x v="0"/>
  </r>
  <r>
    <n v="156194905"/>
    <x v="29"/>
    <d v="2023-04-06T00:00:00"/>
    <n v="39"/>
    <s v="month"/>
    <s v="Yes"/>
    <d v="2023-04-06T00:00:00"/>
    <n v="7"/>
    <x v="0"/>
    <x v="0"/>
  </r>
  <r>
    <n v="148568942"/>
    <x v="29"/>
    <d v="2023-01-06T00:00:00"/>
    <n v="39"/>
    <s v="month"/>
    <s v="Yes"/>
    <d v="2023-01-06T00:00:00"/>
    <n v="4"/>
    <x v="1"/>
    <x v="0"/>
  </r>
  <r>
    <n v="151154171"/>
    <x v="29"/>
    <d v="2022-11-29T00:00:00"/>
    <n v="39"/>
    <s v="month"/>
    <s v="Yes"/>
    <d v="2022-11-29T00:00:00"/>
    <n v="2"/>
    <x v="1"/>
    <x v="0"/>
  </r>
  <r>
    <n v="122921842"/>
    <x v="29"/>
    <d v="2022-11-06T00:00:00"/>
    <n v="39"/>
    <s v="month"/>
    <s v="Yes"/>
    <d v="2022-11-06T00:00:00"/>
    <n v="2"/>
    <x v="1"/>
    <x v="0"/>
  </r>
  <r>
    <n v="156754286"/>
    <x v="30"/>
    <m/>
    <n v="39"/>
    <s v="month"/>
    <s v="Yes"/>
    <d v="2023-09-30T00:00:00"/>
    <n v="11"/>
    <x v="0"/>
    <x v="0"/>
  </r>
  <r>
    <n v="144160302"/>
    <x v="30"/>
    <d v="2022-10-02T00:00:00"/>
    <n v="39"/>
    <s v="month"/>
    <s v="Yes"/>
    <d v="2022-10-02T00:00:00"/>
    <n v="0"/>
    <x v="1"/>
    <x v="1"/>
  </r>
  <r>
    <n v="155045053"/>
    <x v="30"/>
    <d v="2023-01-01T00:00:00"/>
    <n v="39"/>
    <s v="month"/>
    <s v="Yes"/>
    <d v="2023-01-01T00:00:00"/>
    <n v="3"/>
    <x v="1"/>
    <x v="0"/>
  </r>
  <r>
    <n v="133869989"/>
    <x v="30"/>
    <d v="2022-11-02T00:00:00"/>
    <n v="39"/>
    <s v="month"/>
    <s v="Yes"/>
    <d v="2022-11-02T00:00:00"/>
    <n v="1"/>
    <x v="1"/>
    <x v="0"/>
  </r>
  <r>
    <n v="156863940"/>
    <x v="30"/>
    <d v="2022-11-02T00:00:00"/>
    <n v="39"/>
    <s v="month"/>
    <s v="Yes"/>
    <d v="2022-11-02T00:00:00"/>
    <n v="1"/>
    <x v="1"/>
    <x v="0"/>
  </r>
  <r>
    <n v="156884323"/>
    <x v="30"/>
    <d v="2022-10-25T00:00:00"/>
    <n v="39"/>
    <s v="month"/>
    <s v="Yes"/>
    <d v="2022-10-25T00:00:00"/>
    <n v="0"/>
    <x v="1"/>
    <x v="1"/>
  </r>
  <r>
    <n v="156365410"/>
    <x v="30"/>
    <d v="2022-10-29T00:00:00"/>
    <n v="39"/>
    <s v="month"/>
    <s v="Yes"/>
    <d v="2022-10-29T00:00:00"/>
    <n v="0"/>
    <x v="1"/>
    <x v="1"/>
  </r>
  <r>
    <n v="153957162"/>
    <x v="31"/>
    <m/>
    <n v="39"/>
    <s v="month"/>
    <s v="Yes"/>
    <d v="2023-09-30T00:00:00"/>
    <n v="11"/>
    <x v="0"/>
    <x v="0"/>
  </r>
  <r>
    <n v="152436949"/>
    <x v="31"/>
    <d v="2022-10-03T00:00:00"/>
    <n v="39"/>
    <s v="month"/>
    <s v="No"/>
    <d v="2022-10-03T00:00:00"/>
    <n v="0"/>
    <x v="1"/>
    <x v="1"/>
  </r>
  <r>
    <n v="156403612"/>
    <x v="31"/>
    <d v="2023-01-26T00:00:00"/>
    <n v="39"/>
    <s v="month"/>
    <s v="Yes"/>
    <d v="2023-01-26T00:00:00"/>
    <n v="3"/>
    <x v="1"/>
    <x v="0"/>
  </r>
  <r>
    <n v="154198756"/>
    <x v="31"/>
    <d v="2022-11-14T00:00:00"/>
    <n v="39"/>
    <s v="month"/>
    <s v="Yes"/>
    <d v="2022-11-14T00:00:00"/>
    <n v="1"/>
    <x v="1"/>
    <x v="0"/>
  </r>
  <r>
    <n v="156917754"/>
    <x v="31"/>
    <d v="2022-10-28T00:00:00"/>
    <n v="39"/>
    <s v="month"/>
    <s v="Yes"/>
    <d v="2022-10-28T00:00:00"/>
    <n v="0"/>
    <x v="1"/>
    <x v="1"/>
  </r>
  <r>
    <n v="134975906"/>
    <x v="32"/>
    <d v="2022-10-27T00:00:00"/>
    <n v="39"/>
    <s v="month"/>
    <s v="Yes"/>
    <d v="2022-10-27T00:00:00"/>
    <n v="0"/>
    <x v="1"/>
    <x v="1"/>
  </r>
  <r>
    <n v="156955735"/>
    <x v="32"/>
    <d v="2023-07-02T00:00:00"/>
    <n v="39"/>
    <s v="month"/>
    <s v="Yes"/>
    <d v="2023-07-02T00:00:00"/>
    <n v="9"/>
    <x v="0"/>
    <x v="0"/>
  </r>
  <r>
    <n v="156982750"/>
    <x v="32"/>
    <d v="2023-02-06T00:00:00"/>
    <n v="39"/>
    <s v="month"/>
    <s v="Yes"/>
    <d v="2023-02-06T00:00:00"/>
    <n v="4"/>
    <x v="1"/>
    <x v="0"/>
  </r>
  <r>
    <n v="156953312"/>
    <x v="32"/>
    <d v="2023-03-17T00:00:00"/>
    <n v="39"/>
    <s v="month"/>
    <s v="Yes"/>
    <d v="2023-03-17T00:00:00"/>
    <n v="5"/>
    <x v="0"/>
    <x v="0"/>
  </r>
  <r>
    <n v="124642102"/>
    <x v="32"/>
    <d v="2023-01-03T00:00:00"/>
    <n v="39"/>
    <s v="month"/>
    <s v="Yes"/>
    <d v="2023-01-03T00:00:00"/>
    <n v="3"/>
    <x v="1"/>
    <x v="0"/>
  </r>
  <r>
    <n v="156940530"/>
    <x v="32"/>
    <d v="2023-01-10T00:00:00"/>
    <n v="39"/>
    <s v="month"/>
    <s v="Yes"/>
    <d v="2023-01-10T00:00:00"/>
    <n v="3"/>
    <x v="1"/>
    <x v="0"/>
  </r>
  <r>
    <n v="155602780"/>
    <x v="32"/>
    <d v="2023-01-20T00:00:00"/>
    <n v="39"/>
    <s v="month"/>
    <s v="Yes"/>
    <d v="2023-01-20T00:00:00"/>
    <n v="3"/>
    <x v="1"/>
    <x v="0"/>
  </r>
  <r>
    <n v="149635726"/>
    <x v="32"/>
    <d v="2022-11-08T00:00:00"/>
    <n v="39"/>
    <s v="month"/>
    <s v="Yes"/>
    <d v="2022-11-08T00:00:00"/>
    <n v="1"/>
    <x v="1"/>
    <x v="0"/>
  </r>
  <r>
    <n v="152660102"/>
    <x v="32"/>
    <d v="2022-11-28T00:00:00"/>
    <n v="39"/>
    <s v="month"/>
    <s v="Yes"/>
    <d v="2022-11-28T00:00:00"/>
    <n v="1"/>
    <x v="1"/>
    <x v="0"/>
  </r>
  <r>
    <n v="153620734"/>
    <x v="32"/>
    <d v="2022-11-29T00:00:00"/>
    <n v="39"/>
    <s v="month"/>
    <s v="Yes"/>
    <d v="2022-11-29T00:00:00"/>
    <n v="1"/>
    <x v="1"/>
    <x v="0"/>
  </r>
  <r>
    <n v="156940254"/>
    <x v="32"/>
    <d v="2022-10-03T00:00:00"/>
    <n v="39"/>
    <s v="month"/>
    <s v="Yes"/>
    <d v="2022-10-03T00:00:00"/>
    <n v="0"/>
    <x v="1"/>
    <x v="1"/>
  </r>
  <r>
    <n v="156940060"/>
    <x v="32"/>
    <d v="2022-10-10T00:00:00"/>
    <n v="39"/>
    <s v="month"/>
    <s v="Yes"/>
    <d v="2022-10-10T00:00:00"/>
    <n v="0"/>
    <x v="1"/>
    <x v="1"/>
  </r>
  <r>
    <n v="156938938"/>
    <x v="32"/>
    <d v="2022-10-03T00:00:00"/>
    <n v="39"/>
    <s v="month"/>
    <s v="Yes"/>
    <d v="2022-10-03T00:00:00"/>
    <n v="0"/>
    <x v="1"/>
    <x v="1"/>
  </r>
  <r>
    <n v="156955272"/>
    <x v="33"/>
    <d v="2023-04-21T00:00:00"/>
    <n v="39"/>
    <s v="month"/>
    <s v="Yes"/>
    <d v="2023-04-21T00:00:00"/>
    <n v="6"/>
    <x v="0"/>
    <x v="0"/>
  </r>
  <r>
    <n v="156941638"/>
    <x v="33"/>
    <d v="2023-03-15T00:00:00"/>
    <n v="39"/>
    <s v="month"/>
    <s v="Yes"/>
    <d v="2023-03-15T00:00:00"/>
    <n v="5"/>
    <x v="0"/>
    <x v="0"/>
  </r>
  <r>
    <n v="157154624"/>
    <x v="33"/>
    <d v="2023-01-30T00:00:00"/>
    <n v="39"/>
    <s v="month"/>
    <s v="Yes"/>
    <d v="2023-01-30T00:00:00"/>
    <n v="3"/>
    <x v="1"/>
    <x v="0"/>
  </r>
  <r>
    <n v="151677119"/>
    <x v="33"/>
    <d v="2022-12-14T00:00:00"/>
    <n v="39"/>
    <s v="month"/>
    <s v="Yes"/>
    <d v="2022-12-14T00:00:00"/>
    <n v="2"/>
    <x v="1"/>
    <x v="0"/>
  </r>
  <r>
    <n v="139465940"/>
    <x v="33"/>
    <d v="2022-11-05T00:00:00"/>
    <n v="39"/>
    <s v="month"/>
    <s v="Yes"/>
    <d v="2022-11-05T00:00:00"/>
    <n v="1"/>
    <x v="1"/>
    <x v="0"/>
  </r>
  <r>
    <n v="156895692"/>
    <x v="34"/>
    <m/>
    <n v="39"/>
    <s v="month"/>
    <s v="Yes"/>
    <d v="2023-09-30T00:00:00"/>
    <n v="11"/>
    <x v="0"/>
    <x v="0"/>
  </r>
  <r>
    <n v="153587226"/>
    <x v="34"/>
    <m/>
    <n v="39"/>
    <s v="month"/>
    <s v="Yes"/>
    <d v="2023-09-30T00:00:00"/>
    <n v="11"/>
    <x v="0"/>
    <x v="0"/>
  </r>
  <r>
    <n v="157295262"/>
    <x v="34"/>
    <d v="2023-04-03T00:00:00"/>
    <n v="39"/>
    <s v="month"/>
    <s v="Yes"/>
    <d v="2023-04-03T00:00:00"/>
    <n v="6"/>
    <x v="0"/>
    <x v="0"/>
  </r>
  <r>
    <n v="157284386"/>
    <x v="34"/>
    <d v="2023-04-02T00:00:00"/>
    <n v="39"/>
    <s v="month"/>
    <s v="Yes"/>
    <d v="2023-04-02T00:00:00"/>
    <n v="6"/>
    <x v="0"/>
    <x v="0"/>
  </r>
  <r>
    <n v="148762867"/>
    <x v="34"/>
    <d v="2023-06-23T00:00:00"/>
    <n v="39"/>
    <s v="month"/>
    <s v="Yes"/>
    <d v="2023-06-23T00:00:00"/>
    <n v="8"/>
    <x v="0"/>
    <x v="0"/>
  </r>
  <r>
    <n v="150433978"/>
    <x v="34"/>
    <d v="2022-11-05T00:00:00"/>
    <n v="39"/>
    <s v="month"/>
    <s v="Yes"/>
    <d v="2022-11-05T00:00:00"/>
    <n v="1"/>
    <x v="1"/>
    <x v="0"/>
  </r>
  <r>
    <n v="157272487"/>
    <x v="34"/>
    <d v="2022-12-07T00:00:00"/>
    <n v="39"/>
    <s v="month"/>
    <s v="Yes"/>
    <d v="2022-12-07T00:00:00"/>
    <n v="2"/>
    <x v="1"/>
    <x v="0"/>
  </r>
  <r>
    <n v="153776370"/>
    <x v="35"/>
    <d v="2022-12-06T00:00:00"/>
    <n v="39"/>
    <s v="month"/>
    <s v="Yes"/>
    <d v="2022-12-06T00:00:00"/>
    <n v="2"/>
    <x v="1"/>
    <x v="0"/>
  </r>
  <r>
    <n v="157371444"/>
    <x v="35"/>
    <d v="2022-12-08T00:00:00"/>
    <n v="39"/>
    <s v="month"/>
    <s v="Yes"/>
    <d v="2022-12-08T00:00:00"/>
    <n v="2"/>
    <x v="1"/>
    <x v="0"/>
  </r>
  <r>
    <n v="157095464"/>
    <x v="35"/>
    <d v="2023-07-13T00:00:00"/>
    <n v="39"/>
    <s v="month"/>
    <s v="Yes"/>
    <d v="2023-07-13T00:00:00"/>
    <n v="9"/>
    <x v="0"/>
    <x v="0"/>
  </r>
  <r>
    <n v="153554190"/>
    <x v="36"/>
    <m/>
    <n v="39"/>
    <s v="month"/>
    <s v="Yes"/>
    <d v="2023-09-30T00:00:00"/>
    <n v="11"/>
    <x v="0"/>
    <x v="0"/>
  </r>
  <r>
    <n v="157411994"/>
    <x v="36"/>
    <m/>
    <n v="39"/>
    <s v="month"/>
    <s v="Yes"/>
    <d v="2023-09-30T00:00:00"/>
    <n v="11"/>
    <x v="0"/>
    <x v="0"/>
  </r>
  <r>
    <n v="157374056"/>
    <x v="36"/>
    <d v="2022-11-07T00:00:00"/>
    <n v="39"/>
    <s v="month"/>
    <s v="Yes"/>
    <d v="2022-11-07T00:00:00"/>
    <n v="1"/>
    <x v="1"/>
    <x v="0"/>
  </r>
  <r>
    <n v="157397941"/>
    <x v="36"/>
    <d v="2022-11-03T00:00:00"/>
    <n v="39"/>
    <s v="month"/>
    <s v="Yes"/>
    <d v="2022-11-03T00:00:00"/>
    <n v="1"/>
    <x v="1"/>
    <x v="0"/>
  </r>
  <r>
    <n v="157234944"/>
    <x v="36"/>
    <d v="2022-10-24T00:00:00"/>
    <n v="39"/>
    <s v="month"/>
    <s v="Yes"/>
    <d v="2022-10-24T00:00:00"/>
    <n v="0"/>
    <x v="1"/>
    <x v="1"/>
  </r>
  <r>
    <n v="157490039"/>
    <x v="37"/>
    <d v="2023-03-15T00:00:00"/>
    <n v="39"/>
    <s v="month"/>
    <s v="Yes"/>
    <d v="2023-03-15T00:00:00"/>
    <n v="5"/>
    <x v="0"/>
    <x v="0"/>
  </r>
  <r>
    <n v="157484010"/>
    <x v="37"/>
    <d v="2023-03-15T00:00:00"/>
    <n v="39"/>
    <s v="month"/>
    <s v="Yes"/>
    <d v="2023-03-15T00:00:00"/>
    <n v="5"/>
    <x v="0"/>
    <x v="0"/>
  </r>
  <r>
    <n v="125038257"/>
    <x v="37"/>
    <d v="2022-11-17T00:00:00"/>
    <n v="39"/>
    <s v="month"/>
    <s v="Yes"/>
    <d v="2022-11-17T00:00:00"/>
    <n v="1"/>
    <x v="1"/>
    <x v="0"/>
  </r>
  <r>
    <n v="157400730"/>
    <x v="37"/>
    <d v="2022-10-26T00:00:00"/>
    <n v="39"/>
    <s v="month"/>
    <s v="Yes"/>
    <d v="2022-10-26T00:00:00"/>
    <n v="0"/>
    <x v="1"/>
    <x v="1"/>
  </r>
  <r>
    <n v="157450645"/>
    <x v="37"/>
    <d v="2022-10-18T00:00:00"/>
    <n v="39"/>
    <s v="month"/>
    <s v="Yes"/>
    <d v="2022-10-18T00:00:00"/>
    <n v="0"/>
    <x v="1"/>
    <x v="1"/>
  </r>
  <r>
    <n v="156943008"/>
    <x v="38"/>
    <d v="2022-10-10T00:00:00"/>
    <n v="39"/>
    <s v="month"/>
    <s v="Yes"/>
    <d v="2022-10-10T00:00:00"/>
    <n v="0"/>
    <x v="1"/>
    <x v="1"/>
  </r>
  <r>
    <n v="127328047"/>
    <x v="38"/>
    <d v="2023-01-16T00:00:00"/>
    <n v="39"/>
    <s v="month"/>
    <s v="Yes"/>
    <d v="2023-01-16T00:00:00"/>
    <n v="3"/>
    <x v="1"/>
    <x v="0"/>
  </r>
  <r>
    <n v="157506842"/>
    <x v="38"/>
    <d v="2022-11-15T00:00:00"/>
    <n v="39"/>
    <s v="month"/>
    <s v="Yes"/>
    <d v="2022-11-15T00:00:00"/>
    <n v="1"/>
    <x v="1"/>
    <x v="0"/>
  </r>
  <r>
    <n v="150924853"/>
    <x v="38"/>
    <d v="2022-11-23T00:00:00"/>
    <n v="39"/>
    <s v="month"/>
    <s v="Yes"/>
    <d v="2022-11-23T00:00:00"/>
    <n v="1"/>
    <x v="1"/>
    <x v="0"/>
  </r>
  <r>
    <n v="156996568"/>
    <x v="39"/>
    <m/>
    <n v="39"/>
    <s v="month"/>
    <s v="Yes"/>
    <d v="2023-09-30T00:00:00"/>
    <n v="11"/>
    <x v="0"/>
    <x v="0"/>
  </r>
  <r>
    <n v="157627904"/>
    <x v="39"/>
    <d v="2023-01-11T00:00:00"/>
    <n v="39"/>
    <s v="month"/>
    <s v="Yes"/>
    <d v="2023-01-11T00:00:00"/>
    <n v="3"/>
    <x v="1"/>
    <x v="0"/>
  </r>
  <r>
    <n v="157058101"/>
    <x v="39"/>
    <d v="2022-11-09T00:00:00"/>
    <n v="39"/>
    <s v="month"/>
    <s v="Yes"/>
    <d v="2022-11-09T00:00:00"/>
    <n v="1"/>
    <x v="1"/>
    <x v="0"/>
  </r>
  <r>
    <n v="157394598"/>
    <x v="40"/>
    <d v="2022-10-12T00:00:00"/>
    <n v="39"/>
    <s v="month"/>
    <s v="No"/>
    <d v="2022-10-12T00:00:00"/>
    <n v="0"/>
    <x v="1"/>
    <x v="1"/>
  </r>
  <r>
    <n v="157765918"/>
    <x v="40"/>
    <d v="2022-10-12T00:00:00"/>
    <n v="39"/>
    <s v="month"/>
    <s v="No"/>
    <d v="2022-10-12T00:00:00"/>
    <n v="0"/>
    <x v="1"/>
    <x v="1"/>
  </r>
  <r>
    <n v="157746458"/>
    <x v="40"/>
    <d v="2023-04-25T00:00:00"/>
    <n v="39"/>
    <s v="month"/>
    <s v="Yes"/>
    <d v="2023-04-25T00:00:00"/>
    <n v="6"/>
    <x v="0"/>
    <x v="0"/>
  </r>
  <r>
    <n v="157590918"/>
    <x v="40"/>
    <d v="2023-02-12T00:00:00"/>
    <n v="39"/>
    <s v="month"/>
    <s v="Yes"/>
    <d v="2023-02-12T00:00:00"/>
    <n v="4"/>
    <x v="1"/>
    <x v="0"/>
  </r>
  <r>
    <n v="157290992"/>
    <x v="40"/>
    <d v="2023-01-10T00:00:00"/>
    <n v="39"/>
    <s v="month"/>
    <s v="Yes"/>
    <d v="2023-01-10T00:00:00"/>
    <n v="3"/>
    <x v="1"/>
    <x v="0"/>
  </r>
  <r>
    <n v="156895701"/>
    <x v="40"/>
    <d v="2022-12-18T00:00:00"/>
    <n v="39"/>
    <s v="month"/>
    <s v="Yes"/>
    <d v="2022-12-18T00:00:00"/>
    <n v="2"/>
    <x v="1"/>
    <x v="0"/>
  </r>
  <r>
    <n v="155926313"/>
    <x v="40"/>
    <d v="2022-11-28T00:00:00"/>
    <n v="39"/>
    <s v="month"/>
    <s v="Yes"/>
    <d v="2022-11-28T00:00:00"/>
    <n v="1"/>
    <x v="1"/>
    <x v="0"/>
  </r>
  <r>
    <n v="156110000"/>
    <x v="40"/>
    <d v="2022-11-16T00:00:00"/>
    <n v="39"/>
    <s v="month"/>
    <s v="Yes"/>
    <d v="2022-11-16T00:00:00"/>
    <n v="1"/>
    <x v="1"/>
    <x v="0"/>
  </r>
  <r>
    <n v="157851493"/>
    <x v="41"/>
    <d v="2023-04-04T00:00:00"/>
    <n v="39"/>
    <s v="month"/>
    <s v="Yes"/>
    <d v="2023-04-04T00:00:00"/>
    <n v="6"/>
    <x v="0"/>
    <x v="0"/>
  </r>
  <r>
    <n v="157792408"/>
    <x v="41"/>
    <d v="2023-06-10T00:00:00"/>
    <n v="39"/>
    <s v="month"/>
    <s v="Yes"/>
    <d v="2023-06-10T00:00:00"/>
    <n v="8"/>
    <x v="0"/>
    <x v="0"/>
  </r>
  <r>
    <n v="157868778"/>
    <x v="41"/>
    <d v="2022-11-07T00:00:00"/>
    <n v="39"/>
    <s v="month"/>
    <s v="Yes"/>
    <d v="2022-11-07T00:00:00"/>
    <n v="1"/>
    <x v="1"/>
    <x v="0"/>
  </r>
  <r>
    <n v="157833252"/>
    <x v="41"/>
    <d v="2022-10-23T00:00:00"/>
    <n v="39"/>
    <s v="month"/>
    <s v="Yes"/>
    <d v="2022-10-23T00:00:00"/>
    <n v="0"/>
    <x v="1"/>
    <x v="1"/>
  </r>
  <r>
    <n v="149662340"/>
    <x v="42"/>
    <m/>
    <n v="39"/>
    <s v="month"/>
    <s v="Yes"/>
    <d v="2023-09-30T00:00:00"/>
    <n v="11"/>
    <x v="0"/>
    <x v="0"/>
  </r>
  <r>
    <n v="126918448"/>
    <x v="42"/>
    <m/>
    <n v="39"/>
    <s v="month"/>
    <s v="Yes"/>
    <d v="2023-09-30T00:00:00"/>
    <n v="11"/>
    <x v="0"/>
    <x v="0"/>
  </r>
  <r>
    <n v="136897370"/>
    <x v="42"/>
    <d v="2023-01-17T00:00:00"/>
    <n v="39"/>
    <s v="month"/>
    <s v="Yes"/>
    <d v="2023-01-17T00:00:00"/>
    <n v="3"/>
    <x v="1"/>
    <x v="0"/>
  </r>
  <r>
    <n v="157921307"/>
    <x v="42"/>
    <d v="2023-05-30T00:00:00"/>
    <n v="39"/>
    <s v="month"/>
    <s v="Yes"/>
    <d v="2023-05-30T00:00:00"/>
    <n v="7"/>
    <x v="0"/>
    <x v="0"/>
  </r>
  <r>
    <n v="157905868"/>
    <x v="42"/>
    <d v="2023-02-06T00:00:00"/>
    <n v="39"/>
    <s v="month"/>
    <s v="Yes"/>
    <d v="2023-02-06T00:00:00"/>
    <n v="4"/>
    <x v="1"/>
    <x v="0"/>
  </r>
  <r>
    <n v="152377785"/>
    <x v="42"/>
    <d v="2023-01-11T00:00:00"/>
    <n v="39"/>
    <s v="month"/>
    <s v="Yes"/>
    <d v="2023-01-11T00:00:00"/>
    <n v="3"/>
    <x v="1"/>
    <x v="0"/>
  </r>
  <r>
    <n v="157567612"/>
    <x v="42"/>
    <d v="2022-11-03T00:00:00"/>
    <n v="39"/>
    <s v="month"/>
    <s v="Yes"/>
    <d v="2022-11-03T00:00:00"/>
    <n v="1"/>
    <x v="1"/>
    <x v="0"/>
  </r>
  <r>
    <n v="157993772"/>
    <x v="43"/>
    <d v="2022-10-15T00:00:00"/>
    <n v="39"/>
    <s v="month"/>
    <s v="No"/>
    <d v="2022-10-15T00:00:00"/>
    <n v="0"/>
    <x v="1"/>
    <x v="1"/>
  </r>
  <r>
    <n v="148769034"/>
    <x v="43"/>
    <d v="2023-03-13T00:00:00"/>
    <n v="39"/>
    <s v="month"/>
    <s v="Yes"/>
    <d v="2023-03-13T00:00:00"/>
    <n v="5"/>
    <x v="0"/>
    <x v="0"/>
  </r>
  <r>
    <n v="158050283"/>
    <x v="43"/>
    <d v="2023-07-07T00:00:00"/>
    <n v="39"/>
    <s v="month"/>
    <s v="Yes"/>
    <d v="2023-07-07T00:00:00"/>
    <n v="9"/>
    <x v="0"/>
    <x v="0"/>
  </r>
  <r>
    <n v="157436507"/>
    <x v="44"/>
    <m/>
    <n v="39"/>
    <s v="month"/>
    <s v="Yes"/>
    <d v="2023-09-30T00:00:00"/>
    <n v="11"/>
    <x v="0"/>
    <x v="0"/>
  </r>
  <r>
    <n v="123808301"/>
    <x v="44"/>
    <d v="2022-10-27T00:00:00"/>
    <n v="39"/>
    <s v="month"/>
    <s v="Yes"/>
    <d v="2022-10-27T00:00:00"/>
    <n v="0"/>
    <x v="1"/>
    <x v="1"/>
  </r>
  <r>
    <n v="158033452"/>
    <x v="44"/>
    <d v="2023-03-02T00:00:00"/>
    <n v="39"/>
    <s v="month"/>
    <s v="Yes"/>
    <d v="2023-03-02T00:00:00"/>
    <n v="5"/>
    <x v="0"/>
    <x v="0"/>
  </r>
  <r>
    <n v="156796659"/>
    <x v="44"/>
    <d v="2023-03-09T00:00:00"/>
    <n v="39"/>
    <s v="month"/>
    <s v="Yes"/>
    <d v="2023-03-09T00:00:00"/>
    <n v="5"/>
    <x v="0"/>
    <x v="0"/>
  </r>
  <r>
    <n v="158093021"/>
    <x v="44"/>
    <d v="2022-12-27T00:00:00"/>
    <n v="39"/>
    <s v="month"/>
    <s v="Yes"/>
    <d v="2022-12-27T00:00:00"/>
    <n v="2"/>
    <x v="1"/>
    <x v="0"/>
  </r>
  <r>
    <n v="157900412"/>
    <x v="44"/>
    <d v="2022-11-09T00:00:00"/>
    <n v="39"/>
    <s v="month"/>
    <s v="Yes"/>
    <d v="2022-11-09T00:00:00"/>
    <n v="1"/>
    <x v="1"/>
    <x v="0"/>
  </r>
  <r>
    <n v="152892719"/>
    <x v="44"/>
    <d v="2022-10-16T00:00:00"/>
    <n v="39"/>
    <s v="month"/>
    <s v="Yes"/>
    <d v="2022-10-16T00:00:00"/>
    <n v="0"/>
    <x v="1"/>
    <x v="1"/>
  </r>
  <r>
    <n v="158009130"/>
    <x v="45"/>
    <m/>
    <n v="39"/>
    <s v="month"/>
    <s v="Yes"/>
    <d v="2023-09-30T00:00:00"/>
    <n v="11"/>
    <x v="0"/>
    <x v="0"/>
  </r>
  <r>
    <n v="157904656"/>
    <x v="45"/>
    <d v="2022-12-15T00:00:00"/>
    <n v="39"/>
    <s v="month"/>
    <s v="Yes"/>
    <d v="2022-12-15T00:00:00"/>
    <n v="2"/>
    <x v="1"/>
    <x v="0"/>
  </r>
  <r>
    <n v="157838980"/>
    <x v="45"/>
    <d v="2023-02-16T00:00:00"/>
    <n v="39"/>
    <s v="month"/>
    <s v="Yes"/>
    <d v="2023-02-16T00:00:00"/>
    <n v="4"/>
    <x v="1"/>
    <x v="0"/>
  </r>
  <r>
    <n v="123402996"/>
    <x v="45"/>
    <d v="2023-01-04T00:00:00"/>
    <n v="39"/>
    <s v="month"/>
    <s v="Yes"/>
    <d v="2023-01-04T00:00:00"/>
    <n v="3"/>
    <x v="1"/>
    <x v="0"/>
  </r>
  <r>
    <n v="158112356"/>
    <x v="45"/>
    <d v="2022-12-30T00:00:00"/>
    <n v="39"/>
    <s v="month"/>
    <s v="Yes"/>
    <d v="2022-12-30T00:00:00"/>
    <n v="2"/>
    <x v="1"/>
    <x v="0"/>
  </r>
  <r>
    <n v="152410420"/>
    <x v="45"/>
    <d v="2022-11-18T00:00:00"/>
    <n v="39"/>
    <s v="month"/>
    <s v="Yes"/>
    <d v="2022-11-18T00:00:00"/>
    <n v="1"/>
    <x v="1"/>
    <x v="0"/>
  </r>
  <r>
    <n v="158164441"/>
    <x v="45"/>
    <d v="2022-11-17T00:00:00"/>
    <n v="39"/>
    <s v="month"/>
    <s v="Yes"/>
    <d v="2022-11-17T00:00:00"/>
    <n v="1"/>
    <x v="1"/>
    <x v="0"/>
  </r>
  <r>
    <n v="153956466"/>
    <x v="45"/>
    <d v="2022-11-17T00:00:00"/>
    <n v="39"/>
    <s v="month"/>
    <s v="Yes"/>
    <d v="2022-11-17T00:00:00"/>
    <n v="1"/>
    <x v="1"/>
    <x v="0"/>
  </r>
  <r>
    <n v="158100990"/>
    <x v="45"/>
    <d v="2022-11-14T00:00:00"/>
    <n v="39"/>
    <s v="month"/>
    <s v="Yes"/>
    <d v="2022-11-14T00:00:00"/>
    <n v="1"/>
    <x v="1"/>
    <x v="0"/>
  </r>
  <r>
    <n v="158096894"/>
    <x v="45"/>
    <d v="2022-11-14T00:00:00"/>
    <n v="39"/>
    <s v="month"/>
    <s v="Yes"/>
    <d v="2022-11-14T00:00:00"/>
    <n v="1"/>
    <x v="1"/>
    <x v="0"/>
  </r>
  <r>
    <n v="158066376"/>
    <x v="45"/>
    <d v="2022-11-08T00:00:00"/>
    <n v="39"/>
    <s v="month"/>
    <s v="Yes"/>
    <d v="2022-11-08T00:00:00"/>
    <n v="1"/>
    <x v="1"/>
    <x v="0"/>
  </r>
  <r>
    <n v="158220808"/>
    <x v="46"/>
    <m/>
    <n v="39"/>
    <s v="month"/>
    <s v="No"/>
    <d v="2023-09-30T00:00:00"/>
    <n v="11"/>
    <x v="0"/>
    <x v="0"/>
  </r>
  <r>
    <n v="131779624"/>
    <x v="46"/>
    <d v="2022-11-25T00:00:00"/>
    <n v="39"/>
    <s v="month"/>
    <s v="Yes"/>
    <d v="2022-11-25T00:00:00"/>
    <n v="1"/>
    <x v="1"/>
    <x v="0"/>
  </r>
  <r>
    <n v="158267390"/>
    <x v="46"/>
    <d v="2022-12-25T00:00:00"/>
    <n v="39"/>
    <s v="month"/>
    <s v="Yes"/>
    <d v="2022-12-25T00:00:00"/>
    <n v="2"/>
    <x v="1"/>
    <x v="0"/>
  </r>
  <r>
    <n v="152354478"/>
    <x v="46"/>
    <d v="2023-02-02T00:00:00"/>
    <n v="39"/>
    <s v="month"/>
    <s v="Yes"/>
    <d v="2023-02-02T00:00:00"/>
    <n v="4"/>
    <x v="1"/>
    <x v="0"/>
  </r>
  <r>
    <n v="146376235"/>
    <x v="46"/>
    <d v="2022-12-07T00:00:00"/>
    <n v="39"/>
    <s v="month"/>
    <s v="Yes"/>
    <d v="2022-12-07T00:00:00"/>
    <n v="2"/>
    <x v="1"/>
    <x v="0"/>
  </r>
  <r>
    <n v="153953296"/>
    <x v="46"/>
    <d v="2022-11-02T00:00:00"/>
    <n v="39"/>
    <s v="month"/>
    <s v="Yes"/>
    <d v="2022-11-02T00:00:00"/>
    <n v="1"/>
    <x v="1"/>
    <x v="0"/>
  </r>
  <r>
    <n v="154659594"/>
    <x v="46"/>
    <d v="2022-11-14T00:00:00"/>
    <n v="39"/>
    <s v="month"/>
    <s v="Yes"/>
    <d v="2022-11-14T00:00:00"/>
    <n v="1"/>
    <x v="1"/>
    <x v="0"/>
  </r>
  <r>
    <n v="157998778"/>
    <x v="46"/>
    <d v="2022-11-25T00:00:00"/>
    <n v="39"/>
    <s v="month"/>
    <s v="Yes"/>
    <d v="2022-11-25T00:00:00"/>
    <n v="1"/>
    <x v="1"/>
    <x v="0"/>
  </r>
  <r>
    <n v="150668840"/>
    <x v="46"/>
    <d v="2022-11-01T00:00:00"/>
    <n v="39"/>
    <s v="month"/>
    <s v="Yes"/>
    <d v="2022-11-01T00:00:00"/>
    <n v="1"/>
    <x v="1"/>
    <x v="0"/>
  </r>
  <r>
    <n v="158184958"/>
    <x v="46"/>
    <d v="2022-11-02T00:00:00"/>
    <n v="39"/>
    <s v="month"/>
    <s v="Yes"/>
    <d v="2022-11-02T00:00:00"/>
    <n v="1"/>
    <x v="1"/>
    <x v="0"/>
  </r>
  <r>
    <n v="158362440"/>
    <x v="47"/>
    <d v="2023-05-19T00:00:00"/>
    <n v="39"/>
    <s v="month"/>
    <s v="Yes"/>
    <d v="2023-05-19T00:00:00"/>
    <n v="7"/>
    <x v="0"/>
    <x v="0"/>
  </r>
  <r>
    <n v="158477370"/>
    <x v="47"/>
    <d v="2023-02-21T00:00:00"/>
    <n v="39"/>
    <s v="month"/>
    <s v="Yes"/>
    <d v="2023-02-21T00:00:00"/>
    <n v="4"/>
    <x v="1"/>
    <x v="0"/>
  </r>
  <r>
    <n v="158047538"/>
    <x v="47"/>
    <d v="2023-01-22T00:00:00"/>
    <n v="39"/>
    <s v="month"/>
    <s v="Yes"/>
    <d v="2023-01-22T00:00:00"/>
    <n v="3"/>
    <x v="1"/>
    <x v="0"/>
  </r>
  <r>
    <n v="157910445"/>
    <x v="47"/>
    <d v="2023-01-15T00:00:00"/>
    <n v="39"/>
    <s v="month"/>
    <s v="Yes"/>
    <d v="2023-01-15T00:00:00"/>
    <n v="3"/>
    <x v="1"/>
    <x v="0"/>
  </r>
  <r>
    <n v="154091460"/>
    <x v="47"/>
    <d v="2023-06-21T00:00:00"/>
    <n v="39"/>
    <s v="month"/>
    <s v="Yes"/>
    <d v="2023-06-21T00:00:00"/>
    <n v="8"/>
    <x v="0"/>
    <x v="0"/>
  </r>
  <r>
    <n v="158532103"/>
    <x v="48"/>
    <d v="2023-05-13T00:00:00"/>
    <n v="39"/>
    <s v="month"/>
    <s v="Yes"/>
    <d v="2023-05-13T00:00:00"/>
    <n v="7"/>
    <x v="0"/>
    <x v="0"/>
  </r>
  <r>
    <n v="158591698"/>
    <x v="48"/>
    <d v="2023-03-17T00:00:00"/>
    <n v="39"/>
    <s v="month"/>
    <s v="Yes"/>
    <d v="2023-03-17T00:00:00"/>
    <n v="5"/>
    <x v="0"/>
    <x v="0"/>
  </r>
  <r>
    <n v="158533909"/>
    <x v="48"/>
    <d v="2023-01-27T00:00:00"/>
    <n v="39"/>
    <s v="month"/>
    <s v="Yes"/>
    <d v="2023-01-27T00:00:00"/>
    <n v="3"/>
    <x v="1"/>
    <x v="0"/>
  </r>
  <r>
    <n v="156372496"/>
    <x v="48"/>
    <d v="2022-12-15T00:00:00"/>
    <n v="39"/>
    <s v="month"/>
    <s v="Yes"/>
    <d v="2022-12-15T00:00:00"/>
    <n v="2"/>
    <x v="1"/>
    <x v="0"/>
  </r>
  <r>
    <n v="158620475"/>
    <x v="48"/>
    <d v="2023-07-28T00:00:00"/>
    <n v="39"/>
    <s v="month"/>
    <s v="Yes"/>
    <d v="2023-07-28T00:00:00"/>
    <n v="9"/>
    <x v="0"/>
    <x v="0"/>
  </r>
  <r>
    <n v="158539824"/>
    <x v="48"/>
    <d v="2023-06-20T00:00:00"/>
    <n v="39"/>
    <s v="month"/>
    <s v="Yes"/>
    <d v="2023-06-20T00:00:00"/>
    <n v="8"/>
    <x v="0"/>
    <x v="0"/>
  </r>
  <r>
    <n v="158499042"/>
    <x v="49"/>
    <m/>
    <n v="39"/>
    <s v="month"/>
    <s v="Yes"/>
    <d v="2023-09-30T00:00:00"/>
    <n v="11"/>
    <x v="0"/>
    <x v="0"/>
  </r>
  <r>
    <n v="158755464"/>
    <x v="49"/>
    <d v="2022-11-28T00:00:00"/>
    <n v="39"/>
    <s v="month"/>
    <s v="Yes"/>
    <d v="2022-11-28T00:00:00"/>
    <n v="1"/>
    <x v="1"/>
    <x v="0"/>
  </r>
  <r>
    <n v="149112756"/>
    <x v="49"/>
    <d v="2023-05-28T00:00:00"/>
    <n v="39"/>
    <s v="month"/>
    <s v="Yes"/>
    <d v="2023-05-28T00:00:00"/>
    <n v="7"/>
    <x v="0"/>
    <x v="0"/>
  </r>
  <r>
    <n v="149065622"/>
    <x v="49"/>
    <d v="2022-12-28T00:00:00"/>
    <n v="39"/>
    <s v="month"/>
    <s v="Yes"/>
    <d v="2022-12-28T00:00:00"/>
    <n v="2"/>
    <x v="1"/>
    <x v="0"/>
  </r>
  <r>
    <n v="158656065"/>
    <x v="49"/>
    <d v="2022-12-30T00:00:00"/>
    <n v="39"/>
    <s v="month"/>
    <s v="Yes"/>
    <d v="2022-12-30T00:00:00"/>
    <n v="2"/>
    <x v="1"/>
    <x v="0"/>
  </r>
  <r>
    <n v="158756090"/>
    <x v="49"/>
    <d v="2022-11-02T00:00:00"/>
    <n v="39"/>
    <s v="month"/>
    <s v="Yes"/>
    <d v="2022-11-02T00:00:00"/>
    <n v="1"/>
    <x v="1"/>
    <x v="0"/>
  </r>
  <r>
    <n v="158447710"/>
    <x v="49"/>
    <d v="2022-11-18T00:00:00"/>
    <n v="39"/>
    <s v="month"/>
    <s v="Yes"/>
    <d v="2022-11-18T00:00:00"/>
    <n v="1"/>
    <x v="1"/>
    <x v="0"/>
  </r>
  <r>
    <n v="157568391"/>
    <x v="49"/>
    <d v="2022-11-21T00:00:00"/>
    <n v="39"/>
    <s v="month"/>
    <s v="Yes"/>
    <d v="2022-11-21T00:00:00"/>
    <n v="1"/>
    <x v="1"/>
    <x v="0"/>
  </r>
  <r>
    <n v="157505106"/>
    <x v="50"/>
    <m/>
    <n v="39"/>
    <s v="month"/>
    <s v="Yes"/>
    <d v="2023-09-30T00:00:00"/>
    <n v="11"/>
    <x v="0"/>
    <x v="0"/>
  </r>
  <r>
    <n v="158761363"/>
    <x v="50"/>
    <d v="2023-02-26T00:00:00"/>
    <n v="39"/>
    <s v="month"/>
    <s v="Yes"/>
    <d v="2023-02-26T00:00:00"/>
    <n v="4"/>
    <x v="1"/>
    <x v="0"/>
  </r>
  <r>
    <n v="144858980"/>
    <x v="50"/>
    <d v="2022-12-22T00:00:00"/>
    <n v="39"/>
    <s v="month"/>
    <s v="Yes"/>
    <d v="2022-12-22T00:00:00"/>
    <n v="2"/>
    <x v="1"/>
    <x v="0"/>
  </r>
  <r>
    <n v="151000288"/>
    <x v="50"/>
    <d v="2022-12-22T00:00:00"/>
    <n v="39"/>
    <s v="month"/>
    <s v="Yes"/>
    <d v="2022-12-22T00:00:00"/>
    <n v="2"/>
    <x v="1"/>
    <x v="0"/>
  </r>
  <r>
    <n v="136276852"/>
    <x v="50"/>
    <d v="2022-11-22T00:00:00"/>
    <n v="39"/>
    <s v="month"/>
    <s v="Yes"/>
    <d v="2022-11-22T00:00:00"/>
    <n v="1"/>
    <x v="1"/>
    <x v="0"/>
  </r>
  <r>
    <n v="158767852"/>
    <x v="50"/>
    <d v="2022-11-29T00:00:00"/>
    <n v="39"/>
    <s v="month"/>
    <s v="Yes"/>
    <d v="2022-11-29T00:00:00"/>
    <n v="1"/>
    <x v="1"/>
    <x v="0"/>
  </r>
  <r>
    <n v="158849640"/>
    <x v="51"/>
    <m/>
    <n v="39"/>
    <s v="month"/>
    <s v="Yes"/>
    <d v="2023-09-30T00:00:00"/>
    <n v="11"/>
    <x v="0"/>
    <x v="0"/>
  </r>
  <r>
    <n v="151491892"/>
    <x v="51"/>
    <d v="2022-10-24T00:00:00"/>
    <n v="39"/>
    <s v="month"/>
    <s v="Yes"/>
    <d v="2022-10-24T00:00:00"/>
    <n v="0"/>
    <x v="1"/>
    <x v="1"/>
  </r>
  <r>
    <n v="157474087"/>
    <x v="51"/>
    <d v="2022-12-30T00:00:00"/>
    <n v="39"/>
    <s v="month"/>
    <s v="Yes"/>
    <d v="2022-12-30T00:00:00"/>
    <n v="2"/>
    <x v="1"/>
    <x v="0"/>
  </r>
  <r>
    <n v="157997679"/>
    <x v="51"/>
    <d v="2023-06-18T00:00:00"/>
    <n v="39"/>
    <s v="month"/>
    <s v="Yes"/>
    <d v="2023-06-18T00:00:00"/>
    <n v="8"/>
    <x v="0"/>
    <x v="0"/>
  </r>
  <r>
    <n v="158566772"/>
    <x v="51"/>
    <d v="2023-02-21T00:00:00"/>
    <n v="39"/>
    <s v="month"/>
    <s v="Yes"/>
    <d v="2023-02-21T00:00:00"/>
    <n v="4"/>
    <x v="1"/>
    <x v="0"/>
  </r>
  <r>
    <n v="157788656"/>
    <x v="51"/>
    <d v="2022-12-20T00:00:00"/>
    <n v="39"/>
    <s v="month"/>
    <s v="Yes"/>
    <d v="2022-12-20T00:00:00"/>
    <n v="2"/>
    <x v="1"/>
    <x v="0"/>
  </r>
  <r>
    <n v="158832658"/>
    <x v="51"/>
    <d v="2022-11-02T00:00:00"/>
    <n v="39"/>
    <s v="month"/>
    <s v="Yes"/>
    <d v="2022-11-02T00:00:00"/>
    <n v="1"/>
    <x v="1"/>
    <x v="0"/>
  </r>
  <r>
    <n v="130837976"/>
    <x v="51"/>
    <d v="2022-11-23T00:00:00"/>
    <n v="39"/>
    <s v="month"/>
    <s v="Yes"/>
    <d v="2022-11-23T00:00:00"/>
    <n v="1"/>
    <x v="1"/>
    <x v="0"/>
  </r>
  <r>
    <n v="159095030"/>
    <x v="52"/>
    <d v="2023-02-16T00:00:00"/>
    <n v="39"/>
    <s v="month"/>
    <s v="Yes"/>
    <d v="2023-02-16T00:00:00"/>
    <n v="4"/>
    <x v="1"/>
    <x v="0"/>
  </r>
  <r>
    <n v="159028041"/>
    <x v="52"/>
    <d v="2022-12-01T00:00:00"/>
    <n v="39"/>
    <s v="month"/>
    <s v="Yes"/>
    <d v="2022-12-01T00:00:00"/>
    <n v="2"/>
    <x v="1"/>
    <x v="0"/>
  </r>
  <r>
    <n v="159018168"/>
    <x v="52"/>
    <d v="2022-12-01T00:00:00"/>
    <n v="39"/>
    <s v="month"/>
    <s v="Yes"/>
    <d v="2022-12-01T00:00:00"/>
    <n v="2"/>
    <x v="1"/>
    <x v="0"/>
  </r>
  <r>
    <n v="157981870"/>
    <x v="52"/>
    <d v="2022-11-07T00:00:00"/>
    <n v="39"/>
    <s v="month"/>
    <s v="Yes"/>
    <d v="2022-11-07T00:00:00"/>
    <n v="1"/>
    <x v="1"/>
    <x v="0"/>
  </r>
  <r>
    <n v="153061698"/>
    <x v="52"/>
    <d v="2022-11-24T00:00:00"/>
    <n v="39"/>
    <s v="month"/>
    <s v="Yes"/>
    <d v="2022-11-24T00:00:00"/>
    <n v="1"/>
    <x v="1"/>
    <x v="0"/>
  </r>
  <r>
    <n v="159204523"/>
    <x v="53"/>
    <m/>
    <n v="39"/>
    <s v="month"/>
    <s v="Yes"/>
    <d v="2023-09-30T00:00:00"/>
    <n v="11"/>
    <x v="0"/>
    <x v="0"/>
  </r>
  <r>
    <n v="159236268"/>
    <x v="53"/>
    <m/>
    <n v="39"/>
    <s v="month"/>
    <s v="No"/>
    <d v="2023-09-30T00:00:00"/>
    <n v="11"/>
    <x v="0"/>
    <x v="0"/>
  </r>
  <r>
    <n v="159256553"/>
    <x v="53"/>
    <d v="2023-01-10T00:00:00"/>
    <n v="39"/>
    <s v="month"/>
    <s v="Yes"/>
    <d v="2023-01-10T00:00:00"/>
    <n v="3"/>
    <x v="1"/>
    <x v="0"/>
  </r>
  <r>
    <n v="159211568"/>
    <x v="53"/>
    <d v="2023-01-02T00:00:00"/>
    <n v="39"/>
    <s v="month"/>
    <s v="Yes"/>
    <d v="2023-01-02T00:00:00"/>
    <n v="3"/>
    <x v="1"/>
    <x v="0"/>
  </r>
  <r>
    <n v="154778395"/>
    <x v="53"/>
    <d v="2022-11-28T00:00:00"/>
    <n v="39"/>
    <s v="month"/>
    <s v="Yes"/>
    <d v="2022-11-28T00:00:00"/>
    <n v="1"/>
    <x v="1"/>
    <x v="0"/>
  </r>
  <r>
    <n v="157961180"/>
    <x v="53"/>
    <d v="2022-11-24T00:00:00"/>
    <n v="39"/>
    <s v="month"/>
    <s v="Yes"/>
    <d v="2022-11-24T00:00:00"/>
    <n v="1"/>
    <x v="1"/>
    <x v="0"/>
  </r>
  <r>
    <n v="159281338"/>
    <x v="54"/>
    <m/>
    <n v="39"/>
    <s v="month"/>
    <s v="Yes"/>
    <d v="2023-09-30T00:00:00"/>
    <n v="11"/>
    <x v="0"/>
    <x v="0"/>
  </r>
  <r>
    <n v="159364232"/>
    <x v="54"/>
    <m/>
    <n v="39"/>
    <s v="month"/>
    <s v="Yes"/>
    <d v="2023-09-30T00:00:00"/>
    <n v="11"/>
    <x v="0"/>
    <x v="0"/>
  </r>
  <r>
    <n v="159276280"/>
    <x v="54"/>
    <m/>
    <n v="39"/>
    <s v="month"/>
    <s v="Yes"/>
    <d v="2023-09-30T00:00:00"/>
    <n v="11"/>
    <x v="0"/>
    <x v="0"/>
  </r>
  <r>
    <n v="159326830"/>
    <x v="54"/>
    <d v="2022-10-27T00:00:00"/>
    <n v="39"/>
    <s v="month"/>
    <s v="Yes"/>
    <d v="2022-10-27T00:00:00"/>
    <n v="0"/>
    <x v="1"/>
    <x v="1"/>
  </r>
  <r>
    <n v="158144924"/>
    <x v="54"/>
    <d v="2023-02-23T00:00:00"/>
    <n v="39"/>
    <s v="month"/>
    <s v="Yes"/>
    <d v="2023-02-23T00:00:00"/>
    <n v="4"/>
    <x v="1"/>
    <x v="0"/>
  </r>
  <r>
    <n v="159239867"/>
    <x v="54"/>
    <d v="2022-12-15T00:00:00"/>
    <n v="39"/>
    <s v="month"/>
    <s v="Yes"/>
    <d v="2022-12-15T00:00:00"/>
    <n v="2"/>
    <x v="1"/>
    <x v="0"/>
  </r>
  <r>
    <n v="159108970"/>
    <x v="54"/>
    <d v="2022-12-20T00:00:00"/>
    <n v="39"/>
    <s v="month"/>
    <s v="Yes"/>
    <d v="2022-12-20T00:00:00"/>
    <n v="2"/>
    <x v="1"/>
    <x v="0"/>
  </r>
  <r>
    <n v="158644133"/>
    <x v="54"/>
    <d v="2022-11-26T00:00:00"/>
    <n v="39"/>
    <s v="month"/>
    <s v="Yes"/>
    <d v="2022-11-26T00:00:00"/>
    <n v="1"/>
    <x v="1"/>
    <x v="0"/>
  </r>
  <r>
    <n v="153830193"/>
    <x v="54"/>
    <d v="2022-10-27T00:00:00"/>
    <n v="39"/>
    <s v="month"/>
    <s v="Yes"/>
    <d v="2022-10-27T00:00:00"/>
    <n v="0"/>
    <x v="1"/>
    <x v="1"/>
  </r>
  <r>
    <n v="159664292"/>
    <x v="55"/>
    <m/>
    <n v="39"/>
    <s v="month"/>
    <s v="Yes"/>
    <d v="2023-09-30T00:00:00"/>
    <n v="11"/>
    <x v="0"/>
    <x v="0"/>
  </r>
  <r>
    <n v="152937944"/>
    <x v="55"/>
    <d v="2022-10-28T00:00:00"/>
    <n v="39"/>
    <s v="month"/>
    <s v="No"/>
    <d v="2022-10-28T00:00:00"/>
    <n v="0"/>
    <x v="1"/>
    <x v="1"/>
  </r>
  <r>
    <n v="159446393"/>
    <x v="55"/>
    <d v="2023-04-19T00:00:00"/>
    <n v="39"/>
    <s v="month"/>
    <s v="Yes"/>
    <d v="2023-04-19T00:00:00"/>
    <n v="6"/>
    <x v="0"/>
    <x v="0"/>
  </r>
  <r>
    <n v="156837717"/>
    <x v="55"/>
    <d v="2023-06-11T00:00:00"/>
    <n v="39"/>
    <s v="month"/>
    <s v="Yes"/>
    <d v="2023-06-11T00:00:00"/>
    <n v="8"/>
    <x v="0"/>
    <x v="0"/>
  </r>
  <r>
    <n v="149000400"/>
    <x v="55"/>
    <d v="2023-02-26T00:00:00"/>
    <n v="39"/>
    <s v="month"/>
    <s v="Yes"/>
    <d v="2023-02-26T00:00:00"/>
    <n v="4"/>
    <x v="1"/>
    <x v="0"/>
  </r>
  <r>
    <n v="157923615"/>
    <x v="55"/>
    <d v="2023-01-03T00:00:00"/>
    <n v="39"/>
    <s v="month"/>
    <s v="Yes"/>
    <d v="2023-01-03T00:00:00"/>
    <n v="3"/>
    <x v="1"/>
    <x v="0"/>
  </r>
  <r>
    <n v="159699736"/>
    <x v="55"/>
    <d v="2022-11-25T00:00:00"/>
    <n v="39"/>
    <s v="month"/>
    <s v="Yes"/>
    <d v="2022-11-25T00:00:00"/>
    <n v="1"/>
    <x v="1"/>
    <x v="0"/>
  </r>
  <r>
    <n v="150816815"/>
    <x v="55"/>
    <d v="2022-11-16T00:00:00"/>
    <n v="39"/>
    <s v="month"/>
    <s v="Yes"/>
    <d v="2022-11-16T00:00:00"/>
    <n v="1"/>
    <x v="1"/>
    <x v="0"/>
  </r>
  <r>
    <n v="159634168"/>
    <x v="55"/>
    <d v="2023-06-30T00:00:00"/>
    <n v="39"/>
    <s v="month"/>
    <s v="Yes"/>
    <d v="2023-06-30T00:00:00"/>
    <n v="8"/>
    <x v="0"/>
    <x v="0"/>
  </r>
  <r>
    <n v="158114418"/>
    <x v="56"/>
    <m/>
    <n v="39"/>
    <s v="month"/>
    <s v="Yes"/>
    <d v="2023-09-30T00:00:00"/>
    <n v="11"/>
    <x v="0"/>
    <x v="0"/>
  </r>
  <r>
    <n v="159706104"/>
    <x v="56"/>
    <m/>
    <n v="39"/>
    <s v="month"/>
    <s v="Yes"/>
    <d v="2023-09-30T00:00:00"/>
    <n v="11"/>
    <x v="0"/>
    <x v="0"/>
  </r>
  <r>
    <n v="150704581"/>
    <x v="56"/>
    <d v="2023-05-10T00:00:00"/>
    <n v="39"/>
    <s v="month"/>
    <s v="Yes"/>
    <d v="2023-05-10T00:00:00"/>
    <n v="7"/>
    <x v="0"/>
    <x v="0"/>
  </r>
  <r>
    <n v="159733207"/>
    <x v="56"/>
    <d v="2023-02-27T00:00:00"/>
    <n v="39"/>
    <s v="month"/>
    <s v="Yes"/>
    <d v="2023-02-27T00:00:00"/>
    <n v="4"/>
    <x v="1"/>
    <x v="0"/>
  </r>
  <r>
    <n v="159775056"/>
    <x v="56"/>
    <d v="2023-03-31T00:00:00"/>
    <n v="39"/>
    <s v="month"/>
    <s v="Yes"/>
    <d v="2023-03-31T00:00:00"/>
    <n v="5"/>
    <x v="0"/>
    <x v="0"/>
  </r>
  <r>
    <n v="144328609"/>
    <x v="56"/>
    <d v="2022-12-25T00:00:00"/>
    <n v="39"/>
    <s v="month"/>
    <s v="Yes"/>
    <d v="2022-12-25T00:00:00"/>
    <n v="2"/>
    <x v="1"/>
    <x v="0"/>
  </r>
  <r>
    <n v="153172687"/>
    <x v="56"/>
    <d v="2023-08-21T00:00:00"/>
    <n v="39"/>
    <s v="month"/>
    <s v="Yes"/>
    <d v="2023-08-21T00:00:00"/>
    <n v="10"/>
    <x v="0"/>
    <x v="0"/>
  </r>
  <r>
    <n v="159861170"/>
    <x v="57"/>
    <m/>
    <n v="39"/>
    <s v="month"/>
    <s v="Yes"/>
    <d v="2023-09-30T00:00:00"/>
    <n v="11"/>
    <x v="0"/>
    <x v="0"/>
  </r>
  <r>
    <n v="133474642"/>
    <x v="57"/>
    <d v="2022-12-20T00:00:00"/>
    <n v="39"/>
    <s v="month"/>
    <s v="Yes"/>
    <d v="2022-12-20T00:00:00"/>
    <n v="2"/>
    <x v="1"/>
    <x v="0"/>
  </r>
  <r>
    <n v="159817608"/>
    <x v="57"/>
    <d v="2023-03-23T00:00:00"/>
    <n v="39"/>
    <s v="month"/>
    <s v="Yes"/>
    <d v="2023-03-23T00:00:00"/>
    <n v="5"/>
    <x v="0"/>
    <x v="0"/>
  </r>
  <r>
    <n v="159867686"/>
    <x v="57"/>
    <d v="2023-01-05T00:00:00"/>
    <n v="39"/>
    <s v="month"/>
    <s v="Yes"/>
    <d v="2023-01-05T00:00:00"/>
    <n v="3"/>
    <x v="1"/>
    <x v="0"/>
  </r>
  <r>
    <n v="158484064"/>
    <x v="57"/>
    <d v="2023-01-05T00:00:00"/>
    <n v="39"/>
    <s v="month"/>
    <s v="Yes"/>
    <d v="2023-01-05T00:00:00"/>
    <n v="3"/>
    <x v="1"/>
    <x v="0"/>
  </r>
  <r>
    <n v="159829834"/>
    <x v="58"/>
    <m/>
    <n v="39"/>
    <s v="month"/>
    <s v="Yes"/>
    <d v="2023-09-30T00:00:00"/>
    <n v="11"/>
    <x v="0"/>
    <x v="0"/>
  </r>
  <r>
    <n v="159875790"/>
    <x v="58"/>
    <d v="2023-03-07T00:00:00"/>
    <n v="39"/>
    <s v="month"/>
    <s v="Yes"/>
    <d v="2023-03-07T00:00:00"/>
    <n v="5"/>
    <x v="0"/>
    <x v="0"/>
  </r>
  <r>
    <n v="155520280"/>
    <x v="58"/>
    <d v="2022-12-07T00:00:00"/>
    <n v="39"/>
    <s v="month"/>
    <s v="Yes"/>
    <d v="2022-12-07T00:00:00"/>
    <n v="2"/>
    <x v="1"/>
    <x v="0"/>
  </r>
  <r>
    <n v="159783942"/>
    <x v="58"/>
    <d v="2022-12-28T00:00:00"/>
    <n v="39"/>
    <s v="month"/>
    <s v="Yes"/>
    <d v="2022-12-28T00:00:00"/>
    <n v="2"/>
    <x v="1"/>
    <x v="0"/>
  </r>
  <r>
    <n v="149696432"/>
    <x v="58"/>
    <d v="2022-11-26T00:00:00"/>
    <n v="39"/>
    <s v="month"/>
    <s v="Yes"/>
    <d v="2022-11-26T00:00:00"/>
    <n v="1"/>
    <x v="1"/>
    <x v="0"/>
  </r>
  <r>
    <n v="159979372"/>
    <x v="59"/>
    <m/>
    <n v="39"/>
    <s v="month"/>
    <s v="Yes"/>
    <d v="2023-09-30T00:00:00"/>
    <n v="11"/>
    <x v="0"/>
    <x v="0"/>
  </r>
  <r>
    <n v="153814649"/>
    <x v="59"/>
    <m/>
    <n v="39"/>
    <s v="month"/>
    <s v="Yes"/>
    <d v="2023-09-30T00:00:00"/>
    <n v="11"/>
    <x v="0"/>
    <x v="0"/>
  </r>
  <r>
    <n v="159931469"/>
    <x v="59"/>
    <m/>
    <n v="39"/>
    <s v="month"/>
    <s v="Yes"/>
    <d v="2023-09-30T00:00:00"/>
    <n v="11"/>
    <x v="0"/>
    <x v="0"/>
  </r>
  <r>
    <n v="138061210"/>
    <x v="59"/>
    <d v="2022-10-31T00:00:00"/>
    <n v="39"/>
    <s v="month"/>
    <s v="Yes"/>
    <d v="2022-10-31T00:00:00"/>
    <n v="0"/>
    <x v="1"/>
    <x v="1"/>
  </r>
  <r>
    <n v="141403460"/>
    <x v="59"/>
    <d v="2023-01-16T00:00:00"/>
    <n v="39"/>
    <s v="month"/>
    <s v="Yes"/>
    <d v="2023-01-16T00:00:00"/>
    <n v="3"/>
    <x v="1"/>
    <x v="0"/>
  </r>
  <r>
    <n v="159991922"/>
    <x v="59"/>
    <d v="2022-12-17T00:00:00"/>
    <n v="39"/>
    <s v="month"/>
    <s v="Yes"/>
    <d v="2022-12-17T00:00:00"/>
    <n v="2"/>
    <x v="1"/>
    <x v="0"/>
  </r>
  <r>
    <n v="159241648"/>
    <x v="59"/>
    <d v="2022-12-14T00:00:00"/>
    <n v="39"/>
    <s v="month"/>
    <s v="Yes"/>
    <d v="2022-12-14T00:00:00"/>
    <n v="2"/>
    <x v="1"/>
    <x v="0"/>
  </r>
  <r>
    <n v="150703411"/>
    <x v="59"/>
    <d v="2022-12-01T00:00:00"/>
    <n v="39"/>
    <s v="month"/>
    <s v="Yes"/>
    <d v="2022-12-01T00:00:00"/>
    <n v="2"/>
    <x v="1"/>
    <x v="0"/>
  </r>
  <r>
    <n v="159773641"/>
    <x v="59"/>
    <d v="2022-11-15T00:00:00"/>
    <n v="39"/>
    <s v="month"/>
    <s v="Yes"/>
    <d v="2022-11-15T00:00:00"/>
    <n v="1"/>
    <x v="1"/>
    <x v="0"/>
  </r>
  <r>
    <n v="128002797"/>
    <x v="59"/>
    <d v="2022-11-30T00:00:00"/>
    <n v="39"/>
    <s v="month"/>
    <s v="Yes"/>
    <d v="2022-11-30T00:00:00"/>
    <n v="1"/>
    <x v="1"/>
    <x v="0"/>
  </r>
  <r>
    <n v="155807489"/>
    <x v="60"/>
    <d v="2022-11-02T00:00:00"/>
    <n v="39"/>
    <s v="month"/>
    <s v="No"/>
    <d v="2022-11-02T00:00:00"/>
    <n v="0"/>
    <x v="1"/>
    <x v="1"/>
  </r>
  <r>
    <n v="143077712"/>
    <x v="60"/>
    <d v="2022-11-02T00:00:00"/>
    <n v="39"/>
    <s v="month"/>
    <s v="No"/>
    <d v="2022-11-02T00:00:00"/>
    <n v="0"/>
    <x v="1"/>
    <x v="1"/>
  </r>
  <r>
    <n v="159745646"/>
    <x v="60"/>
    <d v="2023-04-14T00:00:00"/>
    <n v="39"/>
    <s v="month"/>
    <s v="Yes"/>
    <d v="2023-04-14T00:00:00"/>
    <n v="5"/>
    <x v="0"/>
    <x v="0"/>
  </r>
  <r>
    <n v="139004918"/>
    <x v="60"/>
    <d v="2022-12-01T00:00:00"/>
    <n v="39"/>
    <s v="month"/>
    <s v="Yes"/>
    <d v="2022-12-01T00:00:00"/>
    <n v="1"/>
    <x v="1"/>
    <x v="0"/>
  </r>
  <r>
    <n v="153255183"/>
    <x v="60"/>
    <d v="2023-02-16T00:00:00"/>
    <n v="39"/>
    <s v="month"/>
    <s v="Yes"/>
    <d v="2023-02-16T00:00:00"/>
    <n v="3"/>
    <x v="1"/>
    <x v="0"/>
  </r>
  <r>
    <n v="157708746"/>
    <x v="60"/>
    <d v="2023-01-31T00:00:00"/>
    <n v="39"/>
    <s v="month"/>
    <s v="Yes"/>
    <d v="2023-01-31T00:00:00"/>
    <n v="2"/>
    <x v="1"/>
    <x v="0"/>
  </r>
  <r>
    <n v="155652993"/>
    <x v="60"/>
    <d v="2023-01-08T00:00:00"/>
    <n v="39"/>
    <s v="month"/>
    <s v="Yes"/>
    <d v="2023-01-08T00:00:00"/>
    <n v="2"/>
    <x v="1"/>
    <x v="0"/>
  </r>
  <r>
    <n v="159977918"/>
    <x v="60"/>
    <d v="2023-01-24T00:00:00"/>
    <n v="39"/>
    <s v="month"/>
    <s v="Yes"/>
    <d v="2023-01-24T00:00:00"/>
    <n v="2"/>
    <x v="1"/>
    <x v="0"/>
  </r>
  <r>
    <n v="160108159"/>
    <x v="60"/>
    <d v="2022-12-04T00:00:00"/>
    <n v="39"/>
    <s v="month"/>
    <s v="Yes"/>
    <d v="2022-12-04T00:00:00"/>
    <n v="1"/>
    <x v="1"/>
    <x v="0"/>
  </r>
  <r>
    <n v="160051910"/>
    <x v="60"/>
    <d v="2022-11-09T00:00:00"/>
    <n v="39"/>
    <s v="month"/>
    <s v="Yes"/>
    <d v="2022-11-09T00:00:00"/>
    <n v="0"/>
    <x v="1"/>
    <x v="1"/>
  </r>
  <r>
    <n v="146169043"/>
    <x v="60"/>
    <d v="2023-08-10T00:00:00"/>
    <n v="39"/>
    <s v="month"/>
    <s v="Yes"/>
    <d v="2023-08-10T00:00:00"/>
    <n v="9"/>
    <x v="0"/>
    <x v="0"/>
  </r>
  <r>
    <n v="159927090"/>
    <x v="61"/>
    <m/>
    <n v="39"/>
    <s v="month"/>
    <s v="Yes"/>
    <d v="2023-09-30T00:00:00"/>
    <n v="10"/>
    <x v="0"/>
    <x v="0"/>
  </r>
  <r>
    <n v="149188028"/>
    <x v="61"/>
    <m/>
    <n v="39"/>
    <s v="month"/>
    <s v="Yes"/>
    <d v="2023-09-30T00:00:00"/>
    <n v="10"/>
    <x v="0"/>
    <x v="0"/>
  </r>
  <r>
    <n v="138535334"/>
    <x v="61"/>
    <d v="2022-12-15T00:00:00"/>
    <n v="39"/>
    <s v="month"/>
    <s v="Yes"/>
    <d v="2022-12-15T00:00:00"/>
    <n v="1"/>
    <x v="1"/>
    <x v="0"/>
  </r>
  <r>
    <n v="159901871"/>
    <x v="61"/>
    <d v="2022-12-09T00:00:00"/>
    <n v="39"/>
    <s v="month"/>
    <s v="Yes"/>
    <d v="2022-12-09T00:00:00"/>
    <n v="1"/>
    <x v="1"/>
    <x v="0"/>
  </r>
  <r>
    <n v="159620660"/>
    <x v="61"/>
    <d v="2022-12-12T00:00:00"/>
    <n v="39"/>
    <s v="month"/>
    <s v="Yes"/>
    <d v="2022-12-12T00:00:00"/>
    <n v="1"/>
    <x v="1"/>
    <x v="0"/>
  </r>
  <r>
    <n v="160199525"/>
    <x v="61"/>
    <d v="2022-11-23T00:00:00"/>
    <n v="39"/>
    <s v="month"/>
    <s v="Yes"/>
    <d v="2022-11-23T00:00:00"/>
    <n v="0"/>
    <x v="1"/>
    <x v="1"/>
  </r>
  <r>
    <n v="160183686"/>
    <x v="62"/>
    <d v="2022-11-04T00:00:00"/>
    <n v="39"/>
    <s v="month"/>
    <s v="No"/>
    <d v="2022-11-04T00:00:00"/>
    <n v="0"/>
    <x v="1"/>
    <x v="1"/>
  </r>
  <r>
    <n v="152504354"/>
    <x v="62"/>
    <d v="2023-03-03T00:00:00"/>
    <n v="39"/>
    <s v="month"/>
    <s v="Yes"/>
    <d v="2023-03-03T00:00:00"/>
    <n v="4"/>
    <x v="1"/>
    <x v="0"/>
  </r>
  <r>
    <n v="143164854"/>
    <x v="62"/>
    <d v="2023-02-18T00:00:00"/>
    <n v="39"/>
    <s v="month"/>
    <s v="Yes"/>
    <d v="2023-02-18T00:00:00"/>
    <n v="3"/>
    <x v="1"/>
    <x v="0"/>
  </r>
  <r>
    <n v="160366020"/>
    <x v="62"/>
    <d v="2022-12-03T00:00:00"/>
    <n v="39"/>
    <s v="month"/>
    <s v="Yes"/>
    <d v="2022-12-03T00:00:00"/>
    <n v="1"/>
    <x v="1"/>
    <x v="0"/>
  </r>
  <r>
    <n v="160298168"/>
    <x v="62"/>
    <d v="2022-12-02T00:00:00"/>
    <n v="39"/>
    <s v="month"/>
    <s v="Yes"/>
    <d v="2022-12-02T00:00:00"/>
    <n v="1"/>
    <x v="1"/>
    <x v="0"/>
  </r>
  <r>
    <n v="160243008"/>
    <x v="62"/>
    <d v="2022-12-29T00:00:00"/>
    <n v="39"/>
    <s v="month"/>
    <s v="Yes"/>
    <d v="2022-12-29T00:00:00"/>
    <n v="1"/>
    <x v="1"/>
    <x v="0"/>
  </r>
  <r>
    <n v="150878120"/>
    <x v="62"/>
    <d v="2022-12-10T00:00:00"/>
    <n v="39"/>
    <s v="month"/>
    <s v="Yes"/>
    <d v="2022-12-10T00:00:00"/>
    <n v="1"/>
    <x v="1"/>
    <x v="0"/>
  </r>
  <r>
    <n v="160208723"/>
    <x v="63"/>
    <m/>
    <n v="39"/>
    <s v="month"/>
    <s v="Yes"/>
    <d v="2023-09-30T00:00:00"/>
    <n v="10"/>
    <x v="0"/>
    <x v="0"/>
  </r>
  <r>
    <n v="153539322"/>
    <x v="63"/>
    <d v="2023-02-07T00:00:00"/>
    <n v="39"/>
    <s v="month"/>
    <s v="Yes"/>
    <d v="2023-02-07T00:00:00"/>
    <n v="3"/>
    <x v="1"/>
    <x v="0"/>
  </r>
  <r>
    <n v="160164472"/>
    <x v="63"/>
    <d v="2023-02-24T00:00:00"/>
    <n v="39"/>
    <s v="month"/>
    <s v="Yes"/>
    <d v="2023-02-24T00:00:00"/>
    <n v="3"/>
    <x v="1"/>
    <x v="0"/>
  </r>
  <r>
    <n v="160193644"/>
    <x v="63"/>
    <d v="2023-01-11T00:00:00"/>
    <n v="39"/>
    <s v="month"/>
    <s v="Yes"/>
    <d v="2023-01-11T00:00:00"/>
    <n v="2"/>
    <x v="1"/>
    <x v="0"/>
  </r>
  <r>
    <n v="156294098"/>
    <x v="63"/>
    <d v="2022-12-03T00:00:00"/>
    <n v="39"/>
    <s v="month"/>
    <s v="Yes"/>
    <d v="2022-12-03T00:00:00"/>
    <n v="1"/>
    <x v="1"/>
    <x v="0"/>
  </r>
  <r>
    <n v="146625866"/>
    <x v="63"/>
    <d v="2022-11-19T00:00:00"/>
    <n v="39"/>
    <s v="month"/>
    <s v="Yes"/>
    <d v="2022-11-19T00:00:00"/>
    <n v="0"/>
    <x v="1"/>
    <x v="1"/>
  </r>
  <r>
    <n v="157663870"/>
    <x v="64"/>
    <d v="2022-11-06T00:00:00"/>
    <n v="39"/>
    <s v="month"/>
    <s v="Yes"/>
    <d v="2022-11-06T00:00:00"/>
    <n v="0"/>
    <x v="1"/>
    <x v="1"/>
  </r>
  <r>
    <n v="159679042"/>
    <x v="64"/>
    <d v="2022-11-06T00:00:00"/>
    <n v="39"/>
    <s v="month"/>
    <s v="No"/>
    <d v="2022-11-06T00:00:00"/>
    <n v="0"/>
    <x v="1"/>
    <x v="1"/>
  </r>
  <r>
    <n v="160558904"/>
    <x v="64"/>
    <d v="2023-01-24T00:00:00"/>
    <n v="39"/>
    <s v="month"/>
    <s v="Yes"/>
    <d v="2023-01-24T00:00:00"/>
    <n v="2"/>
    <x v="1"/>
    <x v="0"/>
  </r>
  <r>
    <n v="127836197"/>
    <x v="64"/>
    <d v="2022-11-05T00:00:00"/>
    <n v="39"/>
    <s v="month"/>
    <s v="Yes"/>
    <d v="2022-11-05T00:00:00"/>
    <n v="0"/>
    <x v="1"/>
    <x v="1"/>
  </r>
  <r>
    <n v="155334332"/>
    <x v="64"/>
    <d v="2022-12-04T00:00:00"/>
    <n v="39"/>
    <s v="month"/>
    <s v="Yes"/>
    <d v="2022-12-04T00:00:00"/>
    <n v="1"/>
    <x v="1"/>
    <x v="0"/>
  </r>
  <r>
    <n v="160523170"/>
    <x v="64"/>
    <d v="2022-12-12T00:00:00"/>
    <n v="39"/>
    <s v="month"/>
    <s v="Yes"/>
    <d v="2022-12-12T00:00:00"/>
    <n v="1"/>
    <x v="1"/>
    <x v="0"/>
  </r>
  <r>
    <n v="156907890"/>
    <x v="64"/>
    <d v="2022-11-05T00:00:00"/>
    <n v="39"/>
    <s v="month"/>
    <s v="Yes"/>
    <d v="2022-11-05T00:00:00"/>
    <n v="0"/>
    <x v="1"/>
    <x v="1"/>
  </r>
  <r>
    <n v="160608516"/>
    <x v="64"/>
    <d v="2023-08-03T00:00:00"/>
    <n v="39"/>
    <s v="month"/>
    <s v="Yes"/>
    <d v="2023-08-03T00:00:00"/>
    <n v="9"/>
    <x v="0"/>
    <x v="0"/>
  </r>
  <r>
    <n v="113181220"/>
    <x v="64"/>
    <d v="2023-07-23T00:00:00"/>
    <n v="39"/>
    <s v="month"/>
    <s v="Yes"/>
    <d v="2023-07-23T00:00:00"/>
    <n v="8"/>
    <x v="0"/>
    <x v="0"/>
  </r>
  <r>
    <n v="159790393"/>
    <x v="65"/>
    <d v="2023-02-13T00:00:00"/>
    <n v="39"/>
    <s v="month"/>
    <s v="Yes"/>
    <d v="2023-02-13T00:00:00"/>
    <n v="3"/>
    <x v="1"/>
    <x v="0"/>
  </r>
  <r>
    <n v="147813476"/>
    <x v="65"/>
    <d v="2023-01-27T00:00:00"/>
    <n v="39"/>
    <s v="month"/>
    <s v="Yes"/>
    <d v="2023-01-27T00:00:00"/>
    <n v="2"/>
    <x v="1"/>
    <x v="0"/>
  </r>
  <r>
    <n v="156078158"/>
    <x v="65"/>
    <d v="2023-01-25T00:00:00"/>
    <n v="39"/>
    <s v="month"/>
    <s v="Yes"/>
    <d v="2023-01-25T00:00:00"/>
    <n v="2"/>
    <x v="1"/>
    <x v="0"/>
  </r>
  <r>
    <n v="154879898"/>
    <x v="65"/>
    <d v="2022-11-17T00:00:00"/>
    <n v="39"/>
    <s v="month"/>
    <s v="Yes"/>
    <d v="2022-11-17T00:00:00"/>
    <n v="0"/>
    <x v="1"/>
    <x v="1"/>
  </r>
  <r>
    <n v="136157937"/>
    <x v="65"/>
    <d v="2022-12-13T00:00:00"/>
    <n v="39"/>
    <s v="month"/>
    <s v="Yes"/>
    <d v="2022-12-13T00:00:00"/>
    <n v="1"/>
    <x v="1"/>
    <x v="0"/>
  </r>
  <r>
    <n v="160176868"/>
    <x v="65"/>
    <d v="2022-12-01T00:00:00"/>
    <n v="39"/>
    <s v="month"/>
    <s v="Yes"/>
    <d v="2022-12-01T00:00:00"/>
    <n v="1"/>
    <x v="1"/>
    <x v="0"/>
  </r>
  <r>
    <n v="160622888"/>
    <x v="65"/>
    <d v="2022-11-06T00:00:00"/>
    <n v="39"/>
    <s v="month"/>
    <s v="Yes"/>
    <d v="2022-11-06T00:00:00"/>
    <n v="0"/>
    <x v="1"/>
    <x v="1"/>
  </r>
  <r>
    <n v="158736659"/>
    <x v="66"/>
    <m/>
    <n v="39"/>
    <s v="month"/>
    <s v="Yes"/>
    <d v="2023-09-30T00:00:00"/>
    <n v="10"/>
    <x v="0"/>
    <x v="0"/>
  </r>
  <r>
    <n v="160813660"/>
    <x v="66"/>
    <m/>
    <n v="39"/>
    <s v="month"/>
    <s v="Yes"/>
    <d v="2023-09-30T00:00:00"/>
    <n v="10"/>
    <x v="0"/>
    <x v="0"/>
  </r>
  <r>
    <n v="158524240"/>
    <x v="66"/>
    <m/>
    <n v="39"/>
    <s v="month"/>
    <s v="Yes"/>
    <d v="2023-09-30T00:00:00"/>
    <n v="10"/>
    <x v="0"/>
    <x v="0"/>
  </r>
  <r>
    <n v="160702738"/>
    <x v="66"/>
    <m/>
    <n v="39"/>
    <s v="month"/>
    <s v="Yes"/>
    <d v="2023-09-30T00:00:00"/>
    <n v="10"/>
    <x v="0"/>
    <x v="0"/>
  </r>
  <r>
    <n v="138919619"/>
    <x v="66"/>
    <d v="2022-12-06T00:00:00"/>
    <n v="39"/>
    <s v="month"/>
    <s v="Yes"/>
    <d v="2022-12-06T00:00:00"/>
    <n v="1"/>
    <x v="1"/>
    <x v="0"/>
  </r>
  <r>
    <n v="121571816"/>
    <x v="66"/>
    <d v="2023-03-26T00:00:00"/>
    <n v="39"/>
    <s v="month"/>
    <s v="Yes"/>
    <d v="2023-03-26T00:00:00"/>
    <n v="4"/>
    <x v="1"/>
    <x v="0"/>
  </r>
  <r>
    <n v="160623955"/>
    <x v="66"/>
    <d v="2023-07-05T00:00:00"/>
    <n v="39"/>
    <s v="month"/>
    <s v="Yes"/>
    <d v="2023-07-05T00:00:00"/>
    <n v="8"/>
    <x v="0"/>
    <x v="0"/>
  </r>
  <r>
    <n v="160010850"/>
    <x v="66"/>
    <d v="2023-03-09T00:00:00"/>
    <n v="39"/>
    <s v="month"/>
    <s v="Yes"/>
    <d v="2023-03-09T00:00:00"/>
    <n v="4"/>
    <x v="1"/>
    <x v="0"/>
  </r>
  <r>
    <n v="160823268"/>
    <x v="66"/>
    <d v="2023-02-06T00:00:00"/>
    <n v="39"/>
    <s v="month"/>
    <s v="Yes"/>
    <d v="2023-02-06T00:00:00"/>
    <n v="3"/>
    <x v="1"/>
    <x v="0"/>
  </r>
  <r>
    <n v="158992873"/>
    <x v="66"/>
    <d v="2023-02-14T00:00:00"/>
    <n v="39"/>
    <s v="month"/>
    <s v="Yes"/>
    <d v="2023-02-14T00:00:00"/>
    <n v="3"/>
    <x v="1"/>
    <x v="0"/>
  </r>
  <r>
    <n v="159878556"/>
    <x v="66"/>
    <d v="2022-12-07T00:00:00"/>
    <n v="39"/>
    <s v="month"/>
    <s v="Yes"/>
    <d v="2022-12-07T00:00:00"/>
    <n v="1"/>
    <x v="1"/>
    <x v="0"/>
  </r>
  <r>
    <n v="160833652"/>
    <x v="66"/>
    <d v="2022-12-14T00:00:00"/>
    <n v="39"/>
    <s v="month"/>
    <s v="Yes"/>
    <d v="2022-12-14T00:00:00"/>
    <n v="1"/>
    <x v="1"/>
    <x v="0"/>
  </r>
  <r>
    <n v="157663870"/>
    <x v="66"/>
    <d v="2022-12-08T00:00:00"/>
    <n v="39"/>
    <s v="month"/>
    <s v="Yes"/>
    <d v="2022-12-08T00:00:00"/>
    <n v="1"/>
    <x v="1"/>
    <x v="0"/>
  </r>
  <r>
    <n v="160615413"/>
    <x v="66"/>
    <d v="2022-12-25T00:00:00"/>
    <n v="39"/>
    <s v="month"/>
    <s v="Yes"/>
    <d v="2022-12-25T00:00:00"/>
    <n v="1"/>
    <x v="1"/>
    <x v="0"/>
  </r>
  <r>
    <n v="156207052"/>
    <x v="66"/>
    <d v="2022-12-04T00:00:00"/>
    <n v="39"/>
    <s v="month"/>
    <s v="Yes"/>
    <d v="2022-12-04T00:00:00"/>
    <n v="1"/>
    <x v="1"/>
    <x v="0"/>
  </r>
  <r>
    <n v="160103792"/>
    <x v="66"/>
    <d v="2022-11-07T00:00:00"/>
    <n v="39"/>
    <s v="month"/>
    <s v="Yes"/>
    <d v="2022-11-07T00:00:00"/>
    <n v="0"/>
    <x v="1"/>
    <x v="1"/>
  </r>
  <r>
    <n v="160969302"/>
    <x v="67"/>
    <d v="2023-08-30T00:00:00"/>
    <n v="39"/>
    <s v="month"/>
    <s v="Yes"/>
    <d v="2023-08-30T00:00:00"/>
    <n v="9"/>
    <x v="0"/>
    <x v="0"/>
  </r>
  <r>
    <n v="149648746"/>
    <x v="67"/>
    <d v="2023-06-02T00:00:00"/>
    <n v="39"/>
    <s v="month"/>
    <s v="Yes"/>
    <d v="2023-06-02T00:00:00"/>
    <n v="7"/>
    <x v="0"/>
    <x v="0"/>
  </r>
  <r>
    <n v="155643390"/>
    <x v="67"/>
    <d v="2023-03-31T00:00:00"/>
    <n v="39"/>
    <s v="month"/>
    <s v="Yes"/>
    <d v="2023-03-31T00:00:00"/>
    <n v="4"/>
    <x v="1"/>
    <x v="0"/>
  </r>
  <r>
    <n v="119294384"/>
    <x v="67"/>
    <d v="2023-03-02T00:00:00"/>
    <n v="39"/>
    <s v="month"/>
    <s v="Yes"/>
    <d v="2023-03-02T00:00:00"/>
    <n v="4"/>
    <x v="1"/>
    <x v="0"/>
  </r>
  <r>
    <n v="160171541"/>
    <x v="67"/>
    <d v="2023-01-03T00:00:00"/>
    <n v="39"/>
    <s v="month"/>
    <s v="Yes"/>
    <d v="2023-01-03T00:00:00"/>
    <n v="2"/>
    <x v="1"/>
    <x v="0"/>
  </r>
  <r>
    <n v="150569213"/>
    <x v="67"/>
    <d v="2022-12-16T00:00:00"/>
    <n v="39"/>
    <s v="month"/>
    <s v="Yes"/>
    <d v="2022-12-16T00:00:00"/>
    <n v="1"/>
    <x v="1"/>
    <x v="0"/>
  </r>
  <r>
    <n v="156710028"/>
    <x v="68"/>
    <d v="2023-03-07T00:00:00"/>
    <n v="39"/>
    <s v="month"/>
    <s v="Yes"/>
    <d v="2023-03-07T00:00:00"/>
    <n v="4"/>
    <x v="1"/>
    <x v="0"/>
  </r>
  <r>
    <n v="157670310"/>
    <x v="68"/>
    <d v="2023-02-01T00:00:00"/>
    <n v="39"/>
    <s v="month"/>
    <s v="Yes"/>
    <d v="2023-02-01T00:00:00"/>
    <n v="3"/>
    <x v="1"/>
    <x v="0"/>
  </r>
  <r>
    <n v="157091067"/>
    <x v="68"/>
    <d v="2023-02-12T00:00:00"/>
    <n v="39"/>
    <s v="month"/>
    <s v="Yes"/>
    <d v="2023-02-12T00:00:00"/>
    <n v="3"/>
    <x v="1"/>
    <x v="0"/>
  </r>
  <r>
    <n v="159639128"/>
    <x v="68"/>
    <d v="2022-11-10T00:00:00"/>
    <n v="39"/>
    <s v="month"/>
    <s v="Yes"/>
    <d v="2022-11-10T00:00:00"/>
    <n v="0"/>
    <x v="1"/>
    <x v="1"/>
  </r>
  <r>
    <n v="149728468"/>
    <x v="69"/>
    <d v="2022-11-12T00:00:00"/>
    <n v="39"/>
    <s v="month"/>
    <s v="Yes"/>
    <d v="2022-11-12T00:00:00"/>
    <n v="0"/>
    <x v="1"/>
    <x v="1"/>
  </r>
  <r>
    <n v="160714172"/>
    <x v="69"/>
    <d v="2022-12-31T00:00:00"/>
    <n v="39"/>
    <s v="month"/>
    <s v="Yes"/>
    <d v="2022-12-31T00:00:00"/>
    <n v="1"/>
    <x v="1"/>
    <x v="0"/>
  </r>
  <r>
    <n v="161464205"/>
    <x v="69"/>
    <d v="2022-12-16T00:00:00"/>
    <n v="39"/>
    <s v="month"/>
    <s v="Yes"/>
    <d v="2022-12-16T00:00:00"/>
    <n v="1"/>
    <x v="1"/>
    <x v="0"/>
  </r>
  <r>
    <n v="141084753"/>
    <x v="70"/>
    <d v="2023-04-19T00:00:00"/>
    <n v="39"/>
    <s v="month"/>
    <s v="Yes"/>
    <d v="2023-04-19T00:00:00"/>
    <n v="5"/>
    <x v="0"/>
    <x v="0"/>
  </r>
  <r>
    <n v="161768948"/>
    <x v="70"/>
    <d v="2023-04-05T00:00:00"/>
    <n v="39"/>
    <s v="month"/>
    <s v="Yes"/>
    <d v="2023-04-05T00:00:00"/>
    <n v="5"/>
    <x v="0"/>
    <x v="0"/>
  </r>
  <r>
    <n v="161692109"/>
    <x v="70"/>
    <d v="2023-02-19T00:00:00"/>
    <n v="39"/>
    <s v="month"/>
    <s v="Yes"/>
    <d v="2023-02-19T00:00:00"/>
    <n v="3"/>
    <x v="1"/>
    <x v="0"/>
  </r>
  <r>
    <n v="161424706"/>
    <x v="70"/>
    <d v="2022-12-09T00:00:00"/>
    <n v="39"/>
    <s v="month"/>
    <s v="Yes"/>
    <d v="2022-12-09T00:00:00"/>
    <n v="1"/>
    <x v="1"/>
    <x v="0"/>
  </r>
  <r>
    <n v="153186137"/>
    <x v="70"/>
    <d v="2022-11-12T00:00:00"/>
    <n v="39"/>
    <s v="month"/>
    <s v="Yes"/>
    <d v="2022-11-12T00:00:00"/>
    <n v="0"/>
    <x v="1"/>
    <x v="1"/>
  </r>
  <r>
    <n v="158906669"/>
    <x v="71"/>
    <d v="2023-02-12T00:00:00"/>
    <n v="39"/>
    <s v="month"/>
    <s v="Yes"/>
    <d v="2023-02-12T00:00:00"/>
    <n v="3"/>
    <x v="1"/>
    <x v="0"/>
  </r>
  <r>
    <n v="154085972"/>
    <x v="71"/>
    <d v="2022-12-05T00:00:00"/>
    <n v="39"/>
    <s v="month"/>
    <s v="Yes"/>
    <d v="2022-12-05T00:00:00"/>
    <n v="1"/>
    <x v="1"/>
    <x v="0"/>
  </r>
  <r>
    <n v="162409676"/>
    <x v="72"/>
    <m/>
    <n v="39"/>
    <s v="month"/>
    <s v="Yes"/>
    <d v="2023-09-30T00:00:00"/>
    <n v="10"/>
    <x v="0"/>
    <x v="0"/>
  </r>
  <r>
    <n v="157438261"/>
    <x v="72"/>
    <m/>
    <n v="39"/>
    <s v="month"/>
    <s v="Yes"/>
    <d v="2023-09-30T00:00:00"/>
    <n v="10"/>
    <x v="0"/>
    <x v="0"/>
  </r>
  <r>
    <n v="132579012"/>
    <x v="72"/>
    <d v="2023-03-14T00:00:00"/>
    <n v="39"/>
    <s v="month"/>
    <s v="Yes"/>
    <d v="2023-03-14T00:00:00"/>
    <n v="4"/>
    <x v="1"/>
    <x v="0"/>
  </r>
  <r>
    <n v="129140042"/>
    <x v="72"/>
    <d v="2023-02-09T00:00:00"/>
    <n v="39"/>
    <s v="month"/>
    <s v="Yes"/>
    <d v="2023-02-09T00:00:00"/>
    <n v="3"/>
    <x v="1"/>
    <x v="0"/>
  </r>
  <r>
    <n v="147100996"/>
    <x v="72"/>
    <d v="2023-01-15T00:00:00"/>
    <n v="39"/>
    <s v="month"/>
    <s v="Yes"/>
    <d v="2023-01-15T00:00:00"/>
    <n v="2"/>
    <x v="1"/>
    <x v="0"/>
  </r>
  <r>
    <n v="158437198"/>
    <x v="72"/>
    <d v="2023-03-26T00:00:00"/>
    <n v="39"/>
    <s v="month"/>
    <s v="Yes"/>
    <d v="2023-03-26T00:00:00"/>
    <n v="4"/>
    <x v="1"/>
    <x v="0"/>
  </r>
  <r>
    <n v="162343403"/>
    <x v="72"/>
    <d v="2023-03-16T00:00:00"/>
    <n v="39"/>
    <s v="month"/>
    <s v="Yes"/>
    <d v="2023-03-16T00:00:00"/>
    <n v="4"/>
    <x v="1"/>
    <x v="0"/>
  </r>
  <r>
    <n v="162218672"/>
    <x v="72"/>
    <d v="2023-03-09T00:00:00"/>
    <n v="39"/>
    <s v="month"/>
    <s v="Yes"/>
    <d v="2023-03-09T00:00:00"/>
    <n v="4"/>
    <x v="1"/>
    <x v="0"/>
  </r>
  <r>
    <n v="120738319"/>
    <x v="72"/>
    <d v="2023-04-03T00:00:00"/>
    <n v="39"/>
    <s v="month"/>
    <s v="Yes"/>
    <d v="2023-04-03T00:00:00"/>
    <n v="5"/>
    <x v="0"/>
    <x v="0"/>
  </r>
  <r>
    <n v="162147786"/>
    <x v="72"/>
    <d v="2023-04-14T00:00:00"/>
    <n v="39"/>
    <s v="month"/>
    <s v="Yes"/>
    <d v="2023-04-14T00:00:00"/>
    <n v="5"/>
    <x v="0"/>
    <x v="0"/>
  </r>
  <r>
    <n v="153165084"/>
    <x v="72"/>
    <d v="2023-02-08T00:00:00"/>
    <n v="39"/>
    <s v="month"/>
    <s v="Yes"/>
    <d v="2023-02-08T00:00:00"/>
    <n v="3"/>
    <x v="1"/>
    <x v="0"/>
  </r>
  <r>
    <n v="161815335"/>
    <x v="72"/>
    <d v="2023-02-19T00:00:00"/>
    <n v="39"/>
    <s v="month"/>
    <s v="Yes"/>
    <d v="2023-02-19T00:00:00"/>
    <n v="3"/>
    <x v="1"/>
    <x v="0"/>
  </r>
  <r>
    <n v="162294529"/>
    <x v="72"/>
    <d v="2023-02-07T00:00:00"/>
    <n v="39"/>
    <s v="month"/>
    <s v="Yes"/>
    <d v="2023-02-07T00:00:00"/>
    <n v="3"/>
    <x v="1"/>
    <x v="0"/>
  </r>
  <r>
    <n v="162176080"/>
    <x v="72"/>
    <d v="2023-02-05T00:00:00"/>
    <n v="39"/>
    <s v="month"/>
    <s v="Yes"/>
    <d v="2023-02-05T00:00:00"/>
    <n v="3"/>
    <x v="1"/>
    <x v="0"/>
  </r>
  <r>
    <n v="162412232"/>
    <x v="72"/>
    <d v="2022-12-21T00:00:00"/>
    <n v="39"/>
    <s v="month"/>
    <s v="Yes"/>
    <d v="2022-12-21T00:00:00"/>
    <n v="1"/>
    <x v="1"/>
    <x v="0"/>
  </r>
  <r>
    <n v="158575772"/>
    <x v="72"/>
    <d v="2022-12-16T00:00:00"/>
    <n v="39"/>
    <s v="month"/>
    <s v="Yes"/>
    <d v="2022-12-16T00:00:00"/>
    <n v="1"/>
    <x v="1"/>
    <x v="0"/>
  </r>
  <r>
    <n v="162247173"/>
    <x v="72"/>
    <d v="2022-12-11T00:00:00"/>
    <n v="39"/>
    <s v="month"/>
    <s v="Yes"/>
    <d v="2022-12-11T00:00:00"/>
    <n v="1"/>
    <x v="1"/>
    <x v="0"/>
  </r>
  <r>
    <n v="153630282"/>
    <x v="72"/>
    <d v="2022-12-08T00:00:00"/>
    <n v="39"/>
    <s v="month"/>
    <s v="Yes"/>
    <d v="2022-12-08T00:00:00"/>
    <n v="1"/>
    <x v="1"/>
    <x v="0"/>
  </r>
  <r>
    <n v="156699431"/>
    <x v="72"/>
    <d v="2022-11-23T00:00:00"/>
    <n v="39"/>
    <s v="month"/>
    <s v="Yes"/>
    <d v="2022-11-23T00:00:00"/>
    <n v="0"/>
    <x v="1"/>
    <x v="1"/>
  </r>
  <r>
    <n v="148018000"/>
    <x v="72"/>
    <d v="2023-08-01T00:00:00"/>
    <n v="39"/>
    <s v="month"/>
    <s v="Yes"/>
    <d v="2023-08-01T00:00:00"/>
    <n v="9"/>
    <x v="0"/>
    <x v="0"/>
  </r>
  <r>
    <n v="161623906"/>
    <x v="73"/>
    <m/>
    <n v="39"/>
    <s v="month"/>
    <s v="Yes"/>
    <d v="2023-09-30T00:00:00"/>
    <n v="10"/>
    <x v="0"/>
    <x v="0"/>
  </r>
  <r>
    <n v="145664226"/>
    <x v="73"/>
    <m/>
    <n v="39"/>
    <s v="month"/>
    <s v="Yes"/>
    <d v="2023-09-30T00:00:00"/>
    <n v="10"/>
    <x v="0"/>
    <x v="0"/>
  </r>
  <r>
    <n v="162529715"/>
    <x v="73"/>
    <d v="2023-03-22T00:00:00"/>
    <n v="39"/>
    <s v="month"/>
    <s v="Yes"/>
    <d v="2023-03-22T00:00:00"/>
    <n v="4"/>
    <x v="1"/>
    <x v="0"/>
  </r>
  <r>
    <n v="162581284"/>
    <x v="73"/>
    <d v="2022-12-11T00:00:00"/>
    <n v="39"/>
    <s v="month"/>
    <s v="Yes"/>
    <d v="2022-12-11T00:00:00"/>
    <n v="1"/>
    <x v="1"/>
    <x v="0"/>
  </r>
  <r>
    <n v="152655443"/>
    <x v="73"/>
    <d v="2023-01-24T00:00:00"/>
    <n v="39"/>
    <s v="month"/>
    <s v="Yes"/>
    <d v="2023-01-24T00:00:00"/>
    <n v="2"/>
    <x v="1"/>
    <x v="0"/>
  </r>
  <r>
    <n v="162443327"/>
    <x v="73"/>
    <d v="2023-01-12T00:00:00"/>
    <n v="39"/>
    <s v="month"/>
    <s v="Yes"/>
    <d v="2023-01-12T00:00:00"/>
    <n v="2"/>
    <x v="1"/>
    <x v="0"/>
  </r>
  <r>
    <n v="148348600"/>
    <x v="73"/>
    <d v="2022-12-13T00:00:00"/>
    <n v="39"/>
    <s v="month"/>
    <s v="Yes"/>
    <d v="2022-12-13T00:00:00"/>
    <n v="1"/>
    <x v="1"/>
    <x v="0"/>
  </r>
  <r>
    <n v="162992590"/>
    <x v="74"/>
    <m/>
    <n v="39"/>
    <s v="month"/>
    <s v="Yes"/>
    <d v="2023-09-30T00:00:00"/>
    <n v="10"/>
    <x v="0"/>
    <x v="0"/>
  </r>
  <r>
    <n v="156633222"/>
    <x v="74"/>
    <d v="2022-11-16T00:00:00"/>
    <n v="39"/>
    <s v="month"/>
    <s v="No"/>
    <d v="2022-11-16T00:00:00"/>
    <n v="0"/>
    <x v="1"/>
    <x v="1"/>
  </r>
  <r>
    <n v="133595094"/>
    <x v="74"/>
    <d v="2023-03-03T00:00:00"/>
    <n v="39"/>
    <s v="month"/>
    <s v="Yes"/>
    <d v="2023-03-03T00:00:00"/>
    <n v="4"/>
    <x v="1"/>
    <x v="0"/>
  </r>
  <r>
    <n v="147770763"/>
    <x v="74"/>
    <d v="2023-03-03T00:00:00"/>
    <n v="39"/>
    <s v="month"/>
    <s v="Yes"/>
    <d v="2023-03-03T00:00:00"/>
    <n v="4"/>
    <x v="1"/>
    <x v="0"/>
  </r>
  <r>
    <n v="155370139"/>
    <x v="74"/>
    <d v="2023-03-23T00:00:00"/>
    <n v="39"/>
    <s v="month"/>
    <s v="Yes"/>
    <d v="2023-03-23T00:00:00"/>
    <n v="4"/>
    <x v="1"/>
    <x v="0"/>
  </r>
  <r>
    <n v="151890876"/>
    <x v="74"/>
    <d v="2023-02-23T00:00:00"/>
    <n v="39"/>
    <s v="month"/>
    <s v="Yes"/>
    <d v="2023-02-23T00:00:00"/>
    <n v="3"/>
    <x v="1"/>
    <x v="0"/>
  </r>
  <r>
    <n v="162920304"/>
    <x v="74"/>
    <d v="2023-01-15T00:00:00"/>
    <n v="39"/>
    <s v="month"/>
    <s v="Yes"/>
    <d v="2023-01-15T00:00:00"/>
    <n v="2"/>
    <x v="1"/>
    <x v="0"/>
  </r>
  <r>
    <n v="148838269"/>
    <x v="74"/>
    <d v="2022-11-16T00:00:00"/>
    <n v="39"/>
    <s v="month"/>
    <s v="Yes"/>
    <d v="2022-11-16T00:00:00"/>
    <n v="0"/>
    <x v="1"/>
    <x v="1"/>
  </r>
  <r>
    <n v="162913792"/>
    <x v="74"/>
    <d v="2023-08-23T00:00:00"/>
    <n v="39"/>
    <s v="month"/>
    <s v="Yes"/>
    <d v="2023-08-23T00:00:00"/>
    <n v="9"/>
    <x v="0"/>
    <x v="0"/>
  </r>
  <r>
    <n v="152316740"/>
    <x v="75"/>
    <m/>
    <n v="39"/>
    <s v="month"/>
    <s v="Yes"/>
    <d v="2023-09-30T00:00:00"/>
    <n v="10"/>
    <x v="0"/>
    <x v="0"/>
  </r>
  <r>
    <n v="135480868"/>
    <x v="75"/>
    <d v="2023-01-26T00:00:00"/>
    <n v="39"/>
    <s v="month"/>
    <s v="Yes"/>
    <d v="2023-01-26T00:00:00"/>
    <n v="2"/>
    <x v="1"/>
    <x v="0"/>
  </r>
  <r>
    <n v="136315690"/>
    <x v="75"/>
    <d v="2023-02-24T00:00:00"/>
    <n v="39"/>
    <s v="month"/>
    <s v="Yes"/>
    <d v="2023-02-24T00:00:00"/>
    <n v="3"/>
    <x v="1"/>
    <x v="0"/>
  </r>
  <r>
    <n v="163224262"/>
    <x v="75"/>
    <d v="2023-02-12T00:00:00"/>
    <n v="39"/>
    <s v="month"/>
    <s v="Yes"/>
    <d v="2023-02-12T00:00:00"/>
    <n v="3"/>
    <x v="1"/>
    <x v="0"/>
  </r>
  <r>
    <n v="163330072"/>
    <x v="75"/>
    <d v="2023-01-24T00:00:00"/>
    <n v="39"/>
    <s v="month"/>
    <s v="Yes"/>
    <d v="2023-01-24T00:00:00"/>
    <n v="2"/>
    <x v="1"/>
    <x v="0"/>
  </r>
  <r>
    <n v="134646164"/>
    <x v="75"/>
    <d v="2022-12-24T00:00:00"/>
    <n v="39"/>
    <s v="month"/>
    <s v="Yes"/>
    <d v="2022-12-24T00:00:00"/>
    <n v="1"/>
    <x v="1"/>
    <x v="0"/>
  </r>
  <r>
    <n v="163282336"/>
    <x v="75"/>
    <d v="2023-08-10T00:00:00"/>
    <n v="39"/>
    <s v="month"/>
    <s v="Yes"/>
    <d v="2023-08-10T00:00:00"/>
    <n v="9"/>
    <x v="0"/>
    <x v="0"/>
  </r>
  <r>
    <n v="162490128"/>
    <x v="76"/>
    <m/>
    <n v="39"/>
    <s v="month"/>
    <s v="Yes"/>
    <d v="2023-09-30T00:00:00"/>
    <n v="10"/>
    <x v="0"/>
    <x v="0"/>
  </r>
  <r>
    <n v="147122277"/>
    <x v="76"/>
    <d v="2022-11-19T00:00:00"/>
    <n v="39"/>
    <s v="month"/>
    <s v="No"/>
    <d v="2022-11-19T00:00:00"/>
    <n v="0"/>
    <x v="1"/>
    <x v="1"/>
  </r>
  <r>
    <n v="163623375"/>
    <x v="76"/>
    <d v="2022-11-19T00:00:00"/>
    <n v="39"/>
    <s v="month"/>
    <s v="No"/>
    <d v="2022-11-19T00:00:00"/>
    <n v="0"/>
    <x v="1"/>
    <x v="1"/>
  </r>
  <r>
    <n v="132918654"/>
    <x v="76"/>
    <d v="2023-01-18T00:00:00"/>
    <n v="39"/>
    <s v="month"/>
    <s v="Yes"/>
    <d v="2023-01-18T00:00:00"/>
    <n v="2"/>
    <x v="1"/>
    <x v="0"/>
  </r>
  <r>
    <n v="160601062"/>
    <x v="76"/>
    <d v="2023-01-09T00:00:00"/>
    <n v="39"/>
    <s v="month"/>
    <s v="Yes"/>
    <d v="2023-01-09T00:00:00"/>
    <n v="2"/>
    <x v="1"/>
    <x v="0"/>
  </r>
  <r>
    <n v="144573808"/>
    <x v="76"/>
    <d v="2023-01-18T00:00:00"/>
    <n v="39"/>
    <s v="month"/>
    <s v="Yes"/>
    <d v="2023-01-18T00:00:00"/>
    <n v="2"/>
    <x v="1"/>
    <x v="0"/>
  </r>
  <r>
    <n v="114435366"/>
    <x v="76"/>
    <d v="2022-11-18T00:00:00"/>
    <n v="39"/>
    <s v="month"/>
    <s v="Yes"/>
    <d v="2022-11-18T00:00:00"/>
    <n v="0"/>
    <x v="1"/>
    <x v="1"/>
  </r>
  <r>
    <n v="163399934"/>
    <x v="76"/>
    <d v="2022-11-18T00:00:00"/>
    <n v="39"/>
    <s v="month"/>
    <s v="Yes"/>
    <d v="2022-11-18T00:00:00"/>
    <n v="0"/>
    <x v="1"/>
    <x v="1"/>
  </r>
  <r>
    <n v="133599090"/>
    <x v="77"/>
    <d v="2023-03-11T00:00:00"/>
    <n v="39"/>
    <s v="month"/>
    <s v="Yes"/>
    <d v="2023-03-11T00:00:00"/>
    <n v="4"/>
    <x v="1"/>
    <x v="0"/>
  </r>
  <r>
    <n v="154767246"/>
    <x v="77"/>
    <d v="2022-12-20T00:00:00"/>
    <n v="39"/>
    <s v="month"/>
    <s v="Yes"/>
    <d v="2022-12-20T00:00:00"/>
    <n v="1"/>
    <x v="1"/>
    <x v="0"/>
  </r>
  <r>
    <n v="164085988"/>
    <x v="77"/>
    <d v="2022-12-20T00:00:00"/>
    <n v="39"/>
    <s v="month"/>
    <s v="Yes"/>
    <d v="2022-12-20T00:00:00"/>
    <n v="1"/>
    <x v="1"/>
    <x v="0"/>
  </r>
  <r>
    <n v="164255751"/>
    <x v="78"/>
    <d v="2023-08-21T00:00:00"/>
    <n v="39"/>
    <s v="month"/>
    <s v="Yes"/>
    <d v="2023-08-21T00:00:00"/>
    <n v="9"/>
    <x v="0"/>
    <x v="0"/>
  </r>
  <r>
    <n v="150663530"/>
    <x v="78"/>
    <d v="2023-04-27T00:00:00"/>
    <n v="39"/>
    <s v="month"/>
    <s v="Yes"/>
    <d v="2023-04-27T00:00:00"/>
    <n v="5"/>
    <x v="0"/>
    <x v="0"/>
  </r>
  <r>
    <n v="155333508"/>
    <x v="78"/>
    <d v="2023-01-19T00:00:00"/>
    <n v="39"/>
    <s v="month"/>
    <s v="Yes"/>
    <d v="2023-01-19T00:00:00"/>
    <n v="2"/>
    <x v="1"/>
    <x v="0"/>
  </r>
  <r>
    <n v="163178244"/>
    <x v="79"/>
    <m/>
    <n v="39"/>
    <s v="month"/>
    <s v="No"/>
    <d v="2023-09-30T00:00:00"/>
    <n v="10"/>
    <x v="0"/>
    <x v="0"/>
  </r>
  <r>
    <n v="130245484"/>
    <x v="79"/>
    <d v="2023-02-20T00:00:00"/>
    <n v="39"/>
    <s v="month"/>
    <s v="Yes"/>
    <d v="2023-02-20T00:00:00"/>
    <n v="3"/>
    <x v="1"/>
    <x v="0"/>
  </r>
  <r>
    <n v="164578320"/>
    <x v="79"/>
    <d v="2022-12-21T00:00:00"/>
    <n v="39"/>
    <s v="month"/>
    <s v="Yes"/>
    <d v="2022-12-21T00:00:00"/>
    <n v="1"/>
    <x v="1"/>
    <x v="0"/>
  </r>
  <r>
    <n v="164542692"/>
    <x v="79"/>
    <d v="2022-12-28T00:00:00"/>
    <n v="39"/>
    <s v="month"/>
    <s v="Yes"/>
    <d v="2022-12-28T00:00:00"/>
    <n v="1"/>
    <x v="1"/>
    <x v="0"/>
  </r>
  <r>
    <n v="164087136"/>
    <x v="80"/>
    <m/>
    <n v="39"/>
    <s v="month"/>
    <s v="Yes"/>
    <d v="2023-09-30T00:00:00"/>
    <n v="10"/>
    <x v="0"/>
    <x v="0"/>
  </r>
  <r>
    <n v="155414052"/>
    <x v="80"/>
    <d v="2022-11-23T00:00:00"/>
    <n v="39"/>
    <s v="month"/>
    <s v="No"/>
    <d v="2022-11-23T00:00:00"/>
    <n v="0"/>
    <x v="1"/>
    <x v="1"/>
  </r>
  <r>
    <n v="152253972"/>
    <x v="80"/>
    <d v="2023-03-29T00:00:00"/>
    <n v="39"/>
    <s v="month"/>
    <s v="Yes"/>
    <d v="2023-03-29T00:00:00"/>
    <n v="4"/>
    <x v="1"/>
    <x v="0"/>
  </r>
  <r>
    <n v="152754329"/>
    <x v="80"/>
    <d v="2023-01-23T00:00:00"/>
    <n v="39"/>
    <s v="month"/>
    <s v="Yes"/>
    <d v="2023-01-23T00:00:00"/>
    <n v="2"/>
    <x v="1"/>
    <x v="0"/>
  </r>
  <r>
    <n v="159724071"/>
    <x v="81"/>
    <d v="2023-01-19T00:00:00"/>
    <n v="39"/>
    <s v="month"/>
    <s v="Yes"/>
    <d v="2023-01-19T00:00:00"/>
    <n v="2"/>
    <x v="1"/>
    <x v="0"/>
  </r>
  <r>
    <n v="165164673"/>
    <x v="81"/>
    <d v="2022-11-26T00:00:00"/>
    <n v="39"/>
    <s v="month"/>
    <s v="Yes"/>
    <d v="2022-11-26T00:00:00"/>
    <n v="0"/>
    <x v="1"/>
    <x v="1"/>
  </r>
  <r>
    <n v="165529460"/>
    <x v="82"/>
    <d v="2023-04-21T00:00:00"/>
    <n v="39"/>
    <s v="month"/>
    <s v="Yes"/>
    <d v="2023-04-21T00:00:00"/>
    <n v="5"/>
    <x v="0"/>
    <x v="0"/>
  </r>
  <r>
    <n v="163362190"/>
    <x v="83"/>
    <m/>
    <n v="39"/>
    <s v="month"/>
    <s v="Yes"/>
    <d v="2023-09-30T00:00:00"/>
    <n v="10"/>
    <x v="0"/>
    <x v="0"/>
  </r>
  <r>
    <n v="155810350"/>
    <x v="83"/>
    <d v="2022-12-22T00:00:00"/>
    <n v="39"/>
    <s v="month"/>
    <s v="Yes"/>
    <d v="2022-12-22T00:00:00"/>
    <n v="1"/>
    <x v="1"/>
    <x v="0"/>
  </r>
  <r>
    <n v="161793136"/>
    <x v="83"/>
    <d v="2023-06-13T00:00:00"/>
    <n v="39"/>
    <s v="month"/>
    <s v="Yes"/>
    <d v="2023-06-13T00:00:00"/>
    <n v="7"/>
    <x v="0"/>
    <x v="0"/>
  </r>
  <r>
    <n v="159255776"/>
    <x v="83"/>
    <d v="2023-03-21T00:00:00"/>
    <n v="39"/>
    <s v="month"/>
    <s v="Yes"/>
    <d v="2023-03-21T00:00:00"/>
    <n v="4"/>
    <x v="1"/>
    <x v="0"/>
  </r>
  <r>
    <n v="165807144"/>
    <x v="83"/>
    <d v="2023-02-01T00:00:00"/>
    <n v="39"/>
    <s v="month"/>
    <s v="Yes"/>
    <d v="2023-02-01T00:00:00"/>
    <n v="3"/>
    <x v="1"/>
    <x v="0"/>
  </r>
  <r>
    <n v="165788743"/>
    <x v="83"/>
    <d v="2023-02-18T00:00:00"/>
    <n v="39"/>
    <s v="month"/>
    <s v="Yes"/>
    <d v="2023-02-18T00:00:00"/>
    <n v="3"/>
    <x v="1"/>
    <x v="0"/>
  </r>
  <r>
    <n v="162513776"/>
    <x v="83"/>
    <d v="2023-01-30T00:00:00"/>
    <n v="39"/>
    <s v="month"/>
    <s v="Yes"/>
    <d v="2023-01-30T00:00:00"/>
    <n v="2"/>
    <x v="1"/>
    <x v="0"/>
  </r>
  <r>
    <n v="161841028"/>
    <x v="83"/>
    <d v="2023-01-25T00:00:00"/>
    <n v="39"/>
    <s v="month"/>
    <s v="Yes"/>
    <d v="2023-01-25T00:00:00"/>
    <n v="2"/>
    <x v="1"/>
    <x v="0"/>
  </r>
  <r>
    <n v="160597612"/>
    <x v="83"/>
    <d v="2022-12-11T00:00:00"/>
    <n v="39"/>
    <s v="month"/>
    <s v="Yes"/>
    <d v="2022-12-11T00:00:00"/>
    <n v="1"/>
    <x v="1"/>
    <x v="0"/>
  </r>
  <r>
    <n v="165937140"/>
    <x v="84"/>
    <d v="2022-11-27T00:00:00"/>
    <n v="39"/>
    <s v="month"/>
    <s v="No"/>
    <d v="2022-11-27T00:00:00"/>
    <n v="0"/>
    <x v="1"/>
    <x v="1"/>
  </r>
  <r>
    <n v="165613975"/>
    <x v="84"/>
    <d v="2023-05-07T00:00:00"/>
    <n v="39"/>
    <s v="month"/>
    <s v="Yes"/>
    <d v="2023-05-07T00:00:00"/>
    <n v="6"/>
    <x v="0"/>
    <x v="0"/>
  </r>
  <r>
    <n v="164662173"/>
    <x v="84"/>
    <d v="2023-01-26T00:00:00"/>
    <n v="39"/>
    <s v="month"/>
    <s v="Yes"/>
    <d v="2023-01-26T00:00:00"/>
    <n v="2"/>
    <x v="1"/>
    <x v="0"/>
  </r>
  <r>
    <n v="162411394"/>
    <x v="84"/>
    <d v="2023-01-04T00:00:00"/>
    <n v="39"/>
    <s v="month"/>
    <s v="Yes"/>
    <d v="2023-01-04T00:00:00"/>
    <n v="2"/>
    <x v="1"/>
    <x v="0"/>
  </r>
  <r>
    <n v="121439836"/>
    <x v="85"/>
    <m/>
    <n v="39"/>
    <s v="month"/>
    <s v="Yes"/>
    <d v="2023-09-30T00:00:00"/>
    <n v="10"/>
    <x v="0"/>
    <x v="0"/>
  </r>
  <r>
    <n v="157353623"/>
    <x v="85"/>
    <d v="2022-11-27T00:00:00"/>
    <n v="39"/>
    <s v="month"/>
    <s v="No"/>
    <d v="2022-11-27T00:00:00"/>
    <n v="0"/>
    <x v="1"/>
    <x v="1"/>
  </r>
  <r>
    <n v="165953219"/>
    <x v="85"/>
    <d v="2023-01-03T00:00:00"/>
    <n v="39"/>
    <s v="month"/>
    <s v="Yes"/>
    <d v="2023-01-03T00:00:00"/>
    <n v="2"/>
    <x v="1"/>
    <x v="0"/>
  </r>
  <r>
    <n v="154710805"/>
    <x v="86"/>
    <m/>
    <n v="39"/>
    <s v="month"/>
    <s v="Yes"/>
    <d v="2023-09-30T00:00:00"/>
    <n v="10"/>
    <x v="0"/>
    <x v="0"/>
  </r>
  <r>
    <n v="164084318"/>
    <x v="86"/>
    <m/>
    <n v="39"/>
    <s v="month"/>
    <s v="Yes"/>
    <d v="2023-09-30T00:00:00"/>
    <n v="10"/>
    <x v="0"/>
    <x v="0"/>
  </r>
  <r>
    <n v="160043327"/>
    <x v="86"/>
    <d v="2022-11-29T00:00:00"/>
    <n v="39"/>
    <s v="month"/>
    <s v="No"/>
    <d v="2022-11-29T00:00:00"/>
    <n v="0"/>
    <x v="1"/>
    <x v="1"/>
  </r>
  <r>
    <n v="131166579"/>
    <x v="86"/>
    <d v="2023-01-04T00:00:00"/>
    <n v="39"/>
    <s v="month"/>
    <s v="Yes"/>
    <d v="2023-01-04T00:00:00"/>
    <n v="2"/>
    <x v="1"/>
    <x v="0"/>
  </r>
  <r>
    <n v="166109726"/>
    <x v="86"/>
    <d v="2023-01-12T00:00:00"/>
    <n v="39"/>
    <s v="month"/>
    <s v="Yes"/>
    <d v="2023-01-12T00:00:00"/>
    <n v="2"/>
    <x v="1"/>
    <x v="0"/>
  </r>
  <r>
    <n v="155446081"/>
    <x v="86"/>
    <d v="2023-01-01T00:00:00"/>
    <n v="39"/>
    <s v="month"/>
    <s v="Yes"/>
    <d v="2023-01-01T00:00:00"/>
    <n v="2"/>
    <x v="1"/>
    <x v="0"/>
  </r>
  <r>
    <n v="166342075"/>
    <x v="86"/>
    <d v="2022-12-28T00:00:00"/>
    <n v="39"/>
    <s v="month"/>
    <s v="Yes"/>
    <d v="2022-12-28T00:00:00"/>
    <n v="1"/>
    <x v="1"/>
    <x v="0"/>
  </r>
  <r>
    <n v="154063985"/>
    <x v="86"/>
    <d v="2023-08-04T00:00:00"/>
    <n v="39"/>
    <s v="month"/>
    <s v="Yes"/>
    <d v="2023-08-04T00:00:00"/>
    <n v="9"/>
    <x v="0"/>
    <x v="0"/>
  </r>
  <r>
    <n v="164141888"/>
    <x v="87"/>
    <m/>
    <n v="39"/>
    <s v="month"/>
    <s v="Yes"/>
    <d v="2023-09-30T00:00:00"/>
    <n v="10"/>
    <x v="0"/>
    <x v="0"/>
  </r>
  <r>
    <n v="165244044"/>
    <x v="87"/>
    <d v="2023-05-15T00:00:00"/>
    <n v="39"/>
    <s v="month"/>
    <s v="Yes"/>
    <d v="2023-05-15T00:00:00"/>
    <n v="6"/>
    <x v="0"/>
    <x v="0"/>
  </r>
  <r>
    <n v="136149379"/>
    <x v="87"/>
    <d v="2023-04-02T00:00:00"/>
    <n v="39"/>
    <s v="month"/>
    <s v="Yes"/>
    <d v="2023-04-02T00:00:00"/>
    <n v="5"/>
    <x v="0"/>
    <x v="0"/>
  </r>
  <r>
    <n v="158227426"/>
    <x v="87"/>
    <d v="2023-03-01T00:00:00"/>
    <n v="39"/>
    <s v="month"/>
    <s v="Yes"/>
    <d v="2023-03-01T00:00:00"/>
    <n v="4"/>
    <x v="1"/>
    <x v="0"/>
  </r>
  <r>
    <n v="166366125"/>
    <x v="87"/>
    <d v="2023-03-09T00:00:00"/>
    <n v="39"/>
    <s v="month"/>
    <s v="Yes"/>
    <d v="2023-03-09T00:00:00"/>
    <n v="4"/>
    <x v="1"/>
    <x v="0"/>
  </r>
  <r>
    <n v="166753946"/>
    <x v="87"/>
    <d v="2023-02-05T00:00:00"/>
    <n v="39"/>
    <s v="month"/>
    <s v="Yes"/>
    <d v="2023-02-05T00:00:00"/>
    <n v="3"/>
    <x v="1"/>
    <x v="0"/>
  </r>
  <r>
    <n v="157883110"/>
    <x v="87"/>
    <d v="2023-01-23T00:00:00"/>
    <n v="39"/>
    <s v="month"/>
    <s v="Yes"/>
    <d v="2023-01-23T00:00:00"/>
    <n v="2"/>
    <x v="1"/>
    <x v="0"/>
  </r>
  <r>
    <n v="138475621"/>
    <x v="87"/>
    <d v="2022-12-15T00:00:00"/>
    <n v="39"/>
    <s v="month"/>
    <s v="Yes"/>
    <d v="2022-12-15T00:00:00"/>
    <n v="1"/>
    <x v="1"/>
    <x v="0"/>
  </r>
  <r>
    <n v="166529240"/>
    <x v="88"/>
    <m/>
    <n v="39"/>
    <s v="month"/>
    <s v="Yes"/>
    <d v="2023-09-30T00:00:00"/>
    <n v="10"/>
    <x v="0"/>
    <x v="0"/>
  </r>
  <r>
    <n v="125828506"/>
    <x v="88"/>
    <d v="2023-02-14T00:00:00"/>
    <n v="39"/>
    <s v="month"/>
    <s v="Yes"/>
    <d v="2023-02-14T00:00:00"/>
    <n v="3"/>
    <x v="1"/>
    <x v="0"/>
  </r>
  <r>
    <n v="148869381"/>
    <x v="88"/>
    <d v="2023-01-31T00:00:00"/>
    <n v="39"/>
    <s v="month"/>
    <s v="Yes"/>
    <d v="2023-01-31T00:00:00"/>
    <n v="2"/>
    <x v="1"/>
    <x v="0"/>
  </r>
  <r>
    <n v="134825962"/>
    <x v="88"/>
    <d v="2023-01-01T00:00:00"/>
    <n v="39"/>
    <s v="month"/>
    <s v="Yes"/>
    <d v="2023-01-01T00:00:00"/>
    <n v="2"/>
    <x v="1"/>
    <x v="0"/>
  </r>
  <r>
    <n v="151163143"/>
    <x v="88"/>
    <d v="2023-01-06T00:00:00"/>
    <n v="39"/>
    <s v="month"/>
    <s v="Yes"/>
    <d v="2023-01-06T00:00:00"/>
    <n v="2"/>
    <x v="1"/>
    <x v="0"/>
  </r>
  <r>
    <n v="156111982"/>
    <x v="88"/>
    <d v="2022-12-23T00:00:00"/>
    <n v="39"/>
    <s v="month"/>
    <s v="Yes"/>
    <d v="2022-12-23T00:00:00"/>
    <n v="1"/>
    <x v="1"/>
    <x v="0"/>
  </r>
  <r>
    <n v="166546201"/>
    <x v="88"/>
    <d v="2022-12-11T00:00:00"/>
    <n v="39"/>
    <s v="month"/>
    <s v="Yes"/>
    <d v="2022-12-11T00:00:00"/>
    <n v="1"/>
    <x v="1"/>
    <x v="0"/>
  </r>
  <r>
    <n v="162126074"/>
    <x v="89"/>
    <m/>
    <n v="39"/>
    <s v="month"/>
    <s v="Yes"/>
    <d v="2023-09-30T00:00:00"/>
    <n v="9"/>
    <x v="0"/>
    <x v="0"/>
  </r>
  <r>
    <n v="162640429"/>
    <x v="89"/>
    <m/>
    <n v="39"/>
    <s v="month"/>
    <s v="Yes"/>
    <d v="2023-09-30T00:00:00"/>
    <n v="9"/>
    <x v="0"/>
    <x v="0"/>
  </r>
  <r>
    <n v="164413682"/>
    <x v="89"/>
    <m/>
    <n v="39"/>
    <s v="month"/>
    <s v="Yes"/>
    <d v="2023-09-30T00:00:00"/>
    <n v="9"/>
    <x v="0"/>
    <x v="0"/>
  </r>
  <r>
    <n v="162850052"/>
    <x v="89"/>
    <m/>
    <n v="39"/>
    <s v="month"/>
    <s v="Yes"/>
    <d v="2023-09-30T00:00:00"/>
    <n v="9"/>
    <x v="0"/>
    <x v="0"/>
  </r>
  <r>
    <n v="162177746"/>
    <x v="89"/>
    <d v="2022-12-29T00:00:00"/>
    <n v="39"/>
    <s v="month"/>
    <s v="Yes"/>
    <d v="2022-12-29T00:00:00"/>
    <n v="0"/>
    <x v="1"/>
    <x v="1"/>
  </r>
  <r>
    <n v="135587508"/>
    <x v="89"/>
    <d v="2023-02-09T00:00:00"/>
    <n v="39"/>
    <s v="month"/>
    <s v="Yes"/>
    <d v="2023-02-09T00:00:00"/>
    <n v="2"/>
    <x v="1"/>
    <x v="0"/>
  </r>
  <r>
    <n v="161428649"/>
    <x v="89"/>
    <d v="2023-04-08T00:00:00"/>
    <n v="39"/>
    <s v="month"/>
    <s v="Yes"/>
    <d v="2023-04-08T00:00:00"/>
    <n v="4"/>
    <x v="1"/>
    <x v="0"/>
  </r>
  <r>
    <n v="166977144"/>
    <x v="89"/>
    <d v="2023-04-08T00:00:00"/>
    <n v="39"/>
    <s v="month"/>
    <s v="Yes"/>
    <d v="2023-04-08T00:00:00"/>
    <n v="4"/>
    <x v="1"/>
    <x v="0"/>
  </r>
  <r>
    <n v="161640666"/>
    <x v="89"/>
    <d v="2023-03-01T00:00:00"/>
    <n v="39"/>
    <s v="month"/>
    <s v="Yes"/>
    <d v="2023-03-01T00:00:00"/>
    <n v="3"/>
    <x v="1"/>
    <x v="0"/>
  </r>
  <r>
    <n v="165932696"/>
    <x v="89"/>
    <d v="2023-03-01T00:00:00"/>
    <n v="39"/>
    <s v="month"/>
    <s v="Yes"/>
    <d v="2023-03-01T00:00:00"/>
    <n v="3"/>
    <x v="1"/>
    <x v="0"/>
  </r>
  <r>
    <n v="165204032"/>
    <x v="89"/>
    <d v="2023-02-14T00:00:00"/>
    <n v="39"/>
    <s v="month"/>
    <s v="Yes"/>
    <d v="2023-02-14T00:00:00"/>
    <n v="2"/>
    <x v="1"/>
    <x v="0"/>
  </r>
  <r>
    <n v="162469903"/>
    <x v="89"/>
    <d v="2023-02-08T00:00:00"/>
    <n v="39"/>
    <s v="month"/>
    <s v="Yes"/>
    <d v="2023-02-08T00:00:00"/>
    <n v="2"/>
    <x v="1"/>
    <x v="0"/>
  </r>
  <r>
    <n v="166515564"/>
    <x v="89"/>
    <d v="2023-01-19T00:00:00"/>
    <n v="39"/>
    <s v="month"/>
    <s v="Yes"/>
    <d v="2023-01-19T00:00:00"/>
    <n v="1"/>
    <x v="1"/>
    <x v="0"/>
  </r>
  <r>
    <n v="139323228"/>
    <x v="89"/>
    <d v="2023-01-24T00:00:00"/>
    <n v="39"/>
    <s v="month"/>
    <s v="Yes"/>
    <d v="2023-01-24T00:00:00"/>
    <n v="1"/>
    <x v="1"/>
    <x v="0"/>
  </r>
  <r>
    <n v="162569750"/>
    <x v="89"/>
    <d v="2022-12-04T00:00:00"/>
    <n v="39"/>
    <s v="month"/>
    <s v="Yes"/>
    <d v="2022-12-04T00:00:00"/>
    <n v="0"/>
    <x v="1"/>
    <x v="1"/>
  </r>
  <r>
    <n v="165959602"/>
    <x v="89"/>
    <d v="2022-12-23T00:00:00"/>
    <n v="39"/>
    <s v="month"/>
    <s v="Yes"/>
    <d v="2022-12-23T00:00:00"/>
    <n v="0"/>
    <x v="1"/>
    <x v="1"/>
  </r>
  <r>
    <n v="160968524"/>
    <x v="89"/>
    <d v="2023-07-20T00:00:00"/>
    <n v="39"/>
    <s v="month"/>
    <s v="Yes"/>
    <d v="2023-07-20T00:00:00"/>
    <n v="7"/>
    <x v="0"/>
    <x v="0"/>
  </r>
  <r>
    <n v="163258260"/>
    <x v="90"/>
    <m/>
    <n v="39"/>
    <s v="month"/>
    <s v="Yes"/>
    <d v="2023-09-30T00:00:00"/>
    <n v="9"/>
    <x v="0"/>
    <x v="0"/>
  </r>
  <r>
    <n v="167051046"/>
    <x v="90"/>
    <m/>
    <n v="39"/>
    <s v="month"/>
    <s v="Yes"/>
    <d v="2023-09-30T00:00:00"/>
    <n v="9"/>
    <x v="0"/>
    <x v="0"/>
  </r>
  <r>
    <n v="161182367"/>
    <x v="90"/>
    <d v="2022-12-03T00:00:00"/>
    <n v="39"/>
    <s v="month"/>
    <s v="Yes"/>
    <d v="2022-12-03T00:00:00"/>
    <n v="0"/>
    <x v="1"/>
    <x v="1"/>
  </r>
  <r>
    <n v="167292985"/>
    <x v="90"/>
    <d v="2022-12-03T00:00:00"/>
    <n v="39"/>
    <s v="month"/>
    <s v="No"/>
    <d v="2022-12-03T00:00:00"/>
    <n v="0"/>
    <x v="1"/>
    <x v="1"/>
  </r>
  <r>
    <n v="166183014"/>
    <x v="90"/>
    <d v="2022-12-03T00:00:00"/>
    <n v="39"/>
    <s v="month"/>
    <s v="No"/>
    <d v="2022-12-03T00:00:00"/>
    <n v="0"/>
    <x v="1"/>
    <x v="1"/>
  </r>
  <r>
    <n v="165143920"/>
    <x v="90"/>
    <d v="2023-06-02T00:00:00"/>
    <n v="39"/>
    <s v="month"/>
    <s v="Yes"/>
    <d v="2023-06-02T00:00:00"/>
    <n v="6"/>
    <x v="0"/>
    <x v="0"/>
  </r>
  <r>
    <n v="165958089"/>
    <x v="90"/>
    <d v="2023-02-09T00:00:00"/>
    <n v="39"/>
    <s v="month"/>
    <s v="Yes"/>
    <d v="2023-02-09T00:00:00"/>
    <n v="2"/>
    <x v="1"/>
    <x v="0"/>
  </r>
  <r>
    <n v="165431576"/>
    <x v="90"/>
    <d v="2023-02-01T00:00:00"/>
    <n v="39"/>
    <s v="month"/>
    <s v="Yes"/>
    <d v="2023-02-01T00:00:00"/>
    <n v="2"/>
    <x v="1"/>
    <x v="0"/>
  </r>
  <r>
    <n v="163708513"/>
    <x v="90"/>
    <d v="2022-12-30T00:00:00"/>
    <n v="39"/>
    <s v="month"/>
    <s v="Yes"/>
    <d v="2022-12-30T00:00:00"/>
    <n v="0"/>
    <x v="1"/>
    <x v="1"/>
  </r>
  <r>
    <n v="164521419"/>
    <x v="90"/>
    <d v="2022-12-29T00:00:00"/>
    <n v="39"/>
    <s v="month"/>
    <s v="Yes"/>
    <d v="2022-12-29T00:00:00"/>
    <n v="0"/>
    <x v="1"/>
    <x v="1"/>
  </r>
  <r>
    <n v="166257164"/>
    <x v="90"/>
    <d v="2022-12-21T00:00:00"/>
    <n v="39"/>
    <s v="month"/>
    <s v="Yes"/>
    <d v="2022-12-21T00:00:00"/>
    <n v="0"/>
    <x v="1"/>
    <x v="1"/>
  </r>
  <r>
    <n v="121348156"/>
    <x v="90"/>
    <d v="2022-12-06T00:00:00"/>
    <n v="39"/>
    <s v="month"/>
    <s v="Yes"/>
    <d v="2022-12-06T00:00:00"/>
    <n v="0"/>
    <x v="1"/>
    <x v="1"/>
  </r>
  <r>
    <n v="167280894"/>
    <x v="90"/>
    <d v="2023-07-06T00:00:00"/>
    <n v="39"/>
    <s v="month"/>
    <s v="Yes"/>
    <d v="2023-07-06T00:00:00"/>
    <n v="7"/>
    <x v="0"/>
    <x v="0"/>
  </r>
  <r>
    <n v="160980795"/>
    <x v="91"/>
    <m/>
    <n v="39"/>
    <s v="month"/>
    <s v="Yes"/>
    <d v="2023-09-30T00:00:00"/>
    <n v="9"/>
    <x v="0"/>
    <x v="0"/>
  </r>
  <r>
    <n v="167544686"/>
    <x v="91"/>
    <m/>
    <n v="39"/>
    <s v="month"/>
    <s v="Yes"/>
    <d v="2023-09-30T00:00:00"/>
    <n v="9"/>
    <x v="0"/>
    <x v="0"/>
  </r>
  <r>
    <n v="161968719"/>
    <x v="91"/>
    <m/>
    <n v="39"/>
    <s v="month"/>
    <s v="Yes"/>
    <d v="2023-09-30T00:00:00"/>
    <n v="9"/>
    <x v="0"/>
    <x v="0"/>
  </r>
  <r>
    <n v="159070152"/>
    <x v="91"/>
    <m/>
    <n v="39"/>
    <s v="month"/>
    <s v="Yes"/>
    <d v="2023-09-30T00:00:00"/>
    <n v="9"/>
    <x v="0"/>
    <x v="0"/>
  </r>
  <r>
    <n v="167445788"/>
    <x v="91"/>
    <d v="2022-12-04T00:00:00"/>
    <n v="39"/>
    <s v="month"/>
    <s v="No"/>
    <d v="2022-12-04T00:00:00"/>
    <n v="0"/>
    <x v="1"/>
    <x v="1"/>
  </r>
  <r>
    <n v="167441263"/>
    <x v="91"/>
    <d v="2023-06-10T00:00:00"/>
    <n v="39"/>
    <s v="month"/>
    <s v="Yes"/>
    <d v="2023-06-10T00:00:00"/>
    <n v="6"/>
    <x v="0"/>
    <x v="0"/>
  </r>
  <r>
    <n v="167586100"/>
    <x v="91"/>
    <d v="2023-03-02T00:00:00"/>
    <n v="39"/>
    <s v="month"/>
    <s v="Yes"/>
    <d v="2023-03-02T00:00:00"/>
    <n v="3"/>
    <x v="1"/>
    <x v="0"/>
  </r>
  <r>
    <n v="139789436"/>
    <x v="91"/>
    <d v="2023-01-29T00:00:00"/>
    <n v="39"/>
    <s v="month"/>
    <s v="Yes"/>
    <d v="2023-01-29T00:00:00"/>
    <n v="1"/>
    <x v="1"/>
    <x v="0"/>
  </r>
  <r>
    <n v="116319450"/>
    <x v="92"/>
    <d v="2023-04-19T00:00:00"/>
    <n v="39"/>
    <s v="month"/>
    <s v="Yes"/>
    <d v="2023-04-19T00:00:00"/>
    <n v="4"/>
    <x v="1"/>
    <x v="0"/>
  </r>
  <r>
    <n v="162939264"/>
    <x v="92"/>
    <d v="2023-05-04T00:00:00"/>
    <n v="39"/>
    <s v="month"/>
    <s v="Yes"/>
    <d v="2023-05-04T00:00:00"/>
    <n v="5"/>
    <x v="0"/>
    <x v="0"/>
  </r>
  <r>
    <n v="167711417"/>
    <x v="92"/>
    <d v="2023-03-25T00:00:00"/>
    <n v="39"/>
    <s v="month"/>
    <s v="Yes"/>
    <d v="2023-03-25T00:00:00"/>
    <n v="3"/>
    <x v="1"/>
    <x v="0"/>
  </r>
  <r>
    <n v="157381517"/>
    <x v="93"/>
    <m/>
    <n v="39"/>
    <s v="month"/>
    <s v="Yes"/>
    <d v="2023-09-30T00:00:00"/>
    <n v="9"/>
    <x v="0"/>
    <x v="0"/>
  </r>
  <r>
    <n v="162912102"/>
    <x v="93"/>
    <d v="2022-12-06T00:00:00"/>
    <n v="39"/>
    <s v="month"/>
    <s v="Yes"/>
    <d v="2022-12-06T00:00:00"/>
    <n v="0"/>
    <x v="1"/>
    <x v="1"/>
  </r>
  <r>
    <n v="167833210"/>
    <x v="93"/>
    <d v="2023-07-03T00:00:00"/>
    <n v="39"/>
    <s v="month"/>
    <s v="Yes"/>
    <d v="2023-07-03T00:00:00"/>
    <n v="7"/>
    <x v="0"/>
    <x v="0"/>
  </r>
  <r>
    <n v="165676999"/>
    <x v="93"/>
    <d v="2023-02-05T00:00:00"/>
    <n v="39"/>
    <s v="month"/>
    <s v="Yes"/>
    <d v="2023-02-05T00:00:00"/>
    <n v="2"/>
    <x v="1"/>
    <x v="0"/>
  </r>
  <r>
    <n v="167253106"/>
    <x v="93"/>
    <d v="2023-02-06T00:00:00"/>
    <n v="39"/>
    <s v="month"/>
    <s v="Yes"/>
    <d v="2023-02-06T00:00:00"/>
    <n v="2"/>
    <x v="1"/>
    <x v="0"/>
  </r>
  <r>
    <n v="168022972"/>
    <x v="93"/>
    <d v="2023-01-13T00:00:00"/>
    <n v="39"/>
    <s v="month"/>
    <s v="Yes"/>
    <d v="2023-01-13T00:00:00"/>
    <n v="1"/>
    <x v="1"/>
    <x v="0"/>
  </r>
  <r>
    <n v="167315920"/>
    <x v="93"/>
    <d v="2023-01-05T00:00:00"/>
    <n v="39"/>
    <s v="month"/>
    <s v="Yes"/>
    <d v="2023-01-05T00:00:00"/>
    <n v="1"/>
    <x v="1"/>
    <x v="0"/>
  </r>
  <r>
    <n v="167928962"/>
    <x v="93"/>
    <d v="2022-12-29T00:00:00"/>
    <n v="39"/>
    <s v="month"/>
    <s v="Yes"/>
    <d v="2022-12-29T00:00:00"/>
    <n v="0"/>
    <x v="1"/>
    <x v="1"/>
  </r>
  <r>
    <n v="166211741"/>
    <x v="94"/>
    <d v="2023-04-11T00:00:00"/>
    <n v="39"/>
    <s v="month"/>
    <s v="Yes"/>
    <d v="2023-04-11T00:00:00"/>
    <n v="4"/>
    <x v="1"/>
    <x v="0"/>
  </r>
  <r>
    <n v="161450418"/>
    <x v="94"/>
    <d v="2023-05-04T00:00:00"/>
    <n v="39"/>
    <s v="month"/>
    <s v="Yes"/>
    <d v="2023-05-04T00:00:00"/>
    <n v="5"/>
    <x v="0"/>
    <x v="0"/>
  </r>
  <r>
    <n v="144961802"/>
    <x v="94"/>
    <d v="2023-03-02T00:00:00"/>
    <n v="39"/>
    <s v="month"/>
    <s v="Yes"/>
    <d v="2023-03-02T00:00:00"/>
    <n v="3"/>
    <x v="1"/>
    <x v="0"/>
  </r>
  <r>
    <n v="168137404"/>
    <x v="94"/>
    <d v="2023-02-01T00:00:00"/>
    <n v="39"/>
    <s v="month"/>
    <s v="Yes"/>
    <d v="2023-02-01T00:00:00"/>
    <n v="2"/>
    <x v="1"/>
    <x v="0"/>
  </r>
  <r>
    <n v="153441732"/>
    <x v="94"/>
    <d v="2023-02-13T00:00:00"/>
    <n v="39"/>
    <s v="month"/>
    <s v="Yes"/>
    <d v="2023-02-13T00:00:00"/>
    <n v="2"/>
    <x v="1"/>
    <x v="0"/>
  </r>
  <r>
    <n v="167649041"/>
    <x v="94"/>
    <d v="2023-01-31T00:00:00"/>
    <n v="39"/>
    <s v="month"/>
    <s v="Yes"/>
    <d v="2023-01-31T00:00:00"/>
    <n v="1"/>
    <x v="1"/>
    <x v="0"/>
  </r>
  <r>
    <n v="168089746"/>
    <x v="94"/>
    <d v="2023-01-13T00:00:00"/>
    <n v="39"/>
    <s v="month"/>
    <s v="Yes"/>
    <d v="2023-01-13T00:00:00"/>
    <n v="1"/>
    <x v="1"/>
    <x v="0"/>
  </r>
  <r>
    <n v="158177274"/>
    <x v="94"/>
    <d v="2023-01-26T00:00:00"/>
    <n v="39"/>
    <s v="month"/>
    <s v="Yes"/>
    <d v="2023-01-26T00:00:00"/>
    <n v="1"/>
    <x v="1"/>
    <x v="0"/>
  </r>
  <r>
    <n v="168061628"/>
    <x v="94"/>
    <d v="2023-01-13T00:00:00"/>
    <n v="39"/>
    <s v="month"/>
    <s v="Yes"/>
    <d v="2023-01-13T00:00:00"/>
    <n v="1"/>
    <x v="1"/>
    <x v="0"/>
  </r>
  <r>
    <n v="168436401"/>
    <x v="95"/>
    <m/>
    <n v="39"/>
    <s v="month"/>
    <s v="Yes"/>
    <d v="2023-09-30T00:00:00"/>
    <n v="9"/>
    <x v="0"/>
    <x v="0"/>
  </r>
  <r>
    <n v="126770376"/>
    <x v="95"/>
    <d v="2023-01-02T00:00:00"/>
    <n v="39"/>
    <s v="month"/>
    <s v="Yes"/>
    <d v="2023-01-02T00:00:00"/>
    <n v="1"/>
    <x v="1"/>
    <x v="0"/>
  </r>
  <r>
    <n v="153468957"/>
    <x v="95"/>
    <d v="2023-02-14T00:00:00"/>
    <n v="39"/>
    <s v="month"/>
    <s v="Yes"/>
    <d v="2023-02-14T00:00:00"/>
    <n v="2"/>
    <x v="1"/>
    <x v="0"/>
  </r>
  <r>
    <n v="168336474"/>
    <x v="95"/>
    <d v="2023-02-27T00:00:00"/>
    <n v="39"/>
    <s v="month"/>
    <s v="Yes"/>
    <d v="2023-02-27T00:00:00"/>
    <n v="2"/>
    <x v="1"/>
    <x v="0"/>
  </r>
  <r>
    <n v="166929423"/>
    <x v="95"/>
    <d v="2022-12-28T00:00:00"/>
    <n v="39"/>
    <s v="month"/>
    <s v="Yes"/>
    <d v="2022-12-28T00:00:00"/>
    <n v="0"/>
    <x v="1"/>
    <x v="1"/>
  </r>
  <r>
    <n v="163990458"/>
    <x v="95"/>
    <d v="2022-12-22T00:00:00"/>
    <n v="39"/>
    <s v="month"/>
    <s v="Yes"/>
    <d v="2022-12-22T00:00:00"/>
    <n v="0"/>
    <x v="1"/>
    <x v="1"/>
  </r>
  <r>
    <n v="166411463"/>
    <x v="96"/>
    <m/>
    <n v="39"/>
    <s v="month"/>
    <s v="Yes"/>
    <d v="2023-09-30T00:00:00"/>
    <n v="9"/>
    <x v="0"/>
    <x v="0"/>
  </r>
  <r>
    <n v="168433088"/>
    <x v="96"/>
    <m/>
    <n v="39"/>
    <s v="month"/>
    <s v="Yes"/>
    <d v="2023-09-30T00:00:00"/>
    <n v="9"/>
    <x v="0"/>
    <x v="0"/>
  </r>
  <r>
    <n v="155426075"/>
    <x v="96"/>
    <m/>
    <n v="39"/>
    <s v="month"/>
    <s v="Yes"/>
    <d v="2023-09-30T00:00:00"/>
    <n v="9"/>
    <x v="0"/>
    <x v="0"/>
  </r>
  <r>
    <n v="168555694"/>
    <x v="96"/>
    <d v="2022-12-09T00:00:00"/>
    <n v="39"/>
    <s v="month"/>
    <s v="No"/>
    <d v="2022-12-09T00:00:00"/>
    <n v="0"/>
    <x v="1"/>
    <x v="1"/>
  </r>
  <r>
    <n v="162912102"/>
    <x v="96"/>
    <d v="2023-05-15T00:00:00"/>
    <n v="39"/>
    <s v="month"/>
    <s v="Yes"/>
    <d v="2023-05-15T00:00:00"/>
    <n v="5"/>
    <x v="0"/>
    <x v="0"/>
  </r>
  <r>
    <n v="168471192"/>
    <x v="96"/>
    <d v="2023-02-03T00:00:00"/>
    <n v="39"/>
    <s v="month"/>
    <s v="Yes"/>
    <d v="2023-02-03T00:00:00"/>
    <n v="2"/>
    <x v="1"/>
    <x v="0"/>
  </r>
  <r>
    <n v="168825734"/>
    <x v="96"/>
    <d v="2023-01-15T00:00:00"/>
    <n v="39"/>
    <s v="month"/>
    <s v="Yes"/>
    <d v="2023-01-15T00:00:00"/>
    <n v="1"/>
    <x v="1"/>
    <x v="0"/>
  </r>
  <r>
    <n v="163852568"/>
    <x v="96"/>
    <d v="2022-12-12T00:00:00"/>
    <n v="39"/>
    <s v="month"/>
    <s v="Yes"/>
    <d v="2022-12-12T00:00:00"/>
    <n v="0"/>
    <x v="1"/>
    <x v="1"/>
  </r>
  <r>
    <n v="168460834"/>
    <x v="96"/>
    <d v="2022-12-27T00:00:00"/>
    <n v="39"/>
    <s v="month"/>
    <s v="Yes"/>
    <d v="2022-12-27T00:00:00"/>
    <n v="0"/>
    <x v="1"/>
    <x v="1"/>
  </r>
  <r>
    <n v="169085351"/>
    <x v="97"/>
    <d v="2023-07-05T00:00:00"/>
    <n v="39"/>
    <s v="month"/>
    <s v="Yes"/>
    <d v="2023-07-05T00:00:00"/>
    <n v="7"/>
    <x v="0"/>
    <x v="0"/>
  </r>
  <r>
    <n v="168456070"/>
    <x v="97"/>
    <d v="2023-04-22T00:00:00"/>
    <n v="39"/>
    <s v="month"/>
    <s v="Yes"/>
    <d v="2023-04-22T00:00:00"/>
    <n v="4"/>
    <x v="1"/>
    <x v="0"/>
  </r>
  <r>
    <n v="168900021"/>
    <x v="97"/>
    <d v="2023-02-06T00:00:00"/>
    <n v="39"/>
    <s v="month"/>
    <s v="Yes"/>
    <d v="2023-02-06T00:00:00"/>
    <n v="2"/>
    <x v="1"/>
    <x v="0"/>
  </r>
  <r>
    <n v="169113748"/>
    <x v="97"/>
    <d v="2023-01-13T00:00:00"/>
    <n v="39"/>
    <s v="month"/>
    <s v="Yes"/>
    <d v="2023-01-13T00:00:00"/>
    <n v="1"/>
    <x v="1"/>
    <x v="0"/>
  </r>
  <r>
    <n v="162193491"/>
    <x v="97"/>
    <d v="2023-01-20T00:00:00"/>
    <n v="39"/>
    <s v="month"/>
    <s v="Yes"/>
    <d v="2023-01-20T00:00:00"/>
    <n v="1"/>
    <x v="1"/>
    <x v="0"/>
  </r>
  <r>
    <n v="167761722"/>
    <x v="97"/>
    <d v="2023-07-16T00:00:00"/>
    <n v="39"/>
    <s v="month"/>
    <s v="Yes"/>
    <d v="2023-07-16T00:00:00"/>
    <n v="7"/>
    <x v="0"/>
    <x v="0"/>
  </r>
  <r>
    <n v="169244937"/>
    <x v="98"/>
    <d v="2023-03-04T00:00:00"/>
    <n v="39"/>
    <s v="month"/>
    <s v="Yes"/>
    <d v="2023-03-04T00:00:00"/>
    <n v="3"/>
    <x v="1"/>
    <x v="0"/>
  </r>
  <r>
    <n v="167923504"/>
    <x v="98"/>
    <d v="2023-02-08T00:00:00"/>
    <n v="39"/>
    <s v="month"/>
    <s v="Yes"/>
    <d v="2023-02-08T00:00:00"/>
    <n v="2"/>
    <x v="1"/>
    <x v="0"/>
  </r>
  <r>
    <n v="167459469"/>
    <x v="98"/>
    <d v="2023-01-14T00:00:00"/>
    <n v="39"/>
    <s v="month"/>
    <s v="Yes"/>
    <d v="2023-01-14T00:00:00"/>
    <n v="1"/>
    <x v="1"/>
    <x v="0"/>
  </r>
  <r>
    <n v="123169152"/>
    <x v="98"/>
    <d v="2023-01-03T00:00:00"/>
    <n v="39"/>
    <s v="month"/>
    <s v="Yes"/>
    <d v="2023-01-03T00:00:00"/>
    <n v="1"/>
    <x v="1"/>
    <x v="0"/>
  </r>
  <r>
    <n v="153157541"/>
    <x v="99"/>
    <m/>
    <n v="39"/>
    <s v="month"/>
    <s v="Yes"/>
    <d v="2023-09-30T00:00:00"/>
    <n v="9"/>
    <x v="0"/>
    <x v="0"/>
  </r>
  <r>
    <n v="169133180"/>
    <x v="99"/>
    <m/>
    <n v="39"/>
    <s v="month"/>
    <s v="Yes"/>
    <d v="2023-09-30T00:00:00"/>
    <n v="9"/>
    <x v="0"/>
    <x v="0"/>
  </r>
  <r>
    <n v="129447970"/>
    <x v="99"/>
    <d v="2022-12-12T00:00:00"/>
    <n v="39"/>
    <s v="month"/>
    <s v="Yes"/>
    <d v="2022-12-12T00:00:00"/>
    <n v="0"/>
    <x v="1"/>
    <x v="1"/>
  </r>
  <r>
    <n v="169388365"/>
    <x v="99"/>
    <d v="2023-06-18T00:00:00"/>
    <n v="39"/>
    <s v="month"/>
    <s v="Yes"/>
    <d v="2023-06-18T00:00:00"/>
    <n v="6"/>
    <x v="0"/>
    <x v="0"/>
  </r>
  <r>
    <n v="130872019"/>
    <x v="99"/>
    <d v="2023-04-11T00:00:00"/>
    <n v="39"/>
    <s v="month"/>
    <s v="Yes"/>
    <d v="2023-04-11T00:00:00"/>
    <n v="4"/>
    <x v="1"/>
    <x v="0"/>
  </r>
  <r>
    <n v="167674086"/>
    <x v="99"/>
    <d v="2023-05-01T00:00:00"/>
    <n v="39"/>
    <s v="month"/>
    <s v="Yes"/>
    <d v="2023-05-01T00:00:00"/>
    <n v="5"/>
    <x v="0"/>
    <x v="0"/>
  </r>
  <r>
    <n v="169590994"/>
    <x v="99"/>
    <d v="2023-02-26T00:00:00"/>
    <n v="39"/>
    <s v="month"/>
    <s v="Yes"/>
    <d v="2023-02-26T00:00:00"/>
    <n v="2"/>
    <x v="1"/>
    <x v="0"/>
  </r>
  <r>
    <n v="166199181"/>
    <x v="99"/>
    <d v="2023-01-18T00:00:00"/>
    <n v="39"/>
    <s v="month"/>
    <s v="Yes"/>
    <d v="2023-01-18T00:00:00"/>
    <n v="1"/>
    <x v="1"/>
    <x v="0"/>
  </r>
  <r>
    <n v="169895510"/>
    <x v="100"/>
    <m/>
    <n v="39"/>
    <s v="month"/>
    <s v="Yes"/>
    <d v="2023-09-30T00:00:00"/>
    <n v="9"/>
    <x v="0"/>
    <x v="0"/>
  </r>
  <r>
    <n v="169837410"/>
    <x v="100"/>
    <m/>
    <n v="39"/>
    <s v="month"/>
    <s v="Yes"/>
    <d v="2023-09-30T00:00:00"/>
    <n v="9"/>
    <x v="0"/>
    <x v="0"/>
  </r>
  <r>
    <n v="169854397"/>
    <x v="100"/>
    <m/>
    <n v="39"/>
    <s v="month"/>
    <s v="No"/>
    <d v="2023-09-30T00:00:00"/>
    <n v="9"/>
    <x v="0"/>
    <x v="0"/>
  </r>
  <r>
    <n v="145987169"/>
    <x v="100"/>
    <d v="2023-01-27T00:00:00"/>
    <n v="39"/>
    <s v="month"/>
    <s v="Yes"/>
    <d v="2023-01-27T00:00:00"/>
    <n v="1"/>
    <x v="1"/>
    <x v="0"/>
  </r>
  <r>
    <n v="169915574"/>
    <x v="100"/>
    <d v="2023-03-13T00:00:00"/>
    <n v="39"/>
    <s v="month"/>
    <s v="Yes"/>
    <d v="2023-03-13T00:00:00"/>
    <n v="3"/>
    <x v="1"/>
    <x v="0"/>
  </r>
  <r>
    <n v="164632485"/>
    <x v="100"/>
    <d v="2023-03-07T00:00:00"/>
    <n v="39"/>
    <s v="month"/>
    <s v="Yes"/>
    <d v="2023-03-07T00:00:00"/>
    <n v="3"/>
    <x v="1"/>
    <x v="0"/>
  </r>
  <r>
    <n v="169830063"/>
    <x v="100"/>
    <d v="2023-01-30T00:00:00"/>
    <n v="39"/>
    <s v="month"/>
    <s v="Yes"/>
    <d v="2023-01-30T00:00:00"/>
    <n v="1"/>
    <x v="1"/>
    <x v="0"/>
  </r>
  <r>
    <n v="162624984"/>
    <x v="100"/>
    <d v="2023-01-23T00:00:00"/>
    <n v="39"/>
    <s v="month"/>
    <s v="Yes"/>
    <d v="2023-01-23T00:00:00"/>
    <n v="1"/>
    <x v="1"/>
    <x v="0"/>
  </r>
  <r>
    <n v="169020452"/>
    <x v="100"/>
    <d v="2023-08-09T00:00:00"/>
    <n v="39"/>
    <s v="month"/>
    <s v="Yes"/>
    <d v="2023-08-09T00:00:00"/>
    <n v="8"/>
    <x v="0"/>
    <x v="0"/>
  </r>
  <r>
    <n v="170037760"/>
    <x v="101"/>
    <m/>
    <n v="39"/>
    <s v="month"/>
    <s v="Yes"/>
    <d v="2023-09-30T00:00:00"/>
    <n v="9"/>
    <x v="0"/>
    <x v="0"/>
  </r>
  <r>
    <n v="116060198"/>
    <x v="101"/>
    <d v="2023-03-20T00:00:00"/>
    <n v="39"/>
    <s v="month"/>
    <s v="Yes"/>
    <d v="2023-03-20T00:00:00"/>
    <n v="3"/>
    <x v="1"/>
    <x v="0"/>
  </r>
  <r>
    <n v="129798657"/>
    <x v="101"/>
    <d v="2023-03-13T00:00:00"/>
    <n v="39"/>
    <s v="month"/>
    <s v="Yes"/>
    <d v="2023-03-13T00:00:00"/>
    <n v="3"/>
    <x v="1"/>
    <x v="0"/>
  </r>
  <r>
    <n v="170426615"/>
    <x v="101"/>
    <d v="2023-02-13T00:00:00"/>
    <n v="39"/>
    <s v="month"/>
    <s v="Yes"/>
    <d v="2023-02-13T00:00:00"/>
    <n v="2"/>
    <x v="1"/>
    <x v="0"/>
  </r>
  <r>
    <n v="161574018"/>
    <x v="101"/>
    <d v="2023-02-21T00:00:00"/>
    <n v="39"/>
    <s v="month"/>
    <s v="Yes"/>
    <d v="2023-02-21T00:00:00"/>
    <n v="2"/>
    <x v="1"/>
    <x v="0"/>
  </r>
  <r>
    <n v="160272364"/>
    <x v="102"/>
    <m/>
    <n v="39"/>
    <s v="month"/>
    <s v="Yes"/>
    <d v="2023-09-30T00:00:00"/>
    <n v="9"/>
    <x v="0"/>
    <x v="0"/>
  </r>
  <r>
    <n v="144938943"/>
    <x v="102"/>
    <m/>
    <n v="39"/>
    <s v="month"/>
    <s v="No"/>
    <d v="2023-09-30T00:00:00"/>
    <n v="9"/>
    <x v="0"/>
    <x v="0"/>
  </r>
  <r>
    <n v="170004555"/>
    <x v="102"/>
    <d v="2023-02-11T00:00:00"/>
    <n v="39"/>
    <s v="month"/>
    <s v="Yes"/>
    <d v="2023-02-11T00:00:00"/>
    <n v="2"/>
    <x v="1"/>
    <x v="0"/>
  </r>
  <r>
    <n v="167673987"/>
    <x v="102"/>
    <d v="2023-02-21T00:00:00"/>
    <n v="39"/>
    <s v="month"/>
    <s v="Yes"/>
    <d v="2023-02-21T00:00:00"/>
    <n v="2"/>
    <x v="1"/>
    <x v="0"/>
  </r>
  <r>
    <n v="154448870"/>
    <x v="102"/>
    <d v="2023-01-02T00:00:00"/>
    <n v="39"/>
    <s v="month"/>
    <s v="Yes"/>
    <d v="2023-01-02T00:00:00"/>
    <n v="1"/>
    <x v="1"/>
    <x v="0"/>
  </r>
  <r>
    <n v="153508650"/>
    <x v="102"/>
    <d v="2023-01-31T00:00:00"/>
    <n v="39"/>
    <s v="month"/>
    <s v="Yes"/>
    <d v="2023-01-31T00:00:00"/>
    <n v="1"/>
    <x v="1"/>
    <x v="0"/>
  </r>
  <r>
    <n v="156521981"/>
    <x v="102"/>
    <d v="2023-01-14T00:00:00"/>
    <n v="39"/>
    <s v="month"/>
    <s v="Yes"/>
    <d v="2023-01-14T00:00:00"/>
    <n v="1"/>
    <x v="1"/>
    <x v="0"/>
  </r>
  <r>
    <n v="170897520"/>
    <x v="102"/>
    <d v="2023-07-04T00:00:00"/>
    <n v="39"/>
    <s v="month"/>
    <s v="Yes"/>
    <d v="2023-07-04T00:00:00"/>
    <n v="7"/>
    <x v="0"/>
    <x v="0"/>
  </r>
  <r>
    <n v="167076396"/>
    <x v="102"/>
    <d v="2023-08-04T00:00:00"/>
    <n v="39"/>
    <s v="month"/>
    <s v="Yes"/>
    <d v="2023-08-04T00:00:00"/>
    <n v="8"/>
    <x v="0"/>
    <x v="0"/>
  </r>
  <r>
    <n v="170968987"/>
    <x v="103"/>
    <m/>
    <n v="39"/>
    <s v="month"/>
    <s v="Yes"/>
    <d v="2023-09-30T00:00:00"/>
    <n v="9"/>
    <x v="0"/>
    <x v="0"/>
  </r>
  <r>
    <n v="170154956"/>
    <x v="103"/>
    <d v="2023-04-18T00:00:00"/>
    <n v="39"/>
    <s v="month"/>
    <s v="Yes"/>
    <d v="2023-04-18T00:00:00"/>
    <n v="4"/>
    <x v="1"/>
    <x v="0"/>
  </r>
  <r>
    <n v="170976924"/>
    <x v="103"/>
    <d v="2023-05-30T00:00:00"/>
    <n v="39"/>
    <s v="month"/>
    <s v="Yes"/>
    <d v="2023-05-30T00:00:00"/>
    <n v="5"/>
    <x v="0"/>
    <x v="0"/>
  </r>
  <r>
    <n v="171090027"/>
    <x v="103"/>
    <d v="2023-03-14T00:00:00"/>
    <n v="39"/>
    <s v="month"/>
    <s v="Yes"/>
    <d v="2023-03-14T00:00:00"/>
    <n v="3"/>
    <x v="1"/>
    <x v="0"/>
  </r>
  <r>
    <n v="167135160"/>
    <x v="103"/>
    <d v="2023-01-18T00:00:00"/>
    <n v="39"/>
    <s v="month"/>
    <s v="Yes"/>
    <d v="2023-01-18T00:00:00"/>
    <n v="1"/>
    <x v="1"/>
    <x v="0"/>
  </r>
  <r>
    <n v="171339244"/>
    <x v="103"/>
    <d v="2022-12-15T00:00:00"/>
    <n v="39"/>
    <s v="month"/>
    <s v="Yes"/>
    <d v="2022-12-15T00:00:00"/>
    <n v="0"/>
    <x v="1"/>
    <x v="1"/>
  </r>
  <r>
    <n v="169285280"/>
    <x v="104"/>
    <d v="2022-12-17T00:00:00"/>
    <n v="39"/>
    <s v="month"/>
    <s v="No"/>
    <d v="2022-12-17T00:00:00"/>
    <n v="0"/>
    <x v="1"/>
    <x v="1"/>
  </r>
  <r>
    <n v="137315832"/>
    <x v="104"/>
    <d v="2023-03-23T00:00:00"/>
    <n v="39"/>
    <s v="month"/>
    <s v="Yes"/>
    <d v="2023-03-23T00:00:00"/>
    <n v="3"/>
    <x v="1"/>
    <x v="0"/>
  </r>
  <r>
    <n v="171286538"/>
    <x v="104"/>
    <d v="2023-04-13T00:00:00"/>
    <n v="39"/>
    <s v="month"/>
    <s v="Yes"/>
    <d v="2023-04-13T00:00:00"/>
    <n v="4"/>
    <x v="1"/>
    <x v="0"/>
  </r>
  <r>
    <n v="154531106"/>
    <x v="104"/>
    <d v="2023-04-14T00:00:00"/>
    <n v="39"/>
    <s v="month"/>
    <s v="Yes"/>
    <d v="2023-04-14T00:00:00"/>
    <n v="4"/>
    <x v="1"/>
    <x v="0"/>
  </r>
  <r>
    <n v="169998988"/>
    <x v="104"/>
    <d v="2023-05-17T00:00:00"/>
    <n v="39"/>
    <s v="month"/>
    <s v="Yes"/>
    <d v="2023-05-17T00:00:00"/>
    <n v="5"/>
    <x v="0"/>
    <x v="0"/>
  </r>
  <r>
    <n v="171860036"/>
    <x v="104"/>
    <d v="2023-03-18T00:00:00"/>
    <n v="39"/>
    <s v="month"/>
    <s v="Yes"/>
    <d v="2023-03-18T00:00:00"/>
    <n v="3"/>
    <x v="1"/>
    <x v="0"/>
  </r>
  <r>
    <n v="169906376"/>
    <x v="104"/>
    <d v="2023-02-13T00:00:00"/>
    <n v="39"/>
    <s v="month"/>
    <s v="Yes"/>
    <d v="2023-02-13T00:00:00"/>
    <n v="2"/>
    <x v="1"/>
    <x v="0"/>
  </r>
  <r>
    <n v="171681744"/>
    <x v="104"/>
    <d v="2023-02-22T00:00:00"/>
    <n v="39"/>
    <s v="month"/>
    <s v="Yes"/>
    <d v="2023-02-22T00:00:00"/>
    <n v="2"/>
    <x v="1"/>
    <x v="0"/>
  </r>
  <r>
    <n v="171375108"/>
    <x v="104"/>
    <d v="2023-01-16T00:00:00"/>
    <n v="39"/>
    <s v="month"/>
    <s v="Yes"/>
    <d v="2023-01-16T00:00:00"/>
    <n v="1"/>
    <x v="1"/>
    <x v="0"/>
  </r>
  <r>
    <n v="166358674"/>
    <x v="104"/>
    <d v="2023-01-23T00:00:00"/>
    <n v="39"/>
    <s v="month"/>
    <s v="Yes"/>
    <d v="2023-01-23T00:00:00"/>
    <n v="1"/>
    <x v="1"/>
    <x v="0"/>
  </r>
  <r>
    <n v="168696864"/>
    <x v="105"/>
    <d v="2022-12-18T00:00:00"/>
    <n v="39"/>
    <s v="month"/>
    <s v="Yes"/>
    <d v="2022-12-18T00:00:00"/>
    <n v="0"/>
    <x v="1"/>
    <x v="1"/>
  </r>
  <r>
    <n v="149303812"/>
    <x v="105"/>
    <d v="2023-02-20T00:00:00"/>
    <n v="39"/>
    <s v="month"/>
    <s v="Yes"/>
    <d v="2023-02-20T00:00:00"/>
    <n v="2"/>
    <x v="1"/>
    <x v="0"/>
  </r>
  <r>
    <n v="145969392"/>
    <x v="105"/>
    <d v="2023-02-01T00:00:00"/>
    <n v="39"/>
    <s v="month"/>
    <s v="Yes"/>
    <d v="2023-02-01T00:00:00"/>
    <n v="2"/>
    <x v="1"/>
    <x v="0"/>
  </r>
  <r>
    <n v="169399624"/>
    <x v="105"/>
    <d v="2023-02-10T00:00:00"/>
    <n v="39"/>
    <s v="month"/>
    <s v="Yes"/>
    <d v="2023-02-10T00:00:00"/>
    <n v="2"/>
    <x v="1"/>
    <x v="0"/>
  </r>
  <r>
    <n v="162423643"/>
    <x v="105"/>
    <d v="2022-12-17T00:00:00"/>
    <n v="39"/>
    <s v="month"/>
    <s v="Yes"/>
    <d v="2022-12-17T00:00:00"/>
    <n v="0"/>
    <x v="1"/>
    <x v="1"/>
  </r>
  <r>
    <n v="171131528"/>
    <x v="106"/>
    <m/>
    <n v="39"/>
    <s v="month"/>
    <s v="Yes"/>
    <d v="2023-09-30T00:00:00"/>
    <n v="9"/>
    <x v="0"/>
    <x v="0"/>
  </r>
  <r>
    <n v="172370430"/>
    <x v="106"/>
    <d v="2022-12-19T00:00:00"/>
    <n v="39"/>
    <s v="month"/>
    <s v="No"/>
    <d v="2022-12-19T00:00:00"/>
    <n v="0"/>
    <x v="1"/>
    <x v="1"/>
  </r>
  <r>
    <n v="122646091"/>
    <x v="106"/>
    <d v="2023-03-21T00:00:00"/>
    <n v="39"/>
    <s v="month"/>
    <s v="Yes"/>
    <d v="2023-03-21T00:00:00"/>
    <n v="3"/>
    <x v="1"/>
    <x v="0"/>
  </r>
  <r>
    <n v="171688728"/>
    <x v="106"/>
    <d v="2023-01-13T00:00:00"/>
    <n v="39"/>
    <s v="month"/>
    <s v="Yes"/>
    <d v="2023-01-13T00:00:00"/>
    <n v="1"/>
    <x v="1"/>
    <x v="0"/>
  </r>
  <r>
    <n v="173037778"/>
    <x v="106"/>
    <d v="2023-01-27T00:00:00"/>
    <n v="39"/>
    <s v="month"/>
    <s v="Yes"/>
    <d v="2023-01-27T00:00:00"/>
    <n v="1"/>
    <x v="1"/>
    <x v="0"/>
  </r>
  <r>
    <n v="139247241"/>
    <x v="106"/>
    <d v="2023-01-07T00:00:00"/>
    <n v="39"/>
    <s v="month"/>
    <s v="Yes"/>
    <d v="2023-01-07T00:00:00"/>
    <n v="1"/>
    <x v="1"/>
    <x v="0"/>
  </r>
  <r>
    <n v="138235674"/>
    <x v="107"/>
    <m/>
    <n v="39"/>
    <s v="month"/>
    <s v="Yes"/>
    <d v="2023-09-30T00:00:00"/>
    <n v="9"/>
    <x v="0"/>
    <x v="0"/>
  </r>
  <r>
    <n v="173832314"/>
    <x v="107"/>
    <d v="2023-02-26T00:00:00"/>
    <n v="39"/>
    <s v="month"/>
    <s v="Yes"/>
    <d v="2023-02-26T00:00:00"/>
    <n v="2"/>
    <x v="1"/>
    <x v="0"/>
  </r>
  <r>
    <n v="170752898"/>
    <x v="107"/>
    <d v="2023-02-23T00:00:00"/>
    <n v="39"/>
    <s v="month"/>
    <s v="Yes"/>
    <d v="2023-02-23T00:00:00"/>
    <n v="2"/>
    <x v="1"/>
    <x v="0"/>
  </r>
  <r>
    <n v="172517999"/>
    <x v="107"/>
    <d v="2023-01-26T00:00:00"/>
    <n v="39"/>
    <s v="month"/>
    <s v="Yes"/>
    <d v="2023-01-26T00:00:00"/>
    <n v="1"/>
    <x v="1"/>
    <x v="0"/>
  </r>
  <r>
    <n v="150779000"/>
    <x v="107"/>
    <d v="2023-01-02T00:00:00"/>
    <n v="39"/>
    <s v="month"/>
    <s v="Yes"/>
    <d v="2023-01-02T00:00:00"/>
    <n v="1"/>
    <x v="1"/>
    <x v="0"/>
  </r>
  <r>
    <n v="171304646"/>
    <x v="107"/>
    <d v="2023-08-26T00:00:00"/>
    <n v="39"/>
    <s v="month"/>
    <s v="Yes"/>
    <d v="2023-08-26T00:00:00"/>
    <n v="8"/>
    <x v="0"/>
    <x v="0"/>
  </r>
  <r>
    <n v="168696864"/>
    <x v="108"/>
    <m/>
    <n v="39"/>
    <s v="month"/>
    <s v="Yes"/>
    <d v="2023-09-30T00:00:00"/>
    <n v="9"/>
    <x v="0"/>
    <x v="0"/>
  </r>
  <r>
    <n v="174268714"/>
    <x v="108"/>
    <m/>
    <n v="39"/>
    <s v="month"/>
    <s v="Yes"/>
    <d v="2023-09-30T00:00:00"/>
    <n v="9"/>
    <x v="0"/>
    <x v="0"/>
  </r>
  <r>
    <n v="147022677"/>
    <x v="108"/>
    <m/>
    <n v="39"/>
    <s v="month"/>
    <s v="Yes"/>
    <d v="2023-09-30T00:00:00"/>
    <n v="9"/>
    <x v="0"/>
    <x v="0"/>
  </r>
  <r>
    <n v="156864062"/>
    <x v="108"/>
    <d v="2022-12-21T00:00:00"/>
    <n v="39"/>
    <s v="month"/>
    <s v="No"/>
    <d v="2022-12-21T00:00:00"/>
    <n v="0"/>
    <x v="1"/>
    <x v="1"/>
  </r>
  <r>
    <n v="123065349"/>
    <x v="108"/>
    <d v="2023-03-27T00:00:00"/>
    <n v="39"/>
    <s v="month"/>
    <s v="Yes"/>
    <d v="2023-03-27T00:00:00"/>
    <n v="3"/>
    <x v="1"/>
    <x v="0"/>
  </r>
  <r>
    <n v="174258180"/>
    <x v="108"/>
    <d v="2023-04-29T00:00:00"/>
    <n v="39"/>
    <s v="month"/>
    <s v="Yes"/>
    <d v="2023-04-29T00:00:00"/>
    <n v="4"/>
    <x v="1"/>
    <x v="0"/>
  </r>
  <r>
    <n v="174269667"/>
    <x v="108"/>
    <d v="2023-03-03T00:00:00"/>
    <n v="39"/>
    <s v="month"/>
    <s v="Yes"/>
    <d v="2023-03-03T00:00:00"/>
    <n v="3"/>
    <x v="1"/>
    <x v="0"/>
  </r>
  <r>
    <n v="171889946"/>
    <x v="108"/>
    <d v="2023-02-10T00:00:00"/>
    <n v="39"/>
    <s v="month"/>
    <s v="Yes"/>
    <d v="2023-02-10T00:00:00"/>
    <n v="2"/>
    <x v="1"/>
    <x v="0"/>
  </r>
  <r>
    <n v="171613468"/>
    <x v="108"/>
    <d v="2023-02-22T00:00:00"/>
    <n v="39"/>
    <s v="month"/>
    <s v="Yes"/>
    <d v="2023-02-22T00:00:00"/>
    <n v="2"/>
    <x v="1"/>
    <x v="0"/>
  </r>
  <r>
    <n v="122922737"/>
    <x v="109"/>
    <m/>
    <n v="39"/>
    <s v="month"/>
    <s v="Yes"/>
    <d v="2023-09-30T00:00:00"/>
    <n v="9"/>
    <x v="0"/>
    <x v="0"/>
  </r>
  <r>
    <n v="174646924"/>
    <x v="109"/>
    <d v="2023-03-28T00:00:00"/>
    <n v="39"/>
    <s v="month"/>
    <s v="Yes"/>
    <d v="2023-03-28T00:00:00"/>
    <n v="3"/>
    <x v="1"/>
    <x v="0"/>
  </r>
  <r>
    <n v="174264280"/>
    <x v="109"/>
    <d v="2023-03-28T00:00:00"/>
    <n v="39"/>
    <s v="month"/>
    <s v="Yes"/>
    <d v="2023-03-28T00:00:00"/>
    <n v="3"/>
    <x v="1"/>
    <x v="0"/>
  </r>
  <r>
    <n v="174609120"/>
    <x v="109"/>
    <d v="2023-03-18T00:00:00"/>
    <n v="39"/>
    <s v="month"/>
    <s v="Yes"/>
    <d v="2023-03-18T00:00:00"/>
    <n v="3"/>
    <x v="1"/>
    <x v="0"/>
  </r>
  <r>
    <n v="174158995"/>
    <x v="109"/>
    <d v="2023-02-25T00:00:00"/>
    <n v="39"/>
    <s v="month"/>
    <s v="Yes"/>
    <d v="2023-02-25T00:00:00"/>
    <n v="2"/>
    <x v="1"/>
    <x v="0"/>
  </r>
  <r>
    <n v="174484311"/>
    <x v="109"/>
    <d v="2023-02-25T00:00:00"/>
    <n v="39"/>
    <s v="month"/>
    <s v="Yes"/>
    <d v="2023-02-25T00:00:00"/>
    <n v="2"/>
    <x v="1"/>
    <x v="0"/>
  </r>
  <r>
    <n v="169556175"/>
    <x v="109"/>
    <d v="2023-01-22T00:00:00"/>
    <n v="39"/>
    <s v="month"/>
    <s v="Yes"/>
    <d v="2023-01-22T00:00:00"/>
    <n v="1"/>
    <x v="1"/>
    <x v="0"/>
  </r>
  <r>
    <n v="153122282"/>
    <x v="109"/>
    <d v="2022-12-21T00:00:00"/>
    <n v="39"/>
    <s v="month"/>
    <s v="Yes"/>
    <d v="2022-12-21T00:00:00"/>
    <n v="0"/>
    <x v="1"/>
    <x v="1"/>
  </r>
  <r>
    <n v="174576654"/>
    <x v="109"/>
    <d v="2023-07-07T00:00:00"/>
    <n v="39"/>
    <s v="month"/>
    <s v="Yes"/>
    <d v="2023-07-07T00:00:00"/>
    <n v="7"/>
    <x v="0"/>
    <x v="0"/>
  </r>
  <r>
    <n v="154711077"/>
    <x v="110"/>
    <m/>
    <n v="39"/>
    <s v="month"/>
    <s v="Yes"/>
    <d v="2023-09-30T00:00:00"/>
    <n v="9"/>
    <x v="0"/>
    <x v="0"/>
  </r>
  <r>
    <n v="163619032"/>
    <x v="110"/>
    <m/>
    <n v="39"/>
    <s v="month"/>
    <s v="Yes"/>
    <d v="2023-09-30T00:00:00"/>
    <n v="9"/>
    <x v="0"/>
    <x v="0"/>
  </r>
  <r>
    <n v="171001864"/>
    <x v="110"/>
    <m/>
    <n v="39"/>
    <s v="month"/>
    <s v="Yes"/>
    <d v="2023-09-30T00:00:00"/>
    <n v="9"/>
    <x v="0"/>
    <x v="0"/>
  </r>
  <r>
    <n v="151890014"/>
    <x v="110"/>
    <m/>
    <n v="39"/>
    <s v="month"/>
    <s v="Yes"/>
    <d v="2023-09-30T00:00:00"/>
    <n v="9"/>
    <x v="0"/>
    <x v="0"/>
  </r>
  <r>
    <n v="158575772"/>
    <x v="110"/>
    <d v="2022-12-23T00:00:00"/>
    <n v="39"/>
    <s v="month"/>
    <s v="Yes"/>
    <d v="2022-12-23T00:00:00"/>
    <n v="0"/>
    <x v="1"/>
    <x v="1"/>
  </r>
  <r>
    <n v="164462665"/>
    <x v="110"/>
    <d v="2022-12-23T00:00:00"/>
    <n v="39"/>
    <s v="month"/>
    <s v="No"/>
    <d v="2022-12-23T00:00:00"/>
    <n v="0"/>
    <x v="1"/>
    <x v="1"/>
  </r>
  <r>
    <n v="121830768"/>
    <x v="110"/>
    <d v="2023-01-24T00:00:00"/>
    <n v="39"/>
    <s v="month"/>
    <s v="Yes"/>
    <d v="2023-01-24T00:00:00"/>
    <n v="1"/>
    <x v="1"/>
    <x v="0"/>
  </r>
  <r>
    <n v="174605216"/>
    <x v="110"/>
    <d v="2023-05-12T00:00:00"/>
    <n v="39"/>
    <s v="month"/>
    <s v="Yes"/>
    <d v="2023-05-12T00:00:00"/>
    <n v="5"/>
    <x v="0"/>
    <x v="0"/>
  </r>
  <r>
    <n v="174655316"/>
    <x v="110"/>
    <d v="2023-03-15T00:00:00"/>
    <n v="39"/>
    <s v="month"/>
    <s v="Yes"/>
    <d v="2023-03-15T00:00:00"/>
    <n v="3"/>
    <x v="1"/>
    <x v="0"/>
  </r>
  <r>
    <n v="174622570"/>
    <x v="110"/>
    <d v="2023-01-01T00:00:00"/>
    <n v="39"/>
    <s v="month"/>
    <s v="Yes"/>
    <d v="2023-01-01T00:00:00"/>
    <n v="1"/>
    <x v="1"/>
    <x v="0"/>
  </r>
  <r>
    <n v="174720005"/>
    <x v="110"/>
    <d v="2022-12-23T00:00:00"/>
    <n v="39"/>
    <s v="month"/>
    <s v="Yes"/>
    <d v="2022-12-23T00:00:00"/>
    <n v="0"/>
    <x v="1"/>
    <x v="1"/>
  </r>
  <r>
    <n v="174696512"/>
    <x v="111"/>
    <m/>
    <n v="39"/>
    <s v="month"/>
    <s v="Yes"/>
    <d v="2023-09-30T00:00:00"/>
    <n v="9"/>
    <x v="0"/>
    <x v="0"/>
  </r>
  <r>
    <n v="175314293"/>
    <x v="111"/>
    <m/>
    <n v="39"/>
    <s v="month"/>
    <s v="Yes"/>
    <d v="2023-09-30T00:00:00"/>
    <n v="9"/>
    <x v="0"/>
    <x v="0"/>
  </r>
  <r>
    <n v="175451863"/>
    <x v="111"/>
    <d v="2023-03-20T00:00:00"/>
    <n v="39"/>
    <s v="month"/>
    <s v="Yes"/>
    <d v="2023-03-20T00:00:00"/>
    <n v="3"/>
    <x v="1"/>
    <x v="0"/>
  </r>
  <r>
    <n v="174752844"/>
    <x v="111"/>
    <d v="2023-01-30T00:00:00"/>
    <n v="39"/>
    <s v="month"/>
    <s v="Yes"/>
    <d v="2023-01-30T00:00:00"/>
    <n v="1"/>
    <x v="1"/>
    <x v="0"/>
  </r>
  <r>
    <n v="175431141"/>
    <x v="112"/>
    <m/>
    <n v="39"/>
    <s v="month"/>
    <s v="Yes"/>
    <d v="2023-09-30T00:00:00"/>
    <n v="9"/>
    <x v="0"/>
    <x v="0"/>
  </r>
  <r>
    <n v="132228678"/>
    <x v="112"/>
    <d v="2022-12-24T00:00:00"/>
    <n v="39"/>
    <s v="month"/>
    <s v="Yes"/>
    <d v="2022-12-24T00:00:00"/>
    <n v="0"/>
    <x v="1"/>
    <x v="1"/>
  </r>
  <r>
    <n v="161151062"/>
    <x v="112"/>
    <d v="2023-04-19T00:00:00"/>
    <n v="39"/>
    <s v="month"/>
    <s v="Yes"/>
    <d v="2023-04-19T00:00:00"/>
    <n v="4"/>
    <x v="1"/>
    <x v="0"/>
  </r>
  <r>
    <n v="167653319"/>
    <x v="112"/>
    <d v="2023-03-13T00:00:00"/>
    <n v="39"/>
    <s v="month"/>
    <s v="Yes"/>
    <d v="2023-03-13T00:00:00"/>
    <n v="3"/>
    <x v="1"/>
    <x v="0"/>
  </r>
  <r>
    <n v="171659515"/>
    <x v="112"/>
    <d v="2023-01-23T00:00:00"/>
    <n v="39"/>
    <s v="month"/>
    <s v="Yes"/>
    <d v="2023-01-23T00:00:00"/>
    <n v="1"/>
    <x v="1"/>
    <x v="0"/>
  </r>
  <r>
    <n v="175720159"/>
    <x v="112"/>
    <d v="2023-01-09T00:00:00"/>
    <n v="39"/>
    <s v="month"/>
    <s v="Yes"/>
    <d v="2023-01-09T00:00:00"/>
    <n v="1"/>
    <x v="1"/>
    <x v="0"/>
  </r>
  <r>
    <n v="170593141"/>
    <x v="112"/>
    <d v="2023-01-08T00:00:00"/>
    <n v="39"/>
    <s v="month"/>
    <s v="Yes"/>
    <d v="2023-01-08T00:00:00"/>
    <n v="1"/>
    <x v="1"/>
    <x v="0"/>
  </r>
  <r>
    <n v="173981170"/>
    <x v="112"/>
    <d v="2022-12-25T00:00:00"/>
    <n v="39"/>
    <s v="month"/>
    <s v="Yes"/>
    <d v="2022-12-25T00:00:00"/>
    <n v="0"/>
    <x v="1"/>
    <x v="1"/>
  </r>
  <r>
    <n v="175166391"/>
    <x v="113"/>
    <m/>
    <n v="39"/>
    <s v="month"/>
    <s v="Yes"/>
    <d v="2023-09-30T00:00:00"/>
    <n v="9"/>
    <x v="0"/>
    <x v="0"/>
  </r>
  <r>
    <n v="161175048"/>
    <x v="113"/>
    <d v="2023-02-22T00:00:00"/>
    <n v="39"/>
    <s v="month"/>
    <s v="Yes"/>
    <d v="2023-02-22T00:00:00"/>
    <n v="2"/>
    <x v="1"/>
    <x v="0"/>
  </r>
  <r>
    <n v="164254865"/>
    <x v="113"/>
    <d v="2023-01-24T00:00:00"/>
    <n v="39"/>
    <s v="month"/>
    <s v="Yes"/>
    <d v="2023-01-24T00:00:00"/>
    <n v="1"/>
    <x v="1"/>
    <x v="0"/>
  </r>
  <r>
    <n v="143248615"/>
    <x v="114"/>
    <m/>
    <n v="39"/>
    <s v="month"/>
    <s v="Yes"/>
    <d v="2023-09-30T00:00:00"/>
    <n v="9"/>
    <x v="0"/>
    <x v="0"/>
  </r>
  <r>
    <n v="176032070"/>
    <x v="114"/>
    <d v="2023-01-14T00:00:00"/>
    <n v="39"/>
    <s v="month"/>
    <s v="Yes"/>
    <d v="2023-01-14T00:00:00"/>
    <n v="1"/>
    <x v="1"/>
    <x v="0"/>
  </r>
  <r>
    <n v="174132333"/>
    <x v="115"/>
    <m/>
    <n v="39"/>
    <s v="month"/>
    <s v="Yes"/>
    <d v="2023-09-30T00:00:00"/>
    <n v="9"/>
    <x v="0"/>
    <x v="0"/>
  </r>
  <r>
    <n v="177051147"/>
    <x v="115"/>
    <d v="2022-12-28T00:00:00"/>
    <n v="39"/>
    <s v="month"/>
    <s v="Yes"/>
    <d v="2022-12-28T00:00:00"/>
    <n v="0"/>
    <x v="1"/>
    <x v="1"/>
  </r>
  <r>
    <n v="176571319"/>
    <x v="115"/>
    <d v="2023-04-01T00:00:00"/>
    <n v="39"/>
    <s v="month"/>
    <s v="Yes"/>
    <d v="2023-04-01T00:00:00"/>
    <n v="4"/>
    <x v="1"/>
    <x v="0"/>
  </r>
  <r>
    <n v="166932902"/>
    <x v="115"/>
    <d v="2023-03-06T00:00:00"/>
    <n v="39"/>
    <s v="month"/>
    <s v="Yes"/>
    <d v="2023-03-06T00:00:00"/>
    <n v="3"/>
    <x v="1"/>
    <x v="0"/>
  </r>
  <r>
    <n v="175851244"/>
    <x v="115"/>
    <d v="2023-02-03T00:00:00"/>
    <n v="39"/>
    <s v="month"/>
    <s v="Yes"/>
    <d v="2023-02-03T00:00:00"/>
    <n v="2"/>
    <x v="1"/>
    <x v="0"/>
  </r>
  <r>
    <n v="155613371"/>
    <x v="115"/>
    <d v="2023-02-03T00:00:00"/>
    <n v="39"/>
    <s v="month"/>
    <s v="Yes"/>
    <d v="2023-02-03T00:00:00"/>
    <n v="2"/>
    <x v="1"/>
    <x v="0"/>
  </r>
  <r>
    <n v="167678290"/>
    <x v="115"/>
    <d v="2023-01-27T00:00:00"/>
    <n v="39"/>
    <s v="month"/>
    <s v="Yes"/>
    <d v="2023-01-27T00:00:00"/>
    <n v="1"/>
    <x v="1"/>
    <x v="0"/>
  </r>
  <r>
    <n v="176995917"/>
    <x v="115"/>
    <d v="2023-06-29T00:00:00"/>
    <n v="39"/>
    <s v="month"/>
    <s v="Yes"/>
    <d v="2023-06-29T00:00:00"/>
    <n v="6"/>
    <x v="0"/>
    <x v="0"/>
  </r>
  <r>
    <n v="161187523"/>
    <x v="115"/>
    <d v="2023-07-19T00:00:00"/>
    <n v="39"/>
    <s v="month"/>
    <s v="Yes"/>
    <d v="2023-07-19T00:00:00"/>
    <n v="7"/>
    <x v="0"/>
    <x v="0"/>
  </r>
  <r>
    <n v="175884318"/>
    <x v="116"/>
    <d v="2023-01-14T00:00:00"/>
    <n v="39"/>
    <s v="month"/>
    <s v="Yes"/>
    <d v="2023-01-14T00:00:00"/>
    <n v="1"/>
    <x v="1"/>
    <x v="0"/>
  </r>
  <r>
    <n v="173911972"/>
    <x v="116"/>
    <d v="2023-04-24T00:00:00"/>
    <n v="39"/>
    <s v="month"/>
    <s v="Yes"/>
    <d v="2023-04-24T00:00:00"/>
    <n v="4"/>
    <x v="1"/>
    <x v="0"/>
  </r>
  <r>
    <n v="177696301"/>
    <x v="116"/>
    <d v="2023-05-27T00:00:00"/>
    <n v="39"/>
    <s v="month"/>
    <s v="Yes"/>
    <d v="2023-05-27T00:00:00"/>
    <n v="5"/>
    <x v="0"/>
    <x v="0"/>
  </r>
  <r>
    <n v="165744582"/>
    <x v="116"/>
    <d v="2023-02-12T00:00:00"/>
    <n v="39"/>
    <s v="month"/>
    <s v="Yes"/>
    <d v="2023-02-12T00:00:00"/>
    <n v="2"/>
    <x v="1"/>
    <x v="0"/>
  </r>
  <r>
    <n v="177323966"/>
    <x v="116"/>
    <d v="2022-12-28T00:00:00"/>
    <n v="39"/>
    <s v="month"/>
    <s v="Yes"/>
    <d v="2022-12-28T00:00:00"/>
    <n v="0"/>
    <x v="1"/>
    <x v="1"/>
  </r>
  <r>
    <n v="178355844"/>
    <x v="117"/>
    <m/>
    <n v="39"/>
    <s v="month"/>
    <s v="Yes"/>
    <d v="2023-09-30T00:00:00"/>
    <n v="9"/>
    <x v="0"/>
    <x v="0"/>
  </r>
  <r>
    <n v="176989743"/>
    <x v="117"/>
    <m/>
    <n v="39"/>
    <s v="month"/>
    <s v="Yes"/>
    <d v="2023-09-30T00:00:00"/>
    <n v="9"/>
    <x v="0"/>
    <x v="0"/>
  </r>
  <r>
    <n v="177971827"/>
    <x v="117"/>
    <m/>
    <n v="39"/>
    <s v="month"/>
    <s v="Yes"/>
    <d v="2023-09-30T00:00:00"/>
    <n v="9"/>
    <x v="0"/>
    <x v="0"/>
  </r>
  <r>
    <n v="131147038"/>
    <x v="117"/>
    <d v="2023-02-13T00:00:00"/>
    <n v="39"/>
    <s v="month"/>
    <s v="Yes"/>
    <d v="2023-02-13T00:00:00"/>
    <n v="2"/>
    <x v="1"/>
    <x v="0"/>
  </r>
  <r>
    <n v="152142457"/>
    <x v="117"/>
    <d v="2023-02-12T00:00:00"/>
    <n v="39"/>
    <s v="month"/>
    <s v="Yes"/>
    <d v="2023-02-12T00:00:00"/>
    <n v="2"/>
    <x v="1"/>
    <x v="0"/>
  </r>
  <r>
    <n v="174293226"/>
    <x v="117"/>
    <d v="2023-06-06T00:00:00"/>
    <n v="39"/>
    <s v="month"/>
    <s v="Yes"/>
    <d v="2023-06-06T00:00:00"/>
    <n v="6"/>
    <x v="0"/>
    <x v="0"/>
  </r>
  <r>
    <n v="177051147"/>
    <x v="117"/>
    <d v="2023-03-27T00:00:00"/>
    <n v="39"/>
    <s v="month"/>
    <s v="Yes"/>
    <d v="2023-03-27T00:00:00"/>
    <n v="3"/>
    <x v="1"/>
    <x v="0"/>
  </r>
  <r>
    <n v="177963240"/>
    <x v="117"/>
    <d v="2023-01-27T00:00:00"/>
    <n v="39"/>
    <s v="month"/>
    <s v="Yes"/>
    <d v="2023-01-27T00:00:00"/>
    <n v="1"/>
    <x v="1"/>
    <x v="0"/>
  </r>
  <r>
    <n v="176639972"/>
    <x v="117"/>
    <d v="2023-01-28T00:00:00"/>
    <n v="39"/>
    <s v="month"/>
    <s v="Yes"/>
    <d v="2023-01-28T00:00:00"/>
    <n v="1"/>
    <x v="1"/>
    <x v="0"/>
  </r>
  <r>
    <n v="175818000"/>
    <x v="118"/>
    <d v="2023-06-09T00:00:00"/>
    <n v="39"/>
    <s v="month"/>
    <s v="Yes"/>
    <d v="2023-06-09T00:00:00"/>
    <n v="6"/>
    <x v="0"/>
    <x v="0"/>
  </r>
  <r>
    <n v="117856836"/>
    <x v="118"/>
    <d v="2023-02-02T00:00:00"/>
    <n v="39"/>
    <s v="month"/>
    <s v="Yes"/>
    <d v="2023-02-02T00:00:00"/>
    <n v="2"/>
    <x v="1"/>
    <x v="0"/>
  </r>
  <r>
    <n v="177266058"/>
    <x v="118"/>
    <d v="2023-04-06T00:00:00"/>
    <n v="39"/>
    <s v="month"/>
    <s v="Yes"/>
    <d v="2023-04-06T00:00:00"/>
    <n v="4"/>
    <x v="1"/>
    <x v="0"/>
  </r>
  <r>
    <n v="174203866"/>
    <x v="118"/>
    <d v="2023-02-28T00:00:00"/>
    <n v="39"/>
    <s v="month"/>
    <s v="Yes"/>
    <d v="2023-02-28T00:00:00"/>
    <n v="2"/>
    <x v="1"/>
    <x v="0"/>
  </r>
  <r>
    <n v="174991614"/>
    <x v="118"/>
    <d v="2023-01-30T00:00:00"/>
    <n v="39"/>
    <s v="month"/>
    <s v="Yes"/>
    <d v="2023-01-30T00:00:00"/>
    <n v="1"/>
    <x v="1"/>
    <x v="0"/>
  </r>
  <r>
    <n v="175354348"/>
    <x v="118"/>
    <d v="2023-01-21T00:00:00"/>
    <n v="39"/>
    <s v="month"/>
    <s v="Yes"/>
    <d v="2023-01-21T00:00:00"/>
    <n v="1"/>
    <x v="1"/>
    <x v="0"/>
  </r>
  <r>
    <n v="176573512"/>
    <x v="118"/>
    <d v="2023-07-03T00:00:00"/>
    <n v="39"/>
    <s v="month"/>
    <s v="Yes"/>
    <d v="2023-07-03T00:00:00"/>
    <n v="7"/>
    <x v="0"/>
    <x v="0"/>
  </r>
  <r>
    <n v="178379352"/>
    <x v="119"/>
    <d v="2023-01-02T00:00:00"/>
    <n v="39"/>
    <s v="month"/>
    <s v="Yes"/>
    <d v="2023-01-02T00:00:00"/>
    <n v="1"/>
    <x v="1"/>
    <x v="0"/>
  </r>
  <r>
    <n v="152980676"/>
    <x v="119"/>
    <d v="2023-01-21T00:00:00"/>
    <n v="39"/>
    <s v="month"/>
    <s v="Yes"/>
    <d v="2023-01-21T00:00:00"/>
    <n v="1"/>
    <x v="1"/>
    <x v="0"/>
  </r>
  <r>
    <n v="179551652"/>
    <x v="119"/>
    <d v="2023-05-07T00:00:00"/>
    <n v="39"/>
    <s v="month"/>
    <s v="Yes"/>
    <d v="2023-05-07T00:00:00"/>
    <n v="5"/>
    <x v="0"/>
    <x v="0"/>
  </r>
  <r>
    <n v="175899028"/>
    <x v="119"/>
    <d v="2023-03-24T00:00:00"/>
    <n v="39"/>
    <s v="month"/>
    <s v="Yes"/>
    <d v="2023-03-24T00:00:00"/>
    <n v="3"/>
    <x v="1"/>
    <x v="0"/>
  </r>
  <r>
    <n v="148427368"/>
    <x v="119"/>
    <d v="2023-02-07T00:00:00"/>
    <n v="39"/>
    <s v="month"/>
    <s v="Yes"/>
    <d v="2023-02-07T00:00:00"/>
    <n v="2"/>
    <x v="1"/>
    <x v="0"/>
  </r>
  <r>
    <n v="149335749"/>
    <x v="119"/>
    <d v="2023-01-30T00:00:00"/>
    <n v="39"/>
    <s v="month"/>
    <s v="Yes"/>
    <d v="2023-01-30T00:00:00"/>
    <n v="1"/>
    <x v="1"/>
    <x v="0"/>
  </r>
  <r>
    <n v="179395204"/>
    <x v="119"/>
    <d v="2023-01-16T00:00:00"/>
    <n v="39"/>
    <s v="month"/>
    <s v="Yes"/>
    <d v="2023-01-16T00:00:00"/>
    <n v="1"/>
    <x v="1"/>
    <x v="0"/>
  </r>
  <r>
    <n v="150870576"/>
    <x v="120"/>
    <d v="2023-06-15T00:00:00"/>
    <n v="39"/>
    <s v="month"/>
    <s v="Yes"/>
    <d v="2023-06-15T00:00:00"/>
    <n v="5"/>
    <x v="0"/>
    <x v="0"/>
  </r>
  <r>
    <n v="176200716"/>
    <x v="120"/>
    <d v="2023-04-24T00:00:00"/>
    <n v="39"/>
    <s v="month"/>
    <s v="Yes"/>
    <d v="2023-04-24T00:00:00"/>
    <n v="3"/>
    <x v="1"/>
    <x v="0"/>
  </r>
  <r>
    <n v="178097351"/>
    <x v="120"/>
    <d v="2023-02-08T00:00:00"/>
    <n v="39"/>
    <s v="month"/>
    <s v="Yes"/>
    <d v="2023-02-08T00:00:00"/>
    <n v="1"/>
    <x v="1"/>
    <x v="0"/>
  </r>
  <r>
    <n v="177238262"/>
    <x v="121"/>
    <m/>
    <n v="39"/>
    <s v="month"/>
    <s v="Yes"/>
    <d v="2023-09-30T00:00:00"/>
    <n v="8"/>
    <x v="0"/>
    <x v="0"/>
  </r>
  <r>
    <n v="173131478"/>
    <x v="121"/>
    <m/>
    <n v="39"/>
    <s v="month"/>
    <s v="Yes"/>
    <d v="2023-09-30T00:00:00"/>
    <n v="8"/>
    <x v="0"/>
    <x v="0"/>
  </r>
  <r>
    <n v="180123121"/>
    <x v="121"/>
    <d v="2023-01-02T00:00:00"/>
    <n v="39"/>
    <s v="month"/>
    <s v="No"/>
    <d v="2023-01-02T00:00:00"/>
    <n v="0"/>
    <x v="1"/>
    <x v="1"/>
  </r>
  <r>
    <n v="139136640"/>
    <x v="121"/>
    <d v="2023-03-09T00:00:00"/>
    <n v="39"/>
    <s v="month"/>
    <s v="Yes"/>
    <d v="2023-03-09T00:00:00"/>
    <n v="2"/>
    <x v="1"/>
    <x v="0"/>
  </r>
  <r>
    <n v="172951272"/>
    <x v="121"/>
    <d v="2023-05-06T00:00:00"/>
    <n v="39"/>
    <s v="month"/>
    <s v="Yes"/>
    <d v="2023-05-06T00:00:00"/>
    <n v="4"/>
    <x v="1"/>
    <x v="0"/>
  </r>
  <r>
    <n v="175473611"/>
    <x v="121"/>
    <d v="2023-04-23T00:00:00"/>
    <n v="39"/>
    <s v="month"/>
    <s v="Yes"/>
    <d v="2023-04-23T00:00:00"/>
    <n v="3"/>
    <x v="1"/>
    <x v="0"/>
  </r>
  <r>
    <n v="170776130"/>
    <x v="121"/>
    <d v="2023-04-18T00:00:00"/>
    <n v="39"/>
    <s v="month"/>
    <s v="Yes"/>
    <d v="2023-04-18T00:00:00"/>
    <n v="3"/>
    <x v="1"/>
    <x v="0"/>
  </r>
  <r>
    <n v="180558466"/>
    <x v="121"/>
    <d v="2023-03-24T00:00:00"/>
    <n v="39"/>
    <s v="month"/>
    <s v="Yes"/>
    <d v="2023-03-24T00:00:00"/>
    <n v="2"/>
    <x v="1"/>
    <x v="0"/>
  </r>
  <r>
    <n v="171398636"/>
    <x v="121"/>
    <d v="2023-03-10T00:00:00"/>
    <n v="39"/>
    <s v="month"/>
    <s v="Yes"/>
    <d v="2023-03-10T00:00:00"/>
    <n v="2"/>
    <x v="1"/>
    <x v="0"/>
  </r>
  <r>
    <n v="180424776"/>
    <x v="121"/>
    <d v="2023-03-19T00:00:00"/>
    <n v="39"/>
    <s v="month"/>
    <s v="Yes"/>
    <d v="2023-03-19T00:00:00"/>
    <n v="2"/>
    <x v="1"/>
    <x v="0"/>
  </r>
  <r>
    <n v="180198528"/>
    <x v="121"/>
    <d v="2023-02-09T00:00:00"/>
    <n v="39"/>
    <s v="month"/>
    <s v="Yes"/>
    <d v="2023-02-09T00:00:00"/>
    <n v="1"/>
    <x v="1"/>
    <x v="0"/>
  </r>
  <r>
    <n v="124634385"/>
    <x v="122"/>
    <m/>
    <n v="39"/>
    <s v="month"/>
    <s v="Yes"/>
    <d v="2023-09-30T00:00:00"/>
    <n v="8"/>
    <x v="0"/>
    <x v="0"/>
  </r>
  <r>
    <n v="180740092"/>
    <x v="122"/>
    <m/>
    <n v="39"/>
    <s v="month"/>
    <s v="Yes"/>
    <d v="2023-09-30T00:00:00"/>
    <n v="8"/>
    <x v="0"/>
    <x v="0"/>
  </r>
  <r>
    <n v="144385898"/>
    <x v="122"/>
    <d v="2023-07-03T00:00:00"/>
    <n v="39"/>
    <s v="month"/>
    <s v="Yes"/>
    <d v="2023-07-03T00:00:00"/>
    <n v="6"/>
    <x v="0"/>
    <x v="0"/>
  </r>
  <r>
    <n v="175138132"/>
    <x v="122"/>
    <d v="2023-04-23T00:00:00"/>
    <n v="39"/>
    <s v="month"/>
    <s v="Yes"/>
    <d v="2023-04-23T00:00:00"/>
    <n v="3"/>
    <x v="1"/>
    <x v="0"/>
  </r>
  <r>
    <n v="180968287"/>
    <x v="122"/>
    <d v="2023-03-27T00:00:00"/>
    <n v="39"/>
    <s v="month"/>
    <s v="Yes"/>
    <d v="2023-03-27T00:00:00"/>
    <n v="2"/>
    <x v="1"/>
    <x v="0"/>
  </r>
  <r>
    <n v="180959934"/>
    <x v="122"/>
    <d v="2023-03-08T00:00:00"/>
    <n v="39"/>
    <s v="month"/>
    <s v="Yes"/>
    <d v="2023-03-08T00:00:00"/>
    <n v="2"/>
    <x v="1"/>
    <x v="0"/>
  </r>
  <r>
    <n v="176445635"/>
    <x v="122"/>
    <d v="2023-02-18T00:00:00"/>
    <n v="39"/>
    <s v="month"/>
    <s v="Yes"/>
    <d v="2023-02-18T00:00:00"/>
    <n v="1"/>
    <x v="1"/>
    <x v="0"/>
  </r>
  <r>
    <n v="180798046"/>
    <x v="122"/>
    <d v="2023-01-31T00:00:00"/>
    <n v="39"/>
    <s v="month"/>
    <s v="Yes"/>
    <d v="2023-01-31T00:00:00"/>
    <n v="0"/>
    <x v="1"/>
    <x v="1"/>
  </r>
  <r>
    <n v="180718702"/>
    <x v="122"/>
    <d v="2023-01-25T00:00:00"/>
    <n v="39"/>
    <s v="month"/>
    <s v="Yes"/>
    <d v="2023-01-25T00:00:00"/>
    <n v="0"/>
    <x v="1"/>
    <x v="1"/>
  </r>
  <r>
    <n v="181052392"/>
    <x v="122"/>
    <d v="2023-08-23T00:00:00"/>
    <n v="39"/>
    <s v="month"/>
    <s v="Yes"/>
    <d v="2023-08-23T00:00:00"/>
    <n v="7"/>
    <x v="0"/>
    <x v="0"/>
  </r>
  <r>
    <n v="181717508"/>
    <x v="123"/>
    <m/>
    <n v="39"/>
    <s v="month"/>
    <s v="Yes"/>
    <d v="2023-09-30T00:00:00"/>
    <n v="8"/>
    <x v="0"/>
    <x v="0"/>
  </r>
  <r>
    <n v="163103592"/>
    <x v="123"/>
    <d v="2023-01-05T00:00:00"/>
    <n v="39"/>
    <s v="month"/>
    <s v="No"/>
    <d v="2023-01-05T00:00:00"/>
    <n v="0"/>
    <x v="1"/>
    <x v="1"/>
  </r>
  <r>
    <n v="146860806"/>
    <x v="123"/>
    <d v="2023-03-04T00:00:00"/>
    <n v="39"/>
    <s v="month"/>
    <s v="Yes"/>
    <d v="2023-03-04T00:00:00"/>
    <n v="2"/>
    <x v="1"/>
    <x v="0"/>
  </r>
  <r>
    <n v="160532210"/>
    <x v="123"/>
    <d v="2023-02-12T00:00:00"/>
    <n v="39"/>
    <s v="month"/>
    <s v="Yes"/>
    <d v="2023-02-12T00:00:00"/>
    <n v="1"/>
    <x v="1"/>
    <x v="0"/>
  </r>
  <r>
    <n v="181003342"/>
    <x v="123"/>
    <d v="2023-02-28T00:00:00"/>
    <n v="39"/>
    <s v="month"/>
    <s v="Yes"/>
    <d v="2023-02-28T00:00:00"/>
    <n v="1"/>
    <x v="1"/>
    <x v="0"/>
  </r>
  <r>
    <n v="178661698"/>
    <x v="123"/>
    <d v="2023-07-11T00:00:00"/>
    <n v="39"/>
    <s v="month"/>
    <s v="Yes"/>
    <d v="2023-07-11T00:00:00"/>
    <n v="6"/>
    <x v="0"/>
    <x v="0"/>
  </r>
  <r>
    <n v="178928897"/>
    <x v="124"/>
    <m/>
    <n v="39"/>
    <s v="month"/>
    <s v="Yes"/>
    <d v="2023-09-30T00:00:00"/>
    <n v="8"/>
    <x v="0"/>
    <x v="0"/>
  </r>
  <r>
    <n v="181840814"/>
    <x v="124"/>
    <m/>
    <n v="39"/>
    <s v="month"/>
    <s v="Yes"/>
    <d v="2023-09-30T00:00:00"/>
    <n v="8"/>
    <x v="0"/>
    <x v="0"/>
  </r>
  <r>
    <n v="166930287"/>
    <x v="124"/>
    <d v="2023-01-06T00:00:00"/>
    <n v="39"/>
    <s v="month"/>
    <s v="No"/>
    <d v="2023-01-06T00:00:00"/>
    <n v="0"/>
    <x v="1"/>
    <x v="1"/>
  </r>
  <r>
    <n v="155956314"/>
    <x v="124"/>
    <d v="2023-01-05T00:00:00"/>
    <n v="39"/>
    <s v="month"/>
    <s v="No"/>
    <d v="2023-01-05T00:00:00"/>
    <n v="0"/>
    <x v="1"/>
    <x v="1"/>
  </r>
  <r>
    <n v="182408564"/>
    <x v="124"/>
    <d v="2023-05-04T00:00:00"/>
    <n v="39"/>
    <s v="month"/>
    <s v="Yes"/>
    <d v="2023-05-04T00:00:00"/>
    <n v="4"/>
    <x v="1"/>
    <x v="0"/>
  </r>
  <r>
    <n v="182295766"/>
    <x v="124"/>
    <d v="2023-03-12T00:00:00"/>
    <n v="39"/>
    <s v="month"/>
    <s v="Yes"/>
    <d v="2023-03-12T00:00:00"/>
    <n v="2"/>
    <x v="1"/>
    <x v="0"/>
  </r>
  <r>
    <n v="155881023"/>
    <x v="124"/>
    <d v="2023-03-02T00:00:00"/>
    <n v="39"/>
    <s v="month"/>
    <s v="Yes"/>
    <d v="2023-03-02T00:00:00"/>
    <n v="2"/>
    <x v="1"/>
    <x v="0"/>
  </r>
  <r>
    <n v="152750569"/>
    <x v="124"/>
    <d v="2023-02-12T00:00:00"/>
    <n v="39"/>
    <s v="month"/>
    <s v="Yes"/>
    <d v="2023-02-12T00:00:00"/>
    <n v="1"/>
    <x v="1"/>
    <x v="0"/>
  </r>
  <r>
    <n v="178345451"/>
    <x v="124"/>
    <d v="2023-02-12T00:00:00"/>
    <n v="39"/>
    <s v="month"/>
    <s v="Yes"/>
    <d v="2023-02-12T00:00:00"/>
    <n v="1"/>
    <x v="1"/>
    <x v="0"/>
  </r>
  <r>
    <n v="179758181"/>
    <x v="125"/>
    <m/>
    <n v="39"/>
    <s v="month"/>
    <s v="Yes"/>
    <d v="2023-09-30T00:00:00"/>
    <n v="8"/>
    <x v="0"/>
    <x v="0"/>
  </r>
  <r>
    <n v="167266048"/>
    <x v="125"/>
    <m/>
    <n v="39"/>
    <s v="month"/>
    <s v="Yes"/>
    <d v="2023-09-30T00:00:00"/>
    <n v="8"/>
    <x v="0"/>
    <x v="0"/>
  </r>
  <r>
    <n v="182719870"/>
    <x v="125"/>
    <d v="2023-05-04T00:00:00"/>
    <n v="39"/>
    <s v="month"/>
    <s v="Yes"/>
    <d v="2023-05-04T00:00:00"/>
    <n v="4"/>
    <x v="1"/>
    <x v="0"/>
  </r>
  <r>
    <n v="182408430"/>
    <x v="125"/>
    <d v="2023-05-10T00:00:00"/>
    <n v="39"/>
    <s v="month"/>
    <s v="Yes"/>
    <d v="2023-05-10T00:00:00"/>
    <n v="4"/>
    <x v="1"/>
    <x v="0"/>
  </r>
  <r>
    <n v="181072524"/>
    <x v="125"/>
    <d v="2023-06-30T00:00:00"/>
    <n v="39"/>
    <s v="month"/>
    <s v="Yes"/>
    <d v="2023-06-30T00:00:00"/>
    <n v="5"/>
    <x v="0"/>
    <x v="0"/>
  </r>
  <r>
    <n v="182747824"/>
    <x v="125"/>
    <d v="2023-04-13T00:00:00"/>
    <n v="39"/>
    <s v="month"/>
    <s v="Yes"/>
    <d v="2023-04-13T00:00:00"/>
    <n v="3"/>
    <x v="1"/>
    <x v="0"/>
  </r>
  <r>
    <n v="182700534"/>
    <x v="125"/>
    <d v="2023-03-26T00:00:00"/>
    <n v="39"/>
    <s v="month"/>
    <s v="Yes"/>
    <d v="2023-03-26T00:00:00"/>
    <n v="2"/>
    <x v="1"/>
    <x v="0"/>
  </r>
  <r>
    <n v="182727349"/>
    <x v="125"/>
    <d v="2023-02-06T00:00:00"/>
    <n v="39"/>
    <s v="month"/>
    <s v="Yes"/>
    <d v="2023-02-06T00:00:00"/>
    <n v="1"/>
    <x v="1"/>
    <x v="0"/>
  </r>
  <r>
    <n v="182636324"/>
    <x v="125"/>
    <d v="2023-02-03T00:00:00"/>
    <n v="39"/>
    <s v="month"/>
    <s v="Yes"/>
    <d v="2023-02-03T00:00:00"/>
    <n v="1"/>
    <x v="1"/>
    <x v="0"/>
  </r>
  <r>
    <n v="170485769"/>
    <x v="125"/>
    <d v="2023-01-06T00:00:00"/>
    <n v="39"/>
    <s v="month"/>
    <s v="Yes"/>
    <d v="2023-01-06T00:00:00"/>
    <n v="0"/>
    <x v="1"/>
    <x v="1"/>
  </r>
  <r>
    <n v="182627508"/>
    <x v="125"/>
    <d v="2023-01-06T00:00:00"/>
    <n v="39"/>
    <s v="month"/>
    <s v="Yes"/>
    <d v="2023-01-06T00:00:00"/>
    <n v="0"/>
    <x v="1"/>
    <x v="1"/>
  </r>
  <r>
    <n v="182834016"/>
    <x v="126"/>
    <d v="2023-06-14T00:00:00"/>
    <n v="39"/>
    <s v="month"/>
    <s v="Yes"/>
    <d v="2023-06-14T00:00:00"/>
    <n v="5"/>
    <x v="0"/>
    <x v="0"/>
  </r>
  <r>
    <n v="163535855"/>
    <x v="126"/>
    <d v="2023-06-21T00:00:00"/>
    <n v="39"/>
    <s v="month"/>
    <s v="Yes"/>
    <d v="2023-06-21T00:00:00"/>
    <n v="5"/>
    <x v="0"/>
    <x v="0"/>
  </r>
  <r>
    <n v="183002853"/>
    <x v="126"/>
    <d v="2023-04-08T00:00:00"/>
    <n v="39"/>
    <s v="month"/>
    <s v="Yes"/>
    <d v="2023-04-08T00:00:00"/>
    <n v="3"/>
    <x v="1"/>
    <x v="0"/>
  </r>
  <r>
    <n v="148338824"/>
    <x v="126"/>
    <d v="2023-02-07T00:00:00"/>
    <n v="39"/>
    <s v="month"/>
    <s v="Yes"/>
    <d v="2023-02-07T00:00:00"/>
    <n v="1"/>
    <x v="1"/>
    <x v="0"/>
  </r>
  <r>
    <n v="181712692"/>
    <x v="126"/>
    <d v="2023-01-07T00:00:00"/>
    <n v="39"/>
    <s v="month"/>
    <s v="Yes"/>
    <d v="2023-01-07T00:00:00"/>
    <n v="0"/>
    <x v="1"/>
    <x v="1"/>
  </r>
  <r>
    <n v="181770777"/>
    <x v="127"/>
    <m/>
    <n v="39"/>
    <s v="month"/>
    <s v="Yes"/>
    <d v="2023-09-30T00:00:00"/>
    <n v="8"/>
    <x v="0"/>
    <x v="0"/>
  </r>
  <r>
    <n v="161269602"/>
    <x v="127"/>
    <d v="2023-01-08T00:00:00"/>
    <n v="39"/>
    <s v="month"/>
    <s v="Yes"/>
    <d v="2023-01-08T00:00:00"/>
    <n v="0"/>
    <x v="1"/>
    <x v="1"/>
  </r>
  <r>
    <n v="145799416"/>
    <x v="127"/>
    <d v="2023-02-10T00:00:00"/>
    <n v="39"/>
    <s v="month"/>
    <s v="Yes"/>
    <d v="2023-02-10T00:00:00"/>
    <n v="1"/>
    <x v="1"/>
    <x v="0"/>
  </r>
  <r>
    <n v="182753953"/>
    <x v="127"/>
    <d v="2023-04-03T00:00:00"/>
    <n v="39"/>
    <s v="month"/>
    <s v="Yes"/>
    <d v="2023-04-03T00:00:00"/>
    <n v="3"/>
    <x v="1"/>
    <x v="0"/>
  </r>
  <r>
    <n v="162944728"/>
    <x v="127"/>
    <d v="2023-03-01T00:00:00"/>
    <n v="39"/>
    <s v="month"/>
    <s v="Yes"/>
    <d v="2023-03-01T00:00:00"/>
    <n v="2"/>
    <x v="1"/>
    <x v="0"/>
  </r>
  <r>
    <n v="161249852"/>
    <x v="127"/>
    <d v="2023-01-15T00:00:00"/>
    <n v="39"/>
    <s v="month"/>
    <s v="Yes"/>
    <d v="2023-01-15T00:00:00"/>
    <n v="0"/>
    <x v="1"/>
    <x v="1"/>
  </r>
  <r>
    <n v="183916833"/>
    <x v="128"/>
    <m/>
    <n v="39"/>
    <s v="month"/>
    <s v="Yes"/>
    <d v="2023-09-30T00:00:00"/>
    <n v="8"/>
    <x v="0"/>
    <x v="0"/>
  </r>
  <r>
    <n v="169141612"/>
    <x v="128"/>
    <d v="2023-01-10T00:00:00"/>
    <n v="39"/>
    <s v="month"/>
    <s v="No"/>
    <d v="2023-01-10T00:00:00"/>
    <n v="0"/>
    <x v="1"/>
    <x v="1"/>
  </r>
  <r>
    <n v="128768010"/>
    <x v="128"/>
    <d v="2023-01-12T00:00:00"/>
    <n v="39"/>
    <s v="month"/>
    <s v="Yes"/>
    <d v="2023-01-12T00:00:00"/>
    <n v="0"/>
    <x v="1"/>
    <x v="1"/>
  </r>
  <r>
    <n v="138520918"/>
    <x v="128"/>
    <d v="2023-01-09T00:00:00"/>
    <n v="39"/>
    <s v="month"/>
    <s v="Yes"/>
    <d v="2023-01-09T00:00:00"/>
    <n v="0"/>
    <x v="1"/>
    <x v="1"/>
  </r>
  <r>
    <n v="162946328"/>
    <x v="128"/>
    <d v="2023-05-08T00:00:00"/>
    <n v="39"/>
    <s v="month"/>
    <s v="Yes"/>
    <d v="2023-05-08T00:00:00"/>
    <n v="4"/>
    <x v="1"/>
    <x v="0"/>
  </r>
  <r>
    <n v="182929556"/>
    <x v="128"/>
    <d v="2023-04-10T00:00:00"/>
    <n v="39"/>
    <s v="month"/>
    <s v="Yes"/>
    <d v="2023-04-10T00:00:00"/>
    <n v="3"/>
    <x v="1"/>
    <x v="0"/>
  </r>
  <r>
    <n v="153704184"/>
    <x v="128"/>
    <d v="2023-04-08T00:00:00"/>
    <n v="39"/>
    <s v="month"/>
    <s v="Yes"/>
    <d v="2023-04-08T00:00:00"/>
    <n v="3"/>
    <x v="1"/>
    <x v="0"/>
  </r>
  <r>
    <n v="136326172"/>
    <x v="128"/>
    <d v="2023-03-08T00:00:00"/>
    <n v="39"/>
    <s v="month"/>
    <s v="Yes"/>
    <d v="2023-03-08T00:00:00"/>
    <n v="2"/>
    <x v="1"/>
    <x v="0"/>
  </r>
  <r>
    <n v="182505210"/>
    <x v="128"/>
    <d v="2023-02-08T00:00:00"/>
    <n v="39"/>
    <s v="month"/>
    <s v="Yes"/>
    <d v="2023-02-08T00:00:00"/>
    <n v="1"/>
    <x v="1"/>
    <x v="0"/>
  </r>
  <r>
    <n v="184370857"/>
    <x v="129"/>
    <m/>
    <n v="39"/>
    <s v="month"/>
    <s v="Yes"/>
    <d v="2023-09-30T00:00:00"/>
    <n v="8"/>
    <x v="0"/>
    <x v="0"/>
  </r>
  <r>
    <n v="184310344"/>
    <x v="129"/>
    <d v="2023-04-11T00:00:00"/>
    <n v="39"/>
    <s v="month"/>
    <s v="Yes"/>
    <d v="2023-04-11T00:00:00"/>
    <n v="3"/>
    <x v="1"/>
    <x v="0"/>
  </r>
  <r>
    <n v="183346055"/>
    <x v="129"/>
    <d v="2023-03-17T00:00:00"/>
    <n v="39"/>
    <s v="month"/>
    <s v="Yes"/>
    <d v="2023-03-17T00:00:00"/>
    <n v="2"/>
    <x v="1"/>
    <x v="0"/>
  </r>
  <r>
    <n v="178952278"/>
    <x v="129"/>
    <d v="2023-03-11T00:00:00"/>
    <n v="39"/>
    <s v="month"/>
    <s v="Yes"/>
    <d v="2023-03-11T00:00:00"/>
    <n v="2"/>
    <x v="1"/>
    <x v="0"/>
  </r>
  <r>
    <n v="184345202"/>
    <x v="129"/>
    <d v="2023-02-23T00:00:00"/>
    <n v="39"/>
    <s v="month"/>
    <s v="Yes"/>
    <d v="2023-02-23T00:00:00"/>
    <n v="1"/>
    <x v="1"/>
    <x v="0"/>
  </r>
  <r>
    <n v="182837162"/>
    <x v="129"/>
    <d v="2023-02-05T00:00:00"/>
    <n v="39"/>
    <s v="month"/>
    <s v="Yes"/>
    <d v="2023-02-05T00:00:00"/>
    <n v="1"/>
    <x v="1"/>
    <x v="0"/>
  </r>
  <r>
    <n v="182927038"/>
    <x v="129"/>
    <d v="2023-02-18T00:00:00"/>
    <n v="39"/>
    <s v="month"/>
    <s v="Yes"/>
    <d v="2023-02-18T00:00:00"/>
    <n v="1"/>
    <x v="1"/>
    <x v="0"/>
  </r>
  <r>
    <n v="181739784"/>
    <x v="129"/>
    <d v="2023-02-08T00:00:00"/>
    <n v="39"/>
    <s v="month"/>
    <s v="Yes"/>
    <d v="2023-02-08T00:00:00"/>
    <n v="1"/>
    <x v="1"/>
    <x v="0"/>
  </r>
  <r>
    <n v="178605410"/>
    <x v="129"/>
    <d v="2023-02-17T00:00:00"/>
    <n v="39"/>
    <s v="month"/>
    <s v="Yes"/>
    <d v="2023-02-17T00:00:00"/>
    <n v="1"/>
    <x v="1"/>
    <x v="0"/>
  </r>
  <r>
    <n v="184334484"/>
    <x v="130"/>
    <m/>
    <n v="39"/>
    <s v="month"/>
    <s v="Yes"/>
    <d v="2023-09-30T00:00:00"/>
    <n v="8"/>
    <x v="0"/>
    <x v="0"/>
  </r>
  <r>
    <n v="181576265"/>
    <x v="130"/>
    <m/>
    <n v="39"/>
    <s v="month"/>
    <s v="Yes"/>
    <d v="2023-09-30T00:00:00"/>
    <n v="8"/>
    <x v="0"/>
    <x v="0"/>
  </r>
  <r>
    <n v="183645116"/>
    <x v="130"/>
    <m/>
    <n v="39"/>
    <s v="month"/>
    <s v="Yes"/>
    <d v="2023-09-30T00:00:00"/>
    <n v="8"/>
    <x v="0"/>
    <x v="0"/>
  </r>
  <r>
    <n v="184812094"/>
    <x v="130"/>
    <d v="2023-04-07T00:00:00"/>
    <n v="39"/>
    <s v="month"/>
    <s v="Yes"/>
    <d v="2023-04-07T00:00:00"/>
    <n v="3"/>
    <x v="1"/>
    <x v="0"/>
  </r>
  <r>
    <n v="152089648"/>
    <x v="130"/>
    <d v="2023-03-18T00:00:00"/>
    <n v="39"/>
    <s v="month"/>
    <s v="Yes"/>
    <d v="2023-03-18T00:00:00"/>
    <n v="2"/>
    <x v="1"/>
    <x v="0"/>
  </r>
  <r>
    <n v="148710968"/>
    <x v="130"/>
    <d v="2023-02-07T00:00:00"/>
    <n v="39"/>
    <s v="month"/>
    <s v="Yes"/>
    <d v="2023-02-07T00:00:00"/>
    <n v="1"/>
    <x v="1"/>
    <x v="0"/>
  </r>
  <r>
    <n v="183197132"/>
    <x v="131"/>
    <m/>
    <n v="39"/>
    <s v="month"/>
    <s v="Yes"/>
    <d v="2023-09-30T00:00:00"/>
    <n v="8"/>
    <x v="0"/>
    <x v="0"/>
  </r>
  <r>
    <n v="156239744"/>
    <x v="131"/>
    <m/>
    <n v="39"/>
    <s v="month"/>
    <s v="Yes"/>
    <d v="2023-09-30T00:00:00"/>
    <n v="8"/>
    <x v="0"/>
    <x v="0"/>
  </r>
  <r>
    <n v="184481262"/>
    <x v="131"/>
    <m/>
    <n v="39"/>
    <s v="month"/>
    <s v="Yes"/>
    <d v="2023-09-30T00:00:00"/>
    <n v="8"/>
    <x v="0"/>
    <x v="0"/>
  </r>
  <r>
    <n v="153186137"/>
    <x v="131"/>
    <d v="2023-01-13T00:00:00"/>
    <n v="39"/>
    <s v="month"/>
    <s v="Yes"/>
    <d v="2023-01-13T00:00:00"/>
    <n v="0"/>
    <x v="1"/>
    <x v="1"/>
  </r>
  <r>
    <n v="185374268"/>
    <x v="131"/>
    <d v="2023-01-13T00:00:00"/>
    <n v="39"/>
    <s v="month"/>
    <s v="No"/>
    <d v="2023-01-13T00:00:00"/>
    <n v="0"/>
    <x v="1"/>
    <x v="1"/>
  </r>
  <r>
    <n v="185367349"/>
    <x v="131"/>
    <d v="2023-01-13T00:00:00"/>
    <n v="39"/>
    <s v="month"/>
    <s v="No"/>
    <d v="2023-01-13T00:00:00"/>
    <n v="0"/>
    <x v="1"/>
    <x v="1"/>
  </r>
  <r>
    <n v="150793080"/>
    <x v="131"/>
    <d v="2023-03-01T00:00:00"/>
    <n v="39"/>
    <s v="month"/>
    <s v="Yes"/>
    <d v="2023-03-01T00:00:00"/>
    <n v="2"/>
    <x v="1"/>
    <x v="0"/>
  </r>
  <r>
    <n v="183406772"/>
    <x v="131"/>
    <d v="2023-03-05T00:00:00"/>
    <n v="39"/>
    <s v="month"/>
    <s v="Yes"/>
    <d v="2023-03-05T00:00:00"/>
    <n v="2"/>
    <x v="1"/>
    <x v="0"/>
  </r>
  <r>
    <n v="175760281"/>
    <x v="131"/>
    <d v="2023-02-12T00:00:00"/>
    <n v="39"/>
    <s v="month"/>
    <s v="Yes"/>
    <d v="2023-02-12T00:00:00"/>
    <n v="1"/>
    <x v="1"/>
    <x v="0"/>
  </r>
  <r>
    <n v="162095012"/>
    <x v="131"/>
    <d v="2023-01-25T00:00:00"/>
    <n v="39"/>
    <s v="month"/>
    <s v="Yes"/>
    <d v="2023-01-25T00:00:00"/>
    <n v="0"/>
    <x v="1"/>
    <x v="1"/>
  </r>
  <r>
    <n v="179356036"/>
    <x v="131"/>
    <d v="2023-01-12T00:00:00"/>
    <n v="39"/>
    <s v="month"/>
    <s v="Yes"/>
    <d v="2023-01-12T00:00:00"/>
    <n v="0"/>
    <x v="1"/>
    <x v="1"/>
  </r>
  <r>
    <n v="184567432"/>
    <x v="131"/>
    <d v="2023-01-23T00:00:00"/>
    <n v="39"/>
    <s v="month"/>
    <s v="Yes"/>
    <d v="2023-01-23T00:00:00"/>
    <n v="0"/>
    <x v="1"/>
    <x v="1"/>
  </r>
  <r>
    <n v="185503171"/>
    <x v="131"/>
    <d v="2023-07-05T00:00:00"/>
    <n v="39"/>
    <s v="month"/>
    <s v="Yes"/>
    <d v="2023-07-05T00:00:00"/>
    <n v="6"/>
    <x v="0"/>
    <x v="0"/>
  </r>
  <r>
    <n v="171922477"/>
    <x v="131"/>
    <d v="2023-06-28T00:00:00"/>
    <n v="39"/>
    <s v="month"/>
    <s v="Yes"/>
    <d v="2023-06-28T00:00:00"/>
    <n v="5"/>
    <x v="0"/>
    <x v="0"/>
  </r>
  <r>
    <n v="144830936"/>
    <x v="131"/>
    <d v="2023-07-27T00:00:00"/>
    <n v="39"/>
    <s v="month"/>
    <s v="Yes"/>
    <d v="2023-07-27T00:00:00"/>
    <n v="6"/>
    <x v="0"/>
    <x v="0"/>
  </r>
  <r>
    <n v="157474087"/>
    <x v="132"/>
    <m/>
    <n v="39"/>
    <s v="month"/>
    <s v="Yes"/>
    <d v="2023-09-30T00:00:00"/>
    <n v="8"/>
    <x v="0"/>
    <x v="0"/>
  </r>
  <r>
    <n v="182350116"/>
    <x v="132"/>
    <m/>
    <n v="39"/>
    <s v="month"/>
    <s v="Yes"/>
    <d v="2023-09-30T00:00:00"/>
    <n v="8"/>
    <x v="0"/>
    <x v="0"/>
  </r>
  <r>
    <n v="132867770"/>
    <x v="132"/>
    <d v="2023-01-14T00:00:00"/>
    <n v="39"/>
    <s v="month"/>
    <s v="Yes"/>
    <d v="2023-01-14T00:00:00"/>
    <n v="0"/>
    <x v="1"/>
    <x v="1"/>
  </r>
  <r>
    <n v="185561880"/>
    <x v="132"/>
    <d v="2023-01-14T00:00:00"/>
    <n v="39"/>
    <s v="month"/>
    <s v="No"/>
    <d v="2023-01-14T00:00:00"/>
    <n v="0"/>
    <x v="1"/>
    <x v="1"/>
  </r>
  <r>
    <n v="168884196"/>
    <x v="132"/>
    <d v="2023-04-06T00:00:00"/>
    <n v="39"/>
    <s v="month"/>
    <s v="Yes"/>
    <d v="2023-04-06T00:00:00"/>
    <n v="3"/>
    <x v="1"/>
    <x v="0"/>
  </r>
  <r>
    <n v="161269602"/>
    <x v="132"/>
    <d v="2023-02-20T00:00:00"/>
    <n v="39"/>
    <s v="month"/>
    <s v="Yes"/>
    <d v="2023-02-20T00:00:00"/>
    <n v="1"/>
    <x v="1"/>
    <x v="0"/>
  </r>
  <r>
    <n v="185729058"/>
    <x v="133"/>
    <d v="2023-05-06T00:00:00"/>
    <n v="39"/>
    <s v="month"/>
    <s v="Yes"/>
    <d v="2023-05-06T00:00:00"/>
    <n v="4"/>
    <x v="1"/>
    <x v="0"/>
  </r>
  <r>
    <n v="182527446"/>
    <x v="133"/>
    <d v="2023-05-04T00:00:00"/>
    <n v="39"/>
    <s v="month"/>
    <s v="Yes"/>
    <d v="2023-05-04T00:00:00"/>
    <n v="4"/>
    <x v="1"/>
    <x v="0"/>
  </r>
  <r>
    <n v="151217806"/>
    <x v="133"/>
    <d v="2023-03-05T00:00:00"/>
    <n v="39"/>
    <s v="month"/>
    <s v="Yes"/>
    <d v="2023-03-05T00:00:00"/>
    <n v="2"/>
    <x v="1"/>
    <x v="0"/>
  </r>
  <r>
    <n v="181789030"/>
    <x v="133"/>
    <d v="2023-02-05T00:00:00"/>
    <n v="39"/>
    <s v="month"/>
    <s v="Yes"/>
    <d v="2023-02-05T00:00:00"/>
    <n v="1"/>
    <x v="1"/>
    <x v="0"/>
  </r>
  <r>
    <n v="167939138"/>
    <x v="133"/>
    <d v="2023-07-11T00:00:00"/>
    <n v="39"/>
    <s v="month"/>
    <s v="Yes"/>
    <d v="2023-07-11T00:00:00"/>
    <n v="6"/>
    <x v="0"/>
    <x v="0"/>
  </r>
  <r>
    <n v="168531226"/>
    <x v="133"/>
    <d v="2023-08-13T00:00:00"/>
    <n v="39"/>
    <s v="month"/>
    <s v="Yes"/>
    <d v="2023-08-13T00:00:00"/>
    <n v="7"/>
    <x v="0"/>
    <x v="0"/>
  </r>
  <r>
    <n v="183965840"/>
    <x v="134"/>
    <m/>
    <n v="39"/>
    <s v="month"/>
    <s v="Yes"/>
    <d v="2023-09-30T00:00:00"/>
    <n v="8"/>
    <x v="0"/>
    <x v="0"/>
  </r>
  <r>
    <n v="185522938"/>
    <x v="134"/>
    <d v="2023-05-03T00:00:00"/>
    <n v="39"/>
    <s v="month"/>
    <s v="Yes"/>
    <d v="2023-05-03T00:00:00"/>
    <n v="4"/>
    <x v="1"/>
    <x v="0"/>
  </r>
  <r>
    <n v="186413122"/>
    <x v="134"/>
    <d v="2023-05-02T00:00:00"/>
    <n v="39"/>
    <s v="month"/>
    <s v="Yes"/>
    <d v="2023-05-02T00:00:00"/>
    <n v="4"/>
    <x v="1"/>
    <x v="0"/>
  </r>
  <r>
    <n v="186481916"/>
    <x v="134"/>
    <d v="2023-04-16T00:00:00"/>
    <n v="39"/>
    <s v="month"/>
    <s v="Yes"/>
    <d v="2023-04-16T00:00:00"/>
    <n v="3"/>
    <x v="1"/>
    <x v="0"/>
  </r>
  <r>
    <n v="186177212"/>
    <x v="134"/>
    <d v="2023-03-07T00:00:00"/>
    <n v="39"/>
    <s v="month"/>
    <s v="Yes"/>
    <d v="2023-03-07T00:00:00"/>
    <n v="2"/>
    <x v="1"/>
    <x v="0"/>
  </r>
  <r>
    <n v="184809175"/>
    <x v="134"/>
    <d v="2023-03-07T00:00:00"/>
    <n v="39"/>
    <s v="month"/>
    <s v="Yes"/>
    <d v="2023-03-07T00:00:00"/>
    <n v="2"/>
    <x v="1"/>
    <x v="0"/>
  </r>
  <r>
    <n v="186690790"/>
    <x v="134"/>
    <d v="2023-03-12T00:00:00"/>
    <n v="39"/>
    <s v="month"/>
    <s v="Yes"/>
    <d v="2023-03-12T00:00:00"/>
    <n v="2"/>
    <x v="1"/>
    <x v="0"/>
  </r>
  <r>
    <n v="185711685"/>
    <x v="134"/>
    <d v="2023-02-06T00:00:00"/>
    <n v="39"/>
    <s v="month"/>
    <s v="Yes"/>
    <d v="2023-02-06T00:00:00"/>
    <n v="1"/>
    <x v="1"/>
    <x v="0"/>
  </r>
  <r>
    <n v="179509273"/>
    <x v="134"/>
    <d v="2023-06-30T00:00:00"/>
    <n v="39"/>
    <s v="month"/>
    <s v="Yes"/>
    <d v="2023-06-30T00:00:00"/>
    <n v="5"/>
    <x v="0"/>
    <x v="0"/>
  </r>
  <r>
    <n v="186770408"/>
    <x v="135"/>
    <m/>
    <n v="39"/>
    <s v="month"/>
    <s v="Yes"/>
    <d v="2023-09-30T00:00:00"/>
    <n v="8"/>
    <x v="0"/>
    <x v="0"/>
  </r>
  <r>
    <n v="181025165"/>
    <x v="135"/>
    <m/>
    <n v="39"/>
    <s v="month"/>
    <s v="Yes"/>
    <d v="2023-09-30T00:00:00"/>
    <n v="8"/>
    <x v="0"/>
    <x v="0"/>
  </r>
  <r>
    <n v="157919304"/>
    <x v="135"/>
    <d v="2023-05-16T00:00:00"/>
    <n v="39"/>
    <s v="month"/>
    <s v="Yes"/>
    <d v="2023-05-16T00:00:00"/>
    <n v="4"/>
    <x v="1"/>
    <x v="0"/>
  </r>
  <r>
    <n v="187051266"/>
    <x v="135"/>
    <d v="2023-05-31T00:00:00"/>
    <n v="39"/>
    <s v="month"/>
    <s v="Yes"/>
    <d v="2023-05-31T00:00:00"/>
    <n v="4"/>
    <x v="1"/>
    <x v="0"/>
  </r>
  <r>
    <n v="179713052"/>
    <x v="135"/>
    <d v="2023-04-15T00:00:00"/>
    <n v="39"/>
    <s v="month"/>
    <s v="Yes"/>
    <d v="2023-04-15T00:00:00"/>
    <n v="3"/>
    <x v="1"/>
    <x v="0"/>
  </r>
  <r>
    <n v="185431487"/>
    <x v="135"/>
    <d v="2023-04-26T00:00:00"/>
    <n v="39"/>
    <s v="month"/>
    <s v="Yes"/>
    <d v="2023-04-26T00:00:00"/>
    <n v="3"/>
    <x v="1"/>
    <x v="0"/>
  </r>
  <r>
    <n v="157929345"/>
    <x v="135"/>
    <d v="2023-04-07T00:00:00"/>
    <n v="39"/>
    <s v="month"/>
    <s v="Yes"/>
    <d v="2023-04-07T00:00:00"/>
    <n v="3"/>
    <x v="1"/>
    <x v="0"/>
  </r>
  <r>
    <n v="154087095"/>
    <x v="135"/>
    <d v="2023-03-13T00:00:00"/>
    <n v="39"/>
    <s v="month"/>
    <s v="Yes"/>
    <d v="2023-03-13T00:00:00"/>
    <n v="2"/>
    <x v="1"/>
    <x v="0"/>
  </r>
  <r>
    <n v="186674235"/>
    <x v="135"/>
    <d v="2023-03-14T00:00:00"/>
    <n v="39"/>
    <s v="month"/>
    <s v="Yes"/>
    <d v="2023-03-14T00:00:00"/>
    <n v="2"/>
    <x v="1"/>
    <x v="0"/>
  </r>
  <r>
    <n v="182656156"/>
    <x v="135"/>
    <d v="2023-02-15T00:00:00"/>
    <n v="39"/>
    <s v="month"/>
    <s v="Yes"/>
    <d v="2023-02-15T00:00:00"/>
    <n v="1"/>
    <x v="1"/>
    <x v="0"/>
  </r>
  <r>
    <n v="170319875"/>
    <x v="135"/>
    <d v="2023-01-16T00:00:00"/>
    <n v="39"/>
    <s v="month"/>
    <s v="Yes"/>
    <d v="2023-01-16T00:00:00"/>
    <n v="0"/>
    <x v="1"/>
    <x v="1"/>
  </r>
  <r>
    <n v="188226033"/>
    <x v="136"/>
    <m/>
    <n v="39"/>
    <s v="month"/>
    <s v="No"/>
    <d v="2023-09-30T00:00:00"/>
    <n v="8"/>
    <x v="0"/>
    <x v="0"/>
  </r>
  <r>
    <n v="188137320"/>
    <x v="136"/>
    <m/>
    <n v="39"/>
    <s v="month"/>
    <s v="No"/>
    <d v="2023-09-30T00:00:00"/>
    <n v="8"/>
    <x v="0"/>
    <x v="0"/>
  </r>
  <r>
    <n v="163220556"/>
    <x v="136"/>
    <d v="2023-01-18T00:00:00"/>
    <n v="39"/>
    <s v="month"/>
    <s v="Yes"/>
    <d v="2023-01-18T00:00:00"/>
    <n v="0"/>
    <x v="1"/>
    <x v="1"/>
  </r>
  <r>
    <n v="182960960"/>
    <x v="136"/>
    <d v="2023-03-24T00:00:00"/>
    <n v="39"/>
    <s v="month"/>
    <s v="Yes"/>
    <d v="2023-03-24T00:00:00"/>
    <n v="2"/>
    <x v="1"/>
    <x v="0"/>
  </r>
  <r>
    <n v="188175982"/>
    <x v="136"/>
    <d v="2023-02-17T00:00:00"/>
    <n v="39"/>
    <s v="month"/>
    <s v="Yes"/>
    <d v="2023-02-17T00:00:00"/>
    <n v="1"/>
    <x v="1"/>
    <x v="0"/>
  </r>
  <r>
    <n v="169729060"/>
    <x v="136"/>
    <d v="2023-02-19T00:00:00"/>
    <n v="39"/>
    <s v="month"/>
    <s v="Yes"/>
    <d v="2023-02-19T00:00:00"/>
    <n v="1"/>
    <x v="1"/>
    <x v="0"/>
  </r>
  <r>
    <n v="186841270"/>
    <x v="136"/>
    <d v="2023-02-24T00:00:00"/>
    <n v="39"/>
    <s v="month"/>
    <s v="Yes"/>
    <d v="2023-02-24T00:00:00"/>
    <n v="1"/>
    <x v="1"/>
    <x v="0"/>
  </r>
  <r>
    <n v="154563993"/>
    <x v="136"/>
    <d v="2023-02-25T00:00:00"/>
    <n v="39"/>
    <s v="month"/>
    <s v="Yes"/>
    <d v="2023-02-25T00:00:00"/>
    <n v="1"/>
    <x v="1"/>
    <x v="0"/>
  </r>
  <r>
    <n v="159767828"/>
    <x v="136"/>
    <d v="2023-02-24T00:00:00"/>
    <n v="39"/>
    <s v="month"/>
    <s v="Yes"/>
    <d v="2023-02-24T00:00:00"/>
    <n v="1"/>
    <x v="1"/>
    <x v="0"/>
  </r>
  <r>
    <n v="183186612"/>
    <x v="136"/>
    <d v="2023-07-28T00:00:00"/>
    <n v="39"/>
    <s v="month"/>
    <s v="Yes"/>
    <d v="2023-07-28T00:00:00"/>
    <n v="6"/>
    <x v="0"/>
    <x v="0"/>
  </r>
  <r>
    <n v="128603349"/>
    <x v="137"/>
    <m/>
    <n v="39"/>
    <s v="month"/>
    <s v="Yes"/>
    <d v="2023-09-30T00:00:00"/>
    <n v="8"/>
    <x v="0"/>
    <x v="0"/>
  </r>
  <r>
    <n v="183736457"/>
    <x v="137"/>
    <d v="2023-01-19T00:00:00"/>
    <n v="39"/>
    <s v="month"/>
    <s v="No"/>
    <d v="2023-01-19T00:00:00"/>
    <n v="0"/>
    <x v="1"/>
    <x v="1"/>
  </r>
  <r>
    <n v="188115641"/>
    <x v="137"/>
    <d v="2023-01-18T00:00:00"/>
    <n v="39"/>
    <s v="month"/>
    <s v="No"/>
    <d v="2023-01-18T00:00:00"/>
    <n v="0"/>
    <x v="1"/>
    <x v="1"/>
  </r>
  <r>
    <n v="188460699"/>
    <x v="137"/>
    <d v="2023-01-18T00:00:00"/>
    <n v="39"/>
    <s v="month"/>
    <s v="No"/>
    <d v="2023-01-18T00:00:00"/>
    <n v="0"/>
    <x v="1"/>
    <x v="1"/>
  </r>
  <r>
    <n v="138228332"/>
    <x v="137"/>
    <d v="2023-02-25T00:00:00"/>
    <n v="39"/>
    <s v="month"/>
    <s v="Yes"/>
    <d v="2023-02-25T00:00:00"/>
    <n v="1"/>
    <x v="1"/>
    <x v="0"/>
  </r>
  <r>
    <n v="184143564"/>
    <x v="137"/>
    <d v="2023-05-22T00:00:00"/>
    <n v="39"/>
    <s v="month"/>
    <s v="Yes"/>
    <d v="2023-05-22T00:00:00"/>
    <n v="4"/>
    <x v="1"/>
    <x v="0"/>
  </r>
  <r>
    <n v="179508142"/>
    <x v="137"/>
    <d v="2023-06-13T00:00:00"/>
    <n v="39"/>
    <s v="month"/>
    <s v="Yes"/>
    <d v="2023-06-13T00:00:00"/>
    <n v="5"/>
    <x v="0"/>
    <x v="0"/>
  </r>
  <r>
    <n v="188269607"/>
    <x v="137"/>
    <d v="2023-04-16T00:00:00"/>
    <n v="39"/>
    <s v="month"/>
    <s v="Yes"/>
    <d v="2023-04-16T00:00:00"/>
    <n v="3"/>
    <x v="1"/>
    <x v="0"/>
  </r>
  <r>
    <n v="181890100"/>
    <x v="137"/>
    <d v="2023-03-26T00:00:00"/>
    <n v="39"/>
    <s v="month"/>
    <s v="Yes"/>
    <d v="2023-03-26T00:00:00"/>
    <n v="2"/>
    <x v="1"/>
    <x v="0"/>
  </r>
  <r>
    <n v="185642830"/>
    <x v="137"/>
    <d v="2023-03-14T00:00:00"/>
    <n v="39"/>
    <s v="month"/>
    <s v="Yes"/>
    <d v="2023-03-14T00:00:00"/>
    <n v="2"/>
    <x v="1"/>
    <x v="0"/>
  </r>
  <r>
    <n v="152223051"/>
    <x v="137"/>
    <d v="2023-02-25T00:00:00"/>
    <n v="39"/>
    <s v="month"/>
    <s v="Yes"/>
    <d v="2023-02-25T00:00:00"/>
    <n v="1"/>
    <x v="1"/>
    <x v="0"/>
  </r>
  <r>
    <n v="156067850"/>
    <x v="137"/>
    <d v="2023-02-18T00:00:00"/>
    <n v="39"/>
    <s v="month"/>
    <s v="Yes"/>
    <d v="2023-02-18T00:00:00"/>
    <n v="1"/>
    <x v="1"/>
    <x v="0"/>
  </r>
  <r>
    <n v="188701816"/>
    <x v="137"/>
    <d v="2023-02-17T00:00:00"/>
    <n v="39"/>
    <s v="month"/>
    <s v="Yes"/>
    <d v="2023-02-17T00:00:00"/>
    <n v="1"/>
    <x v="1"/>
    <x v="0"/>
  </r>
  <r>
    <n v="188133192"/>
    <x v="137"/>
    <d v="2023-02-19T00:00:00"/>
    <n v="39"/>
    <s v="month"/>
    <s v="Yes"/>
    <d v="2023-02-19T00:00:00"/>
    <n v="1"/>
    <x v="1"/>
    <x v="0"/>
  </r>
  <r>
    <n v="183936068"/>
    <x v="137"/>
    <d v="2023-07-03T00:00:00"/>
    <n v="39"/>
    <s v="month"/>
    <s v="Yes"/>
    <d v="2023-07-03T00:00:00"/>
    <n v="6"/>
    <x v="0"/>
    <x v="0"/>
  </r>
  <r>
    <n v="188119778"/>
    <x v="137"/>
    <d v="2023-06-18T00:00:00"/>
    <n v="39"/>
    <s v="month"/>
    <s v="Yes"/>
    <d v="2023-06-18T00:00:00"/>
    <n v="5"/>
    <x v="0"/>
    <x v="0"/>
  </r>
  <r>
    <n v="189410056"/>
    <x v="138"/>
    <m/>
    <n v="39"/>
    <s v="month"/>
    <s v="Yes"/>
    <d v="2023-09-30T00:00:00"/>
    <n v="8"/>
    <x v="0"/>
    <x v="0"/>
  </r>
  <r>
    <n v="184970659"/>
    <x v="138"/>
    <m/>
    <n v="39"/>
    <s v="month"/>
    <s v="Yes"/>
    <d v="2023-09-30T00:00:00"/>
    <n v="8"/>
    <x v="0"/>
    <x v="0"/>
  </r>
  <r>
    <n v="148476648"/>
    <x v="138"/>
    <d v="2023-05-12T00:00:00"/>
    <n v="39"/>
    <s v="month"/>
    <s v="Yes"/>
    <d v="2023-05-12T00:00:00"/>
    <n v="4"/>
    <x v="1"/>
    <x v="0"/>
  </r>
  <r>
    <n v="189289885"/>
    <x v="138"/>
    <d v="2023-04-20T00:00:00"/>
    <n v="39"/>
    <s v="month"/>
    <s v="Yes"/>
    <d v="2023-04-20T00:00:00"/>
    <n v="3"/>
    <x v="1"/>
    <x v="0"/>
  </r>
  <r>
    <n v="150442182"/>
    <x v="138"/>
    <d v="2023-03-19T00:00:00"/>
    <n v="39"/>
    <s v="month"/>
    <s v="Yes"/>
    <d v="2023-03-19T00:00:00"/>
    <n v="2"/>
    <x v="1"/>
    <x v="0"/>
  </r>
  <r>
    <n v="184826230"/>
    <x v="138"/>
    <d v="2023-02-15T00:00:00"/>
    <n v="39"/>
    <s v="month"/>
    <s v="Yes"/>
    <d v="2023-02-15T00:00:00"/>
    <n v="1"/>
    <x v="1"/>
    <x v="0"/>
  </r>
  <r>
    <n v="184786342"/>
    <x v="138"/>
    <d v="2023-01-19T00:00:00"/>
    <n v="39"/>
    <s v="month"/>
    <s v="Yes"/>
    <d v="2023-01-19T00:00:00"/>
    <n v="0"/>
    <x v="1"/>
    <x v="1"/>
  </r>
  <r>
    <n v="181565760"/>
    <x v="138"/>
    <d v="2023-01-26T00:00:00"/>
    <n v="39"/>
    <s v="month"/>
    <s v="Yes"/>
    <d v="2023-01-26T00:00:00"/>
    <n v="0"/>
    <x v="1"/>
    <x v="1"/>
  </r>
  <r>
    <n v="189278478"/>
    <x v="139"/>
    <m/>
    <n v="39"/>
    <s v="month"/>
    <s v="Yes"/>
    <d v="2023-09-30T00:00:00"/>
    <n v="8"/>
    <x v="0"/>
    <x v="0"/>
  </r>
  <r>
    <n v="184066428"/>
    <x v="139"/>
    <m/>
    <n v="39"/>
    <s v="month"/>
    <s v="Yes"/>
    <d v="2023-09-30T00:00:00"/>
    <n v="8"/>
    <x v="0"/>
    <x v="0"/>
  </r>
  <r>
    <n v="135771077"/>
    <x v="139"/>
    <m/>
    <n v="39"/>
    <s v="month"/>
    <s v="Yes"/>
    <d v="2023-09-30T00:00:00"/>
    <n v="8"/>
    <x v="0"/>
    <x v="0"/>
  </r>
  <r>
    <n v="184831280"/>
    <x v="139"/>
    <d v="2023-05-09T00:00:00"/>
    <n v="39"/>
    <s v="month"/>
    <s v="Yes"/>
    <d v="2023-05-09T00:00:00"/>
    <n v="4"/>
    <x v="1"/>
    <x v="0"/>
  </r>
  <r>
    <n v="188828652"/>
    <x v="139"/>
    <d v="2023-05-01T00:00:00"/>
    <n v="39"/>
    <s v="month"/>
    <s v="Yes"/>
    <d v="2023-05-01T00:00:00"/>
    <n v="4"/>
    <x v="1"/>
    <x v="0"/>
  </r>
  <r>
    <n v="188666673"/>
    <x v="139"/>
    <d v="2023-03-08T00:00:00"/>
    <n v="39"/>
    <s v="month"/>
    <s v="Yes"/>
    <d v="2023-03-08T00:00:00"/>
    <n v="2"/>
    <x v="1"/>
    <x v="0"/>
  </r>
  <r>
    <n v="189880452"/>
    <x v="139"/>
    <d v="2023-02-19T00:00:00"/>
    <n v="39"/>
    <s v="month"/>
    <s v="Yes"/>
    <d v="2023-02-19T00:00:00"/>
    <n v="1"/>
    <x v="1"/>
    <x v="0"/>
  </r>
  <r>
    <n v="160986271"/>
    <x v="139"/>
    <d v="2023-02-27T00:00:00"/>
    <n v="39"/>
    <s v="month"/>
    <s v="Yes"/>
    <d v="2023-02-27T00:00:00"/>
    <n v="1"/>
    <x v="1"/>
    <x v="0"/>
  </r>
  <r>
    <n v="187895888"/>
    <x v="139"/>
    <d v="2023-02-13T00:00:00"/>
    <n v="39"/>
    <s v="month"/>
    <s v="Yes"/>
    <d v="2023-02-13T00:00:00"/>
    <n v="1"/>
    <x v="1"/>
    <x v="0"/>
  </r>
  <r>
    <n v="190871376"/>
    <x v="140"/>
    <m/>
    <n v="39"/>
    <s v="month"/>
    <s v="Yes"/>
    <d v="2023-09-30T00:00:00"/>
    <n v="8"/>
    <x v="0"/>
    <x v="0"/>
  </r>
  <r>
    <n v="166750222"/>
    <x v="140"/>
    <d v="2023-05-02T00:00:00"/>
    <n v="39"/>
    <s v="month"/>
    <s v="Yes"/>
    <d v="2023-05-02T00:00:00"/>
    <n v="4"/>
    <x v="1"/>
    <x v="0"/>
  </r>
  <r>
    <n v="189360536"/>
    <x v="140"/>
    <d v="2023-04-25T00:00:00"/>
    <n v="39"/>
    <s v="month"/>
    <s v="Yes"/>
    <d v="2023-04-25T00:00:00"/>
    <n v="3"/>
    <x v="1"/>
    <x v="0"/>
  </r>
  <r>
    <n v="188197564"/>
    <x v="140"/>
    <d v="2023-04-20T00:00:00"/>
    <n v="39"/>
    <s v="month"/>
    <s v="Yes"/>
    <d v="2023-04-20T00:00:00"/>
    <n v="3"/>
    <x v="1"/>
    <x v="0"/>
  </r>
  <r>
    <n v="191034251"/>
    <x v="140"/>
    <d v="2023-02-15T00:00:00"/>
    <n v="39"/>
    <s v="month"/>
    <s v="Yes"/>
    <d v="2023-02-15T00:00:00"/>
    <n v="1"/>
    <x v="1"/>
    <x v="0"/>
  </r>
  <r>
    <n v="182972593"/>
    <x v="140"/>
    <d v="2023-02-03T00:00:00"/>
    <n v="39"/>
    <s v="month"/>
    <s v="Yes"/>
    <d v="2023-02-03T00:00:00"/>
    <n v="1"/>
    <x v="1"/>
    <x v="0"/>
  </r>
  <r>
    <n v="182958960"/>
    <x v="141"/>
    <d v="2023-01-23T00:00:00"/>
    <n v="39"/>
    <s v="month"/>
    <s v="Yes"/>
    <d v="2023-01-23T00:00:00"/>
    <n v="0"/>
    <x v="1"/>
    <x v="1"/>
  </r>
  <r>
    <n v="163220556"/>
    <x v="141"/>
    <d v="2023-03-09T00:00:00"/>
    <n v="39"/>
    <s v="month"/>
    <s v="Yes"/>
    <d v="2023-03-09T00:00:00"/>
    <n v="2"/>
    <x v="1"/>
    <x v="0"/>
  </r>
  <r>
    <n v="191730833"/>
    <x v="141"/>
    <d v="2023-03-21T00:00:00"/>
    <n v="39"/>
    <s v="month"/>
    <s v="Yes"/>
    <d v="2023-03-21T00:00:00"/>
    <n v="2"/>
    <x v="1"/>
    <x v="0"/>
  </r>
  <r>
    <n v="189680563"/>
    <x v="141"/>
    <d v="2023-03-21T00:00:00"/>
    <n v="39"/>
    <s v="month"/>
    <s v="Yes"/>
    <d v="2023-03-21T00:00:00"/>
    <n v="2"/>
    <x v="1"/>
    <x v="0"/>
  </r>
  <r>
    <n v="190666110"/>
    <x v="142"/>
    <m/>
    <n v="39"/>
    <s v="month"/>
    <s v="Yes"/>
    <d v="2023-09-30T00:00:00"/>
    <n v="8"/>
    <x v="0"/>
    <x v="0"/>
  </r>
  <r>
    <n v="180622613"/>
    <x v="142"/>
    <m/>
    <n v="39"/>
    <s v="month"/>
    <s v="Yes"/>
    <d v="2023-09-30T00:00:00"/>
    <n v="8"/>
    <x v="0"/>
    <x v="0"/>
  </r>
  <r>
    <n v="188827172"/>
    <x v="142"/>
    <m/>
    <n v="39"/>
    <s v="month"/>
    <s v="Yes"/>
    <d v="2023-09-30T00:00:00"/>
    <n v="8"/>
    <x v="0"/>
    <x v="0"/>
  </r>
  <r>
    <n v="188068965"/>
    <x v="142"/>
    <d v="2023-05-30T00:00:00"/>
    <n v="39"/>
    <s v="month"/>
    <s v="Yes"/>
    <d v="2023-05-30T00:00:00"/>
    <n v="4"/>
    <x v="1"/>
    <x v="0"/>
  </r>
  <r>
    <n v="182958960"/>
    <x v="142"/>
    <d v="2023-03-02T00:00:00"/>
    <n v="39"/>
    <s v="month"/>
    <s v="Yes"/>
    <d v="2023-03-02T00:00:00"/>
    <n v="2"/>
    <x v="1"/>
    <x v="0"/>
  </r>
  <r>
    <n v="191999674"/>
    <x v="142"/>
    <d v="2023-02-13T00:00:00"/>
    <n v="39"/>
    <s v="month"/>
    <s v="Yes"/>
    <d v="2023-02-13T00:00:00"/>
    <n v="1"/>
    <x v="1"/>
    <x v="0"/>
  </r>
  <r>
    <n v="183451114"/>
    <x v="142"/>
    <d v="2023-08-30T00:00:00"/>
    <n v="39"/>
    <s v="month"/>
    <s v="Yes"/>
    <d v="2023-08-30T00:00:00"/>
    <n v="7"/>
    <x v="0"/>
    <x v="0"/>
  </r>
  <r>
    <n v="191807491"/>
    <x v="143"/>
    <m/>
    <n v="39"/>
    <s v="month"/>
    <s v="Yes"/>
    <d v="2023-09-30T00:00:00"/>
    <n v="8"/>
    <x v="0"/>
    <x v="0"/>
  </r>
  <r>
    <n v="157833252"/>
    <x v="143"/>
    <d v="2023-09-07T00:00:00"/>
    <n v="39"/>
    <s v="month"/>
    <s v="Yes"/>
    <d v="2023-09-07T00:00:00"/>
    <n v="8"/>
    <x v="0"/>
    <x v="0"/>
  </r>
  <r>
    <n v="188162430"/>
    <x v="143"/>
    <d v="2023-06-16T00:00:00"/>
    <n v="39"/>
    <s v="month"/>
    <s v="Yes"/>
    <d v="2023-06-16T00:00:00"/>
    <n v="5"/>
    <x v="0"/>
    <x v="0"/>
  </r>
  <r>
    <n v="190733249"/>
    <x v="143"/>
    <d v="2023-03-20T00:00:00"/>
    <n v="39"/>
    <s v="month"/>
    <s v="Yes"/>
    <d v="2023-03-20T00:00:00"/>
    <n v="2"/>
    <x v="1"/>
    <x v="0"/>
  </r>
  <r>
    <n v="192539054"/>
    <x v="143"/>
    <d v="2023-02-28T00:00:00"/>
    <n v="39"/>
    <s v="month"/>
    <s v="Yes"/>
    <d v="2023-02-28T00:00:00"/>
    <n v="1"/>
    <x v="1"/>
    <x v="0"/>
  </r>
  <r>
    <n v="193572822"/>
    <x v="143"/>
    <d v="2023-02-20T00:00:00"/>
    <n v="39"/>
    <s v="month"/>
    <s v="Yes"/>
    <d v="2023-02-20T00:00:00"/>
    <n v="1"/>
    <x v="1"/>
    <x v="0"/>
  </r>
  <r>
    <n v="141399368"/>
    <x v="144"/>
    <m/>
    <n v="39"/>
    <s v="month"/>
    <s v="Yes"/>
    <d v="2023-09-30T00:00:00"/>
    <n v="8"/>
    <x v="0"/>
    <x v="0"/>
  </r>
  <r>
    <n v="193285633"/>
    <x v="144"/>
    <m/>
    <n v="39"/>
    <s v="month"/>
    <s v="Yes"/>
    <d v="2023-09-30T00:00:00"/>
    <n v="8"/>
    <x v="0"/>
    <x v="0"/>
  </r>
  <r>
    <n v="193891378"/>
    <x v="144"/>
    <m/>
    <n v="39"/>
    <s v="month"/>
    <s v="Yes"/>
    <d v="2023-09-30T00:00:00"/>
    <n v="8"/>
    <x v="0"/>
    <x v="0"/>
  </r>
  <r>
    <n v="153628260"/>
    <x v="144"/>
    <d v="2023-01-26T00:00:00"/>
    <n v="39"/>
    <s v="month"/>
    <s v="Yes"/>
    <d v="2023-01-26T00:00:00"/>
    <n v="0"/>
    <x v="1"/>
    <x v="1"/>
  </r>
  <r>
    <n v="194719566"/>
    <x v="144"/>
    <d v="2023-01-25T00:00:00"/>
    <n v="39"/>
    <s v="month"/>
    <s v="No"/>
    <d v="2023-01-25T00:00:00"/>
    <n v="0"/>
    <x v="1"/>
    <x v="1"/>
  </r>
  <r>
    <n v="176559401"/>
    <x v="144"/>
    <d v="2023-01-25T00:00:00"/>
    <n v="39"/>
    <s v="month"/>
    <s v="No"/>
    <d v="2023-01-25T00:00:00"/>
    <n v="0"/>
    <x v="1"/>
    <x v="1"/>
  </r>
  <r>
    <n v="150178354"/>
    <x v="144"/>
    <d v="2023-05-25T00:00:00"/>
    <n v="39"/>
    <s v="month"/>
    <s v="Yes"/>
    <d v="2023-05-25T00:00:00"/>
    <n v="4"/>
    <x v="1"/>
    <x v="0"/>
  </r>
  <r>
    <n v="192395073"/>
    <x v="144"/>
    <d v="2023-04-06T00:00:00"/>
    <n v="39"/>
    <s v="month"/>
    <s v="Yes"/>
    <d v="2023-04-06T00:00:00"/>
    <n v="3"/>
    <x v="1"/>
    <x v="0"/>
  </r>
  <r>
    <n v="152690237"/>
    <x v="144"/>
    <d v="2023-03-22T00:00:00"/>
    <n v="39"/>
    <s v="month"/>
    <s v="Yes"/>
    <d v="2023-03-22T00:00:00"/>
    <n v="2"/>
    <x v="1"/>
    <x v="0"/>
  </r>
  <r>
    <n v="151572886"/>
    <x v="144"/>
    <d v="2023-03-12T00:00:00"/>
    <n v="39"/>
    <s v="month"/>
    <s v="Yes"/>
    <d v="2023-03-12T00:00:00"/>
    <n v="2"/>
    <x v="1"/>
    <x v="0"/>
  </r>
  <r>
    <n v="193869975"/>
    <x v="144"/>
    <d v="2023-03-15T00:00:00"/>
    <n v="39"/>
    <s v="month"/>
    <s v="Yes"/>
    <d v="2023-03-15T00:00:00"/>
    <n v="2"/>
    <x v="1"/>
    <x v="0"/>
  </r>
  <r>
    <n v="175077871"/>
    <x v="144"/>
    <d v="2023-03-15T00:00:00"/>
    <n v="39"/>
    <s v="month"/>
    <s v="Yes"/>
    <d v="2023-03-15T00:00:00"/>
    <n v="2"/>
    <x v="1"/>
    <x v="0"/>
  </r>
  <r>
    <n v="193229869"/>
    <x v="144"/>
    <d v="2023-03-01T00:00:00"/>
    <n v="39"/>
    <s v="month"/>
    <s v="Yes"/>
    <d v="2023-03-01T00:00:00"/>
    <n v="2"/>
    <x v="1"/>
    <x v="0"/>
  </r>
  <r>
    <n v="189257579"/>
    <x v="145"/>
    <m/>
    <n v="39"/>
    <s v="month"/>
    <s v="Yes"/>
    <d v="2023-09-30T00:00:00"/>
    <n v="8"/>
    <x v="0"/>
    <x v="0"/>
  </r>
  <r>
    <n v="184333409"/>
    <x v="145"/>
    <m/>
    <n v="39"/>
    <s v="month"/>
    <s v="Yes"/>
    <d v="2023-09-30T00:00:00"/>
    <n v="8"/>
    <x v="0"/>
    <x v="0"/>
  </r>
  <r>
    <n v="144719454"/>
    <x v="145"/>
    <m/>
    <n v="39"/>
    <s v="month"/>
    <s v="Yes"/>
    <d v="2023-09-30T00:00:00"/>
    <n v="8"/>
    <x v="0"/>
    <x v="0"/>
  </r>
  <r>
    <n v="195759475"/>
    <x v="145"/>
    <m/>
    <n v="39"/>
    <s v="month"/>
    <s v="Yes"/>
    <d v="2023-09-30T00:00:00"/>
    <n v="8"/>
    <x v="0"/>
    <x v="0"/>
  </r>
  <r>
    <n v="167602454"/>
    <x v="145"/>
    <m/>
    <n v="39"/>
    <s v="month"/>
    <s v="Yes"/>
    <d v="2023-09-30T00:00:00"/>
    <n v="8"/>
    <x v="0"/>
    <x v="0"/>
  </r>
  <r>
    <n v="148838269"/>
    <x v="145"/>
    <m/>
    <n v="39"/>
    <s v="month"/>
    <s v="Yes"/>
    <d v="2023-09-30T00:00:00"/>
    <n v="8"/>
    <x v="0"/>
    <x v="0"/>
  </r>
  <r>
    <n v="195938394"/>
    <x v="145"/>
    <d v="2023-06-23T00:00:00"/>
    <n v="39"/>
    <s v="month"/>
    <s v="Yes"/>
    <d v="2023-06-23T00:00:00"/>
    <n v="5"/>
    <x v="0"/>
    <x v="0"/>
  </r>
  <r>
    <n v="194091086"/>
    <x v="145"/>
    <d v="2023-04-04T00:00:00"/>
    <n v="39"/>
    <s v="month"/>
    <s v="Yes"/>
    <d v="2023-04-04T00:00:00"/>
    <n v="3"/>
    <x v="1"/>
    <x v="0"/>
  </r>
  <r>
    <n v="181456580"/>
    <x v="145"/>
    <d v="2023-04-23T00:00:00"/>
    <n v="39"/>
    <s v="month"/>
    <s v="Yes"/>
    <d v="2023-04-23T00:00:00"/>
    <n v="3"/>
    <x v="1"/>
    <x v="0"/>
  </r>
  <r>
    <n v="169302100"/>
    <x v="145"/>
    <d v="2023-03-30T00:00:00"/>
    <n v="39"/>
    <s v="month"/>
    <s v="Yes"/>
    <d v="2023-03-30T00:00:00"/>
    <n v="2"/>
    <x v="1"/>
    <x v="0"/>
  </r>
  <r>
    <n v="180997025"/>
    <x v="145"/>
    <d v="2023-03-05T00:00:00"/>
    <n v="39"/>
    <s v="month"/>
    <s v="Yes"/>
    <d v="2023-03-05T00:00:00"/>
    <n v="2"/>
    <x v="1"/>
    <x v="0"/>
  </r>
  <r>
    <n v="196091620"/>
    <x v="145"/>
    <d v="2023-02-02T00:00:00"/>
    <n v="39"/>
    <s v="month"/>
    <s v="Yes"/>
    <d v="2023-02-02T00:00:00"/>
    <n v="1"/>
    <x v="1"/>
    <x v="0"/>
  </r>
  <r>
    <n v="189277140"/>
    <x v="145"/>
    <d v="2023-02-23T00:00:00"/>
    <n v="39"/>
    <s v="month"/>
    <s v="Yes"/>
    <d v="2023-02-23T00:00:00"/>
    <n v="1"/>
    <x v="1"/>
    <x v="0"/>
  </r>
  <r>
    <n v="195279352"/>
    <x v="145"/>
    <d v="2023-02-23T00:00:00"/>
    <n v="39"/>
    <s v="month"/>
    <s v="Yes"/>
    <d v="2023-02-23T00:00:00"/>
    <n v="1"/>
    <x v="1"/>
    <x v="0"/>
  </r>
  <r>
    <n v="191113428"/>
    <x v="145"/>
    <d v="2023-01-26T00:00:00"/>
    <n v="39"/>
    <s v="month"/>
    <s v="Yes"/>
    <d v="2023-01-26T00:00:00"/>
    <n v="0"/>
    <x v="1"/>
    <x v="1"/>
  </r>
  <r>
    <n v="193802414"/>
    <x v="145"/>
    <d v="2023-06-27T00:00:00"/>
    <n v="39"/>
    <s v="month"/>
    <s v="Yes"/>
    <d v="2023-06-27T00:00:00"/>
    <n v="5"/>
    <x v="0"/>
    <x v="0"/>
  </r>
  <r>
    <n v="115735280"/>
    <x v="146"/>
    <m/>
    <n v="39"/>
    <s v="month"/>
    <s v="Yes"/>
    <d v="2023-09-30T00:00:00"/>
    <n v="8"/>
    <x v="0"/>
    <x v="0"/>
  </r>
  <r>
    <n v="153026024"/>
    <x v="146"/>
    <m/>
    <n v="39"/>
    <s v="month"/>
    <s v="Yes"/>
    <d v="2023-09-30T00:00:00"/>
    <n v="8"/>
    <x v="0"/>
    <x v="0"/>
  </r>
  <r>
    <n v="196069557"/>
    <x v="146"/>
    <m/>
    <n v="39"/>
    <s v="month"/>
    <s v="Yes"/>
    <d v="2023-09-30T00:00:00"/>
    <n v="8"/>
    <x v="0"/>
    <x v="0"/>
  </r>
  <r>
    <n v="193666586"/>
    <x v="146"/>
    <m/>
    <n v="39"/>
    <s v="month"/>
    <s v="Yes"/>
    <d v="2023-09-30T00:00:00"/>
    <n v="8"/>
    <x v="0"/>
    <x v="0"/>
  </r>
  <r>
    <n v="192550222"/>
    <x v="146"/>
    <m/>
    <n v="39"/>
    <s v="month"/>
    <s v="Yes"/>
    <d v="2023-09-30T00:00:00"/>
    <n v="8"/>
    <x v="0"/>
    <x v="0"/>
  </r>
  <r>
    <n v="196022560"/>
    <x v="146"/>
    <d v="2023-09-05T00:00:00"/>
    <n v="39"/>
    <s v="month"/>
    <s v="Yes"/>
    <d v="2023-09-05T00:00:00"/>
    <n v="8"/>
    <x v="0"/>
    <x v="0"/>
  </r>
  <r>
    <n v="196715854"/>
    <x v="146"/>
    <d v="2023-01-28T00:00:00"/>
    <n v="39"/>
    <s v="month"/>
    <s v="No"/>
    <d v="2023-01-28T00:00:00"/>
    <n v="0"/>
    <x v="1"/>
    <x v="1"/>
  </r>
  <r>
    <n v="196969212"/>
    <x v="146"/>
    <d v="2023-04-24T00:00:00"/>
    <n v="39"/>
    <s v="month"/>
    <s v="Yes"/>
    <d v="2023-04-24T00:00:00"/>
    <n v="3"/>
    <x v="1"/>
    <x v="0"/>
  </r>
  <r>
    <n v="196308725"/>
    <x v="146"/>
    <d v="2023-03-31T00:00:00"/>
    <n v="39"/>
    <s v="month"/>
    <s v="Yes"/>
    <d v="2023-03-31T00:00:00"/>
    <n v="2"/>
    <x v="1"/>
    <x v="0"/>
  </r>
  <r>
    <n v="196245690"/>
    <x v="146"/>
    <d v="2023-03-27T00:00:00"/>
    <n v="39"/>
    <s v="month"/>
    <s v="Yes"/>
    <d v="2023-03-27T00:00:00"/>
    <n v="2"/>
    <x v="1"/>
    <x v="0"/>
  </r>
  <r>
    <n v="195988242"/>
    <x v="146"/>
    <d v="2023-03-06T00:00:00"/>
    <n v="39"/>
    <s v="month"/>
    <s v="Yes"/>
    <d v="2023-03-06T00:00:00"/>
    <n v="2"/>
    <x v="1"/>
    <x v="0"/>
  </r>
  <r>
    <n v="192068317"/>
    <x v="146"/>
    <d v="2023-03-28T00:00:00"/>
    <n v="39"/>
    <s v="month"/>
    <s v="Yes"/>
    <d v="2023-03-28T00:00:00"/>
    <n v="2"/>
    <x v="1"/>
    <x v="0"/>
  </r>
  <r>
    <n v="195039185"/>
    <x v="146"/>
    <d v="2023-02-23T00:00:00"/>
    <n v="39"/>
    <s v="month"/>
    <s v="Yes"/>
    <d v="2023-02-23T00:00:00"/>
    <n v="1"/>
    <x v="1"/>
    <x v="0"/>
  </r>
  <r>
    <n v="188563149"/>
    <x v="146"/>
    <d v="2023-08-16T00:00:00"/>
    <n v="39"/>
    <s v="month"/>
    <s v="Yes"/>
    <d v="2023-08-16T00:00:00"/>
    <n v="7"/>
    <x v="0"/>
    <x v="0"/>
  </r>
  <r>
    <n v="188748439"/>
    <x v="146"/>
    <d v="2023-08-19T00:00:00"/>
    <n v="39"/>
    <s v="month"/>
    <s v="Yes"/>
    <d v="2023-08-19T00:00:00"/>
    <n v="7"/>
    <x v="0"/>
    <x v="0"/>
  </r>
  <r>
    <n v="160873880"/>
    <x v="147"/>
    <m/>
    <n v="39"/>
    <s v="month"/>
    <s v="Yes"/>
    <d v="2023-09-30T00:00:00"/>
    <n v="8"/>
    <x v="0"/>
    <x v="0"/>
  </r>
  <r>
    <n v="160379194"/>
    <x v="147"/>
    <d v="2023-01-28T00:00:00"/>
    <n v="39"/>
    <s v="month"/>
    <s v="Yes"/>
    <d v="2023-01-28T00:00:00"/>
    <n v="0"/>
    <x v="1"/>
    <x v="1"/>
  </r>
  <r>
    <n v="194169961"/>
    <x v="147"/>
    <d v="2023-03-24T00:00:00"/>
    <n v="39"/>
    <s v="month"/>
    <s v="Yes"/>
    <d v="2023-03-24T00:00:00"/>
    <n v="2"/>
    <x v="1"/>
    <x v="0"/>
  </r>
  <r>
    <n v="184209232"/>
    <x v="147"/>
    <d v="2023-03-07T00:00:00"/>
    <n v="39"/>
    <s v="month"/>
    <s v="Yes"/>
    <d v="2023-03-07T00:00:00"/>
    <n v="2"/>
    <x v="1"/>
    <x v="0"/>
  </r>
  <r>
    <n v="195198228"/>
    <x v="147"/>
    <d v="2023-02-17T00:00:00"/>
    <n v="39"/>
    <s v="month"/>
    <s v="Yes"/>
    <d v="2023-02-17T00:00:00"/>
    <n v="1"/>
    <x v="1"/>
    <x v="0"/>
  </r>
  <r>
    <n v="153657568"/>
    <x v="148"/>
    <m/>
    <n v="39"/>
    <s v="month"/>
    <s v="Yes"/>
    <d v="2023-09-30T00:00:00"/>
    <n v="8"/>
    <x v="0"/>
    <x v="0"/>
  </r>
  <r>
    <n v="127697219"/>
    <x v="148"/>
    <d v="2023-05-25T00:00:00"/>
    <n v="39"/>
    <s v="month"/>
    <s v="Yes"/>
    <d v="2023-05-25T00:00:00"/>
    <n v="4"/>
    <x v="1"/>
    <x v="0"/>
  </r>
  <r>
    <n v="198448283"/>
    <x v="148"/>
    <d v="2023-07-06T00:00:00"/>
    <n v="39"/>
    <s v="month"/>
    <s v="Yes"/>
    <d v="2023-07-06T00:00:00"/>
    <n v="6"/>
    <x v="0"/>
    <x v="0"/>
  </r>
  <r>
    <n v="159483118"/>
    <x v="148"/>
    <d v="2023-03-01T00:00:00"/>
    <n v="39"/>
    <s v="month"/>
    <s v="Yes"/>
    <d v="2023-03-01T00:00:00"/>
    <n v="2"/>
    <x v="1"/>
    <x v="0"/>
  </r>
  <r>
    <n v="152433647"/>
    <x v="148"/>
    <d v="2023-03-13T00:00:00"/>
    <n v="39"/>
    <s v="month"/>
    <s v="Yes"/>
    <d v="2023-03-13T00:00:00"/>
    <n v="2"/>
    <x v="1"/>
    <x v="0"/>
  </r>
  <r>
    <n v="154790198"/>
    <x v="148"/>
    <d v="2023-02-15T00:00:00"/>
    <n v="39"/>
    <s v="month"/>
    <s v="Yes"/>
    <d v="2023-02-15T00:00:00"/>
    <n v="1"/>
    <x v="1"/>
    <x v="0"/>
  </r>
  <r>
    <n v="191896242"/>
    <x v="149"/>
    <m/>
    <n v="39"/>
    <s v="month"/>
    <s v="Yes"/>
    <d v="2023-09-30T00:00:00"/>
    <n v="8"/>
    <x v="0"/>
    <x v="0"/>
  </r>
  <r>
    <n v="136407072"/>
    <x v="149"/>
    <d v="2023-07-31T00:00:00"/>
    <n v="39"/>
    <s v="month"/>
    <s v="Yes"/>
    <d v="2023-07-31T00:00:00"/>
    <n v="6"/>
    <x v="0"/>
    <x v="0"/>
  </r>
  <r>
    <n v="199439964"/>
    <x v="149"/>
    <d v="2023-06-06T00:00:00"/>
    <n v="39"/>
    <s v="month"/>
    <s v="Yes"/>
    <d v="2023-06-06T00:00:00"/>
    <n v="5"/>
    <x v="0"/>
    <x v="0"/>
  </r>
  <r>
    <n v="199255574"/>
    <x v="149"/>
    <d v="2023-06-21T00:00:00"/>
    <n v="39"/>
    <s v="month"/>
    <s v="Yes"/>
    <d v="2023-06-21T00:00:00"/>
    <n v="5"/>
    <x v="0"/>
    <x v="0"/>
  </r>
  <r>
    <n v="167938302"/>
    <x v="149"/>
    <d v="2023-04-06T00:00:00"/>
    <n v="39"/>
    <s v="month"/>
    <s v="Yes"/>
    <d v="2023-04-06T00:00:00"/>
    <n v="3"/>
    <x v="1"/>
    <x v="0"/>
  </r>
  <r>
    <n v="154173057"/>
    <x v="149"/>
    <d v="2023-02-04T00:00:00"/>
    <n v="39"/>
    <s v="month"/>
    <s v="Yes"/>
    <d v="2023-02-04T00:00:00"/>
    <n v="1"/>
    <x v="1"/>
    <x v="0"/>
  </r>
  <r>
    <n v="153199550"/>
    <x v="149"/>
    <d v="2023-02-02T00:00:00"/>
    <n v="39"/>
    <s v="month"/>
    <s v="Yes"/>
    <d v="2023-02-02T00:00:00"/>
    <n v="1"/>
    <x v="1"/>
    <x v="0"/>
  </r>
  <r>
    <n v="199302158"/>
    <x v="149"/>
    <d v="2023-02-02T00:00:00"/>
    <n v="39"/>
    <s v="month"/>
    <s v="Yes"/>
    <d v="2023-02-02T00:00:00"/>
    <n v="1"/>
    <x v="1"/>
    <x v="0"/>
  </r>
  <r>
    <n v="187482966"/>
    <x v="149"/>
    <d v="2023-08-09T00:00:00"/>
    <n v="39"/>
    <s v="month"/>
    <s v="Yes"/>
    <d v="2023-08-09T00:00:00"/>
    <n v="7"/>
    <x v="0"/>
    <x v="0"/>
  </r>
  <r>
    <n v="168436547"/>
    <x v="149"/>
    <d v="2023-07-20T00:00:00"/>
    <n v="39"/>
    <s v="month"/>
    <s v="Yes"/>
    <d v="2023-07-20T00:00:00"/>
    <n v="6"/>
    <x v="0"/>
    <x v="0"/>
  </r>
  <r>
    <n v="195007481"/>
    <x v="150"/>
    <m/>
    <n v="39"/>
    <s v="month"/>
    <s v="Yes"/>
    <d v="2023-09-30T00:00:00"/>
    <n v="8"/>
    <x v="0"/>
    <x v="0"/>
  </r>
  <r>
    <n v="181830574"/>
    <x v="150"/>
    <m/>
    <n v="39"/>
    <s v="month"/>
    <s v="Yes"/>
    <d v="2023-09-30T00:00:00"/>
    <n v="8"/>
    <x v="0"/>
    <x v="0"/>
  </r>
  <r>
    <n v="198691553"/>
    <x v="150"/>
    <m/>
    <n v="39"/>
    <s v="month"/>
    <s v="Yes"/>
    <d v="2023-09-30T00:00:00"/>
    <n v="8"/>
    <x v="0"/>
    <x v="0"/>
  </r>
  <r>
    <n v="200001674"/>
    <x v="150"/>
    <d v="2023-05-28T00:00:00"/>
    <n v="39"/>
    <s v="month"/>
    <s v="Yes"/>
    <d v="2023-05-28T00:00:00"/>
    <n v="4"/>
    <x v="1"/>
    <x v="0"/>
  </r>
  <r>
    <n v="200252155"/>
    <x v="150"/>
    <d v="2023-06-07T00:00:00"/>
    <n v="39"/>
    <s v="month"/>
    <s v="Yes"/>
    <d v="2023-06-07T00:00:00"/>
    <n v="5"/>
    <x v="0"/>
    <x v="0"/>
  </r>
  <r>
    <n v="188206991"/>
    <x v="150"/>
    <d v="2023-04-17T00:00:00"/>
    <n v="39"/>
    <s v="month"/>
    <s v="Yes"/>
    <d v="2023-04-17T00:00:00"/>
    <n v="3"/>
    <x v="1"/>
    <x v="0"/>
  </r>
  <r>
    <n v="184330352"/>
    <x v="150"/>
    <d v="2023-04-30T00:00:00"/>
    <n v="39"/>
    <s v="month"/>
    <s v="Yes"/>
    <d v="2023-04-30T00:00:00"/>
    <n v="3"/>
    <x v="1"/>
    <x v="0"/>
  </r>
  <r>
    <n v="198701510"/>
    <x v="150"/>
    <d v="2023-04-15T00:00:00"/>
    <n v="39"/>
    <s v="month"/>
    <s v="Yes"/>
    <d v="2023-04-15T00:00:00"/>
    <n v="3"/>
    <x v="1"/>
    <x v="0"/>
  </r>
  <r>
    <n v="164909402"/>
    <x v="150"/>
    <d v="2023-02-27T00:00:00"/>
    <n v="39"/>
    <s v="month"/>
    <s v="Yes"/>
    <d v="2023-02-27T00:00:00"/>
    <n v="1"/>
    <x v="1"/>
    <x v="0"/>
  </r>
  <r>
    <n v="126737063"/>
    <x v="150"/>
    <d v="2023-08-18T00:00:00"/>
    <n v="39"/>
    <s v="month"/>
    <s v="Yes"/>
    <d v="2023-08-18T00:00:00"/>
    <n v="7"/>
    <x v="0"/>
    <x v="0"/>
  </r>
  <r>
    <n v="194472898"/>
    <x v="151"/>
    <m/>
    <n v="39"/>
    <s v="month"/>
    <s v="Yes"/>
    <d v="2023-09-30T00:00:00"/>
    <n v="7"/>
    <x v="0"/>
    <x v="0"/>
  </r>
  <r>
    <n v="200962065"/>
    <x v="151"/>
    <m/>
    <n v="39"/>
    <s v="month"/>
    <s v="Yes"/>
    <d v="2023-09-30T00:00:00"/>
    <n v="7"/>
    <x v="0"/>
    <x v="0"/>
  </r>
  <r>
    <n v="196821289"/>
    <x v="151"/>
    <m/>
    <n v="39"/>
    <s v="month"/>
    <s v="Yes"/>
    <d v="2023-09-30T00:00:00"/>
    <n v="7"/>
    <x v="0"/>
    <x v="0"/>
  </r>
  <r>
    <n v="200867442"/>
    <x v="151"/>
    <m/>
    <n v="39"/>
    <s v="month"/>
    <s v="Yes"/>
    <d v="2023-09-30T00:00:00"/>
    <n v="7"/>
    <x v="0"/>
    <x v="0"/>
  </r>
  <r>
    <n v="187855576"/>
    <x v="151"/>
    <m/>
    <n v="39"/>
    <s v="month"/>
    <s v="Yes"/>
    <d v="2023-09-30T00:00:00"/>
    <n v="7"/>
    <x v="0"/>
    <x v="0"/>
  </r>
  <r>
    <n v="198475060"/>
    <x v="151"/>
    <d v="2023-02-02T00:00:00"/>
    <n v="39"/>
    <s v="month"/>
    <s v="No"/>
    <d v="2023-02-02T00:00:00"/>
    <n v="0"/>
    <x v="1"/>
    <x v="1"/>
  </r>
  <r>
    <n v="137201021"/>
    <x v="151"/>
    <d v="2023-06-29T00:00:00"/>
    <n v="39"/>
    <s v="month"/>
    <s v="Yes"/>
    <d v="2023-06-29T00:00:00"/>
    <n v="4"/>
    <x v="1"/>
    <x v="0"/>
  </r>
  <r>
    <n v="192942271"/>
    <x v="151"/>
    <d v="2023-06-27T00:00:00"/>
    <n v="39"/>
    <s v="month"/>
    <s v="Yes"/>
    <d v="2023-06-27T00:00:00"/>
    <n v="4"/>
    <x v="1"/>
    <x v="0"/>
  </r>
  <r>
    <n v="155088727"/>
    <x v="151"/>
    <d v="2023-05-25T00:00:00"/>
    <n v="39"/>
    <s v="month"/>
    <s v="Yes"/>
    <d v="2023-05-25T00:00:00"/>
    <n v="3"/>
    <x v="1"/>
    <x v="0"/>
  </r>
  <r>
    <n v="145416349"/>
    <x v="151"/>
    <d v="2023-05-01T00:00:00"/>
    <n v="39"/>
    <s v="month"/>
    <s v="Yes"/>
    <d v="2023-05-01T00:00:00"/>
    <n v="3"/>
    <x v="1"/>
    <x v="0"/>
  </r>
  <r>
    <n v="154064672"/>
    <x v="151"/>
    <d v="2023-04-25T00:00:00"/>
    <n v="39"/>
    <s v="month"/>
    <s v="Yes"/>
    <d v="2023-04-25T00:00:00"/>
    <n v="2"/>
    <x v="1"/>
    <x v="0"/>
  </r>
  <r>
    <n v="174670793"/>
    <x v="151"/>
    <d v="2023-04-23T00:00:00"/>
    <n v="39"/>
    <s v="month"/>
    <s v="Yes"/>
    <d v="2023-04-23T00:00:00"/>
    <n v="2"/>
    <x v="1"/>
    <x v="0"/>
  </r>
  <r>
    <n v="200600365"/>
    <x v="151"/>
    <d v="2023-04-13T00:00:00"/>
    <n v="39"/>
    <s v="month"/>
    <s v="Yes"/>
    <d v="2023-04-13T00:00:00"/>
    <n v="2"/>
    <x v="1"/>
    <x v="0"/>
  </r>
  <r>
    <n v="196253752"/>
    <x v="151"/>
    <d v="2023-02-19T00:00:00"/>
    <n v="39"/>
    <s v="month"/>
    <s v="Yes"/>
    <d v="2023-02-19T00:00:00"/>
    <n v="0"/>
    <x v="1"/>
    <x v="1"/>
  </r>
  <r>
    <n v="148710722"/>
    <x v="151"/>
    <d v="2023-02-03T00:00:00"/>
    <n v="39"/>
    <s v="month"/>
    <s v="Yes"/>
    <d v="2023-02-03T00:00:00"/>
    <n v="0"/>
    <x v="1"/>
    <x v="1"/>
  </r>
  <r>
    <n v="201015936"/>
    <x v="151"/>
    <d v="2023-02-14T00:00:00"/>
    <n v="39"/>
    <s v="month"/>
    <s v="Yes"/>
    <d v="2023-02-14T00:00:00"/>
    <n v="0"/>
    <x v="1"/>
    <x v="1"/>
  </r>
  <r>
    <n v="200766423"/>
    <x v="151"/>
    <d v="2023-02-06T00:00:00"/>
    <n v="39"/>
    <s v="month"/>
    <s v="Yes"/>
    <d v="2023-02-06T00:00:00"/>
    <n v="0"/>
    <x v="1"/>
    <x v="1"/>
  </r>
  <r>
    <n v="188152753"/>
    <x v="151"/>
    <d v="2023-03-10T00:00:00"/>
    <n v="39"/>
    <s v="month"/>
    <s v="Yes"/>
    <d v="2023-03-10T00:00:00"/>
    <n v="1"/>
    <x v="1"/>
    <x v="0"/>
  </r>
  <r>
    <n v="194406214"/>
    <x v="151"/>
    <d v="2023-08-11T00:00:00"/>
    <n v="39"/>
    <s v="month"/>
    <s v="Yes"/>
    <d v="2023-08-11T00:00:00"/>
    <n v="6"/>
    <x v="0"/>
    <x v="0"/>
  </r>
  <r>
    <n v="199388324"/>
    <x v="152"/>
    <m/>
    <n v="39"/>
    <s v="month"/>
    <s v="Yes"/>
    <d v="2023-09-30T00:00:00"/>
    <n v="7"/>
    <x v="0"/>
    <x v="0"/>
  </r>
  <r>
    <n v="202030516"/>
    <x v="152"/>
    <m/>
    <n v="39"/>
    <s v="month"/>
    <s v="Yes"/>
    <d v="2023-09-30T00:00:00"/>
    <n v="7"/>
    <x v="0"/>
    <x v="0"/>
  </r>
  <r>
    <n v="196926212"/>
    <x v="152"/>
    <m/>
    <n v="39"/>
    <s v="month"/>
    <s v="Yes"/>
    <d v="2023-09-30T00:00:00"/>
    <n v="7"/>
    <x v="0"/>
    <x v="0"/>
  </r>
  <r>
    <n v="199374328"/>
    <x v="152"/>
    <d v="2023-07-06T00:00:00"/>
    <n v="39"/>
    <s v="month"/>
    <s v="Yes"/>
    <d v="2023-07-06T00:00:00"/>
    <n v="5"/>
    <x v="0"/>
    <x v="0"/>
  </r>
  <r>
    <n v="201313318"/>
    <x v="152"/>
    <d v="2023-05-30T00:00:00"/>
    <n v="39"/>
    <s v="month"/>
    <s v="Yes"/>
    <d v="2023-05-30T00:00:00"/>
    <n v="3"/>
    <x v="1"/>
    <x v="0"/>
  </r>
  <r>
    <n v="200960179"/>
    <x v="152"/>
    <d v="2023-05-31T00:00:00"/>
    <n v="39"/>
    <s v="month"/>
    <s v="Yes"/>
    <d v="2023-05-31T00:00:00"/>
    <n v="3"/>
    <x v="1"/>
    <x v="0"/>
  </r>
  <r>
    <n v="180890046"/>
    <x v="152"/>
    <d v="2023-05-27T00:00:00"/>
    <n v="39"/>
    <s v="month"/>
    <s v="Yes"/>
    <d v="2023-05-27T00:00:00"/>
    <n v="3"/>
    <x v="1"/>
    <x v="0"/>
  </r>
  <r>
    <n v="159227956"/>
    <x v="152"/>
    <d v="2023-05-09T00:00:00"/>
    <n v="39"/>
    <s v="month"/>
    <s v="Yes"/>
    <d v="2023-05-09T00:00:00"/>
    <n v="3"/>
    <x v="1"/>
    <x v="0"/>
  </r>
  <r>
    <n v="182325407"/>
    <x v="152"/>
    <d v="2023-04-03T00:00:00"/>
    <n v="39"/>
    <s v="month"/>
    <s v="Yes"/>
    <d v="2023-04-03T00:00:00"/>
    <n v="2"/>
    <x v="1"/>
    <x v="0"/>
  </r>
  <r>
    <n v="194828965"/>
    <x v="152"/>
    <d v="2023-04-02T00:00:00"/>
    <n v="39"/>
    <s v="month"/>
    <s v="Yes"/>
    <d v="2023-04-02T00:00:00"/>
    <n v="2"/>
    <x v="1"/>
    <x v="0"/>
  </r>
  <r>
    <n v="202139613"/>
    <x v="152"/>
    <d v="2023-03-06T00:00:00"/>
    <n v="39"/>
    <s v="month"/>
    <s v="Yes"/>
    <d v="2023-03-06T00:00:00"/>
    <n v="1"/>
    <x v="1"/>
    <x v="0"/>
  </r>
  <r>
    <n v="202137510"/>
    <x v="152"/>
    <d v="2023-03-10T00:00:00"/>
    <n v="39"/>
    <s v="month"/>
    <s v="Yes"/>
    <d v="2023-03-10T00:00:00"/>
    <n v="1"/>
    <x v="1"/>
    <x v="0"/>
  </r>
  <r>
    <n v="201182176"/>
    <x v="152"/>
    <d v="2023-03-02T00:00:00"/>
    <n v="39"/>
    <s v="month"/>
    <s v="Yes"/>
    <d v="2023-03-02T00:00:00"/>
    <n v="1"/>
    <x v="1"/>
    <x v="0"/>
  </r>
  <r>
    <n v="202010803"/>
    <x v="152"/>
    <d v="2023-03-01T00:00:00"/>
    <n v="39"/>
    <s v="month"/>
    <s v="Yes"/>
    <d v="2023-03-01T00:00:00"/>
    <n v="1"/>
    <x v="1"/>
    <x v="0"/>
  </r>
  <r>
    <n v="131734107"/>
    <x v="153"/>
    <d v="2023-09-03T00:00:00"/>
    <n v="39"/>
    <s v="month"/>
    <s v="Yes"/>
    <d v="2023-09-03T00:00:00"/>
    <n v="7"/>
    <x v="0"/>
    <x v="0"/>
  </r>
  <r>
    <n v="202277130"/>
    <x v="153"/>
    <d v="2023-04-01T00:00:00"/>
    <n v="39"/>
    <s v="month"/>
    <s v="Yes"/>
    <d v="2023-04-01T00:00:00"/>
    <n v="2"/>
    <x v="1"/>
    <x v="0"/>
  </r>
  <r>
    <n v="137196428"/>
    <x v="153"/>
    <d v="2023-03-09T00:00:00"/>
    <n v="39"/>
    <s v="month"/>
    <s v="Yes"/>
    <d v="2023-03-09T00:00:00"/>
    <n v="1"/>
    <x v="1"/>
    <x v="0"/>
  </r>
  <r>
    <n v="153568282"/>
    <x v="153"/>
    <d v="2023-02-16T00:00:00"/>
    <n v="39"/>
    <s v="month"/>
    <s v="Yes"/>
    <d v="2023-02-16T00:00:00"/>
    <n v="0"/>
    <x v="1"/>
    <x v="1"/>
  </r>
  <r>
    <n v="199895190"/>
    <x v="153"/>
    <d v="2023-03-13T00:00:00"/>
    <n v="39"/>
    <s v="month"/>
    <s v="Yes"/>
    <d v="2023-03-13T00:00:00"/>
    <n v="1"/>
    <x v="1"/>
    <x v="0"/>
  </r>
  <r>
    <n v="200894076"/>
    <x v="153"/>
    <d v="2023-03-30T00:00:00"/>
    <n v="39"/>
    <s v="month"/>
    <s v="Yes"/>
    <d v="2023-03-30T00:00:00"/>
    <n v="1"/>
    <x v="1"/>
    <x v="0"/>
  </r>
  <r>
    <n v="201162862"/>
    <x v="153"/>
    <d v="2023-03-10T00:00:00"/>
    <n v="39"/>
    <s v="month"/>
    <s v="Yes"/>
    <d v="2023-03-10T00:00:00"/>
    <n v="1"/>
    <x v="1"/>
    <x v="0"/>
  </r>
  <r>
    <n v="198748705"/>
    <x v="153"/>
    <d v="2023-03-26T00:00:00"/>
    <n v="39"/>
    <s v="month"/>
    <s v="Yes"/>
    <d v="2023-03-26T00:00:00"/>
    <n v="1"/>
    <x v="1"/>
    <x v="0"/>
  </r>
  <r>
    <n v="202308735"/>
    <x v="153"/>
    <d v="2023-08-21T00:00:00"/>
    <n v="39"/>
    <s v="month"/>
    <s v="Yes"/>
    <d v="2023-08-21T00:00:00"/>
    <n v="6"/>
    <x v="0"/>
    <x v="0"/>
  </r>
  <r>
    <n v="202276540"/>
    <x v="153"/>
    <d v="2023-07-03T00:00:00"/>
    <n v="39"/>
    <s v="month"/>
    <s v="Yes"/>
    <d v="2023-07-03T00:00:00"/>
    <n v="5"/>
    <x v="0"/>
    <x v="0"/>
  </r>
  <r>
    <n v="202401357"/>
    <x v="154"/>
    <m/>
    <n v="39"/>
    <s v="month"/>
    <s v="Yes"/>
    <d v="2023-09-30T00:00:00"/>
    <n v="7"/>
    <x v="0"/>
    <x v="0"/>
  </r>
  <r>
    <n v="184539258"/>
    <x v="154"/>
    <d v="2023-05-02T00:00:00"/>
    <n v="39"/>
    <s v="month"/>
    <s v="Yes"/>
    <d v="2023-05-02T00:00:00"/>
    <n v="3"/>
    <x v="1"/>
    <x v="0"/>
  </r>
  <r>
    <n v="202349754"/>
    <x v="154"/>
    <d v="2023-05-08T00:00:00"/>
    <n v="39"/>
    <s v="month"/>
    <s v="Yes"/>
    <d v="2023-05-08T00:00:00"/>
    <n v="3"/>
    <x v="1"/>
    <x v="0"/>
  </r>
  <r>
    <n v="202410436"/>
    <x v="154"/>
    <d v="2023-02-25T00:00:00"/>
    <n v="39"/>
    <s v="month"/>
    <s v="Yes"/>
    <d v="2023-02-25T00:00:00"/>
    <n v="0"/>
    <x v="1"/>
    <x v="1"/>
  </r>
  <r>
    <n v="197151544"/>
    <x v="154"/>
    <d v="2023-03-21T00:00:00"/>
    <n v="39"/>
    <s v="month"/>
    <s v="Yes"/>
    <d v="2023-03-21T00:00:00"/>
    <n v="1"/>
    <x v="1"/>
    <x v="0"/>
  </r>
  <r>
    <n v="202305934"/>
    <x v="154"/>
    <d v="2023-03-19T00:00:00"/>
    <n v="39"/>
    <s v="month"/>
    <s v="Yes"/>
    <d v="2023-03-19T00:00:00"/>
    <n v="1"/>
    <x v="1"/>
    <x v="0"/>
  </r>
  <r>
    <n v="202304812"/>
    <x v="155"/>
    <m/>
    <n v="39"/>
    <s v="month"/>
    <s v="Yes"/>
    <d v="2023-09-30T00:00:00"/>
    <n v="7"/>
    <x v="0"/>
    <x v="0"/>
  </r>
  <r>
    <n v="160030890"/>
    <x v="155"/>
    <m/>
    <n v="39"/>
    <s v="month"/>
    <s v="Yes"/>
    <d v="2023-09-30T00:00:00"/>
    <n v="7"/>
    <x v="0"/>
    <x v="0"/>
  </r>
  <r>
    <n v="202524608"/>
    <x v="155"/>
    <m/>
    <n v="39"/>
    <s v="month"/>
    <s v="Yes"/>
    <d v="2023-09-30T00:00:00"/>
    <n v="7"/>
    <x v="0"/>
    <x v="0"/>
  </r>
  <r>
    <n v="198447368"/>
    <x v="155"/>
    <m/>
    <n v="39"/>
    <s v="month"/>
    <s v="Yes"/>
    <d v="2023-09-30T00:00:00"/>
    <n v="7"/>
    <x v="0"/>
    <x v="0"/>
  </r>
  <r>
    <n v="202458624"/>
    <x v="155"/>
    <m/>
    <n v="39"/>
    <s v="month"/>
    <s v="Yes"/>
    <d v="2023-09-30T00:00:00"/>
    <n v="7"/>
    <x v="0"/>
    <x v="0"/>
  </r>
  <r>
    <n v="132256211"/>
    <x v="155"/>
    <d v="2023-03-12T00:00:00"/>
    <n v="39"/>
    <s v="month"/>
    <s v="Yes"/>
    <d v="2023-03-12T00:00:00"/>
    <n v="1"/>
    <x v="1"/>
    <x v="0"/>
  </r>
  <r>
    <n v="202504135"/>
    <x v="155"/>
    <d v="2023-06-12T00:00:00"/>
    <n v="39"/>
    <s v="month"/>
    <s v="Yes"/>
    <d v="2023-06-12T00:00:00"/>
    <n v="4"/>
    <x v="1"/>
    <x v="0"/>
  </r>
  <r>
    <n v="192182455"/>
    <x v="155"/>
    <d v="2023-05-06T00:00:00"/>
    <n v="39"/>
    <s v="month"/>
    <s v="Yes"/>
    <d v="2023-05-06T00:00:00"/>
    <n v="3"/>
    <x v="1"/>
    <x v="0"/>
  </r>
  <r>
    <n v="202505276"/>
    <x v="155"/>
    <d v="2023-03-14T00:00:00"/>
    <n v="39"/>
    <s v="month"/>
    <s v="Yes"/>
    <d v="2023-03-14T00:00:00"/>
    <n v="1"/>
    <x v="1"/>
    <x v="0"/>
  </r>
  <r>
    <n v="152050632"/>
    <x v="156"/>
    <m/>
    <n v="39"/>
    <s v="month"/>
    <s v="Yes"/>
    <d v="2023-09-30T00:00:00"/>
    <n v="7"/>
    <x v="0"/>
    <x v="0"/>
  </r>
  <r>
    <n v="201313284"/>
    <x v="156"/>
    <m/>
    <n v="39"/>
    <s v="month"/>
    <s v="Yes"/>
    <d v="2023-09-30T00:00:00"/>
    <n v="7"/>
    <x v="0"/>
    <x v="0"/>
  </r>
  <r>
    <n v="202118292"/>
    <x v="156"/>
    <m/>
    <n v="39"/>
    <s v="month"/>
    <s v="Yes"/>
    <d v="2023-09-30T00:00:00"/>
    <n v="7"/>
    <x v="0"/>
    <x v="0"/>
  </r>
  <r>
    <n v="202298964"/>
    <x v="156"/>
    <m/>
    <n v="39"/>
    <s v="month"/>
    <s v="Yes"/>
    <d v="2023-09-30T00:00:00"/>
    <n v="7"/>
    <x v="0"/>
    <x v="0"/>
  </r>
  <r>
    <n v="202496216"/>
    <x v="156"/>
    <m/>
    <n v="39"/>
    <s v="month"/>
    <s v="Yes"/>
    <d v="2023-09-30T00:00:00"/>
    <n v="7"/>
    <x v="0"/>
    <x v="0"/>
  </r>
  <r>
    <n v="152354478"/>
    <x v="156"/>
    <m/>
    <n v="39"/>
    <s v="month"/>
    <s v="Yes"/>
    <d v="2023-09-30T00:00:00"/>
    <n v="7"/>
    <x v="0"/>
    <x v="0"/>
  </r>
  <r>
    <n v="200490112"/>
    <x v="156"/>
    <d v="2023-02-07T00:00:00"/>
    <n v="39"/>
    <s v="month"/>
    <s v="No"/>
    <d v="2023-02-07T00:00:00"/>
    <n v="0"/>
    <x v="1"/>
    <x v="1"/>
  </r>
  <r>
    <n v="131310280"/>
    <x v="156"/>
    <d v="2023-02-17T00:00:00"/>
    <n v="39"/>
    <s v="month"/>
    <s v="Yes"/>
    <d v="2023-02-17T00:00:00"/>
    <n v="0"/>
    <x v="1"/>
    <x v="1"/>
  </r>
  <r>
    <n v="154161250"/>
    <x v="156"/>
    <d v="2023-03-21T00:00:00"/>
    <n v="39"/>
    <s v="month"/>
    <s v="Yes"/>
    <d v="2023-03-21T00:00:00"/>
    <n v="1"/>
    <x v="1"/>
    <x v="0"/>
  </r>
  <r>
    <n v="150521180"/>
    <x v="156"/>
    <d v="2023-06-05T00:00:00"/>
    <n v="39"/>
    <s v="month"/>
    <s v="Yes"/>
    <d v="2023-06-05T00:00:00"/>
    <n v="4"/>
    <x v="1"/>
    <x v="0"/>
  </r>
  <r>
    <n v="195280988"/>
    <x v="156"/>
    <d v="2023-06-21T00:00:00"/>
    <n v="39"/>
    <s v="month"/>
    <s v="Yes"/>
    <d v="2023-06-21T00:00:00"/>
    <n v="4"/>
    <x v="1"/>
    <x v="0"/>
  </r>
  <r>
    <n v="201231494"/>
    <x v="156"/>
    <d v="2023-05-09T00:00:00"/>
    <n v="39"/>
    <s v="month"/>
    <s v="Yes"/>
    <d v="2023-05-09T00:00:00"/>
    <n v="3"/>
    <x v="1"/>
    <x v="0"/>
  </r>
  <r>
    <n v="199554496"/>
    <x v="156"/>
    <d v="2023-02-08T00:00:00"/>
    <n v="39"/>
    <s v="month"/>
    <s v="Yes"/>
    <d v="2023-02-08T00:00:00"/>
    <n v="0"/>
    <x v="1"/>
    <x v="1"/>
  </r>
  <r>
    <n v="125747106"/>
    <x v="156"/>
    <d v="2023-03-04T00:00:00"/>
    <n v="39"/>
    <s v="month"/>
    <s v="Yes"/>
    <d v="2023-03-04T00:00:00"/>
    <n v="1"/>
    <x v="1"/>
    <x v="0"/>
  </r>
  <r>
    <n v="195345030"/>
    <x v="156"/>
    <d v="2023-03-04T00:00:00"/>
    <n v="39"/>
    <s v="month"/>
    <s v="Yes"/>
    <d v="2023-03-04T00:00:00"/>
    <n v="1"/>
    <x v="1"/>
    <x v="0"/>
  </r>
  <r>
    <n v="202269874"/>
    <x v="156"/>
    <d v="2023-03-25T00:00:00"/>
    <n v="39"/>
    <s v="month"/>
    <s v="Yes"/>
    <d v="2023-03-25T00:00:00"/>
    <n v="1"/>
    <x v="1"/>
    <x v="0"/>
  </r>
  <r>
    <n v="191036527"/>
    <x v="156"/>
    <d v="2023-03-07T00:00:00"/>
    <n v="39"/>
    <s v="month"/>
    <s v="Yes"/>
    <d v="2023-03-07T00:00:00"/>
    <n v="1"/>
    <x v="1"/>
    <x v="0"/>
  </r>
  <r>
    <n v="202633556"/>
    <x v="156"/>
    <d v="2023-02-22T00:00:00"/>
    <n v="39"/>
    <s v="month"/>
    <s v="Yes"/>
    <d v="2023-02-22T00:00:00"/>
    <n v="0"/>
    <x v="1"/>
    <x v="1"/>
  </r>
  <r>
    <n v="202750328"/>
    <x v="156"/>
    <d v="2023-08-02T00:00:00"/>
    <n v="39"/>
    <s v="month"/>
    <s v="Yes"/>
    <d v="2023-08-02T00:00:00"/>
    <n v="6"/>
    <x v="0"/>
    <x v="0"/>
  </r>
  <r>
    <n v="192781688"/>
    <x v="157"/>
    <m/>
    <n v="39"/>
    <s v="month"/>
    <s v="Yes"/>
    <d v="2023-09-30T00:00:00"/>
    <n v="7"/>
    <x v="0"/>
    <x v="0"/>
  </r>
  <r>
    <n v="196859472"/>
    <x v="157"/>
    <m/>
    <n v="39"/>
    <s v="month"/>
    <s v="Yes"/>
    <d v="2023-09-30T00:00:00"/>
    <n v="7"/>
    <x v="0"/>
    <x v="0"/>
  </r>
  <r>
    <n v="200333728"/>
    <x v="157"/>
    <m/>
    <n v="39"/>
    <s v="month"/>
    <s v="Yes"/>
    <d v="2023-09-30T00:00:00"/>
    <n v="7"/>
    <x v="0"/>
    <x v="0"/>
  </r>
  <r>
    <n v="129896329"/>
    <x v="157"/>
    <m/>
    <n v="39"/>
    <s v="month"/>
    <s v="Yes"/>
    <d v="2023-09-30T00:00:00"/>
    <n v="7"/>
    <x v="0"/>
    <x v="0"/>
  </r>
  <r>
    <n v="168202891"/>
    <x v="157"/>
    <d v="2023-02-07T00:00:00"/>
    <n v="39"/>
    <s v="month"/>
    <s v="No"/>
    <d v="2023-02-07T00:00:00"/>
    <n v="0"/>
    <x v="1"/>
    <x v="1"/>
  </r>
  <r>
    <n v="202924219"/>
    <x v="157"/>
    <d v="2023-06-20T00:00:00"/>
    <n v="39"/>
    <s v="month"/>
    <s v="Yes"/>
    <d v="2023-06-20T00:00:00"/>
    <n v="4"/>
    <x v="1"/>
    <x v="0"/>
  </r>
  <r>
    <n v="202863670"/>
    <x v="157"/>
    <d v="2023-04-14T00:00:00"/>
    <n v="39"/>
    <s v="month"/>
    <s v="Yes"/>
    <d v="2023-04-14T00:00:00"/>
    <n v="2"/>
    <x v="1"/>
    <x v="0"/>
  </r>
  <r>
    <n v="202398629"/>
    <x v="157"/>
    <d v="2023-03-06T00:00:00"/>
    <n v="39"/>
    <s v="month"/>
    <s v="Yes"/>
    <d v="2023-03-06T00:00:00"/>
    <n v="1"/>
    <x v="1"/>
    <x v="0"/>
  </r>
  <r>
    <n v="188448878"/>
    <x v="157"/>
    <d v="2023-02-07T00:00:00"/>
    <n v="39"/>
    <s v="month"/>
    <s v="Yes"/>
    <d v="2023-02-07T00:00:00"/>
    <n v="0"/>
    <x v="1"/>
    <x v="1"/>
  </r>
  <r>
    <n v="203254948"/>
    <x v="158"/>
    <m/>
    <n v="39"/>
    <s v="month"/>
    <s v="Yes"/>
    <d v="2023-09-30T00:00:00"/>
    <n v="7"/>
    <x v="0"/>
    <x v="0"/>
  </r>
  <r>
    <n v="203120229"/>
    <x v="158"/>
    <d v="2023-06-17T00:00:00"/>
    <n v="39"/>
    <s v="month"/>
    <s v="Yes"/>
    <d v="2023-06-17T00:00:00"/>
    <n v="4"/>
    <x v="1"/>
    <x v="0"/>
  </r>
  <r>
    <n v="203225874"/>
    <x v="158"/>
    <d v="2023-05-04T00:00:00"/>
    <n v="39"/>
    <s v="month"/>
    <s v="Yes"/>
    <d v="2023-05-04T00:00:00"/>
    <n v="3"/>
    <x v="1"/>
    <x v="0"/>
  </r>
  <r>
    <n v="203107308"/>
    <x v="158"/>
    <d v="2023-05-16T00:00:00"/>
    <n v="39"/>
    <s v="month"/>
    <s v="Yes"/>
    <d v="2023-05-16T00:00:00"/>
    <n v="3"/>
    <x v="1"/>
    <x v="0"/>
  </r>
  <r>
    <n v="156558244"/>
    <x v="158"/>
    <d v="2023-07-31T00:00:00"/>
    <n v="39"/>
    <s v="month"/>
    <s v="Yes"/>
    <d v="2023-07-31T00:00:00"/>
    <n v="5"/>
    <x v="0"/>
    <x v="0"/>
  </r>
  <r>
    <n v="194306726"/>
    <x v="158"/>
    <d v="2023-03-01T00:00:00"/>
    <n v="39"/>
    <s v="month"/>
    <s v="Yes"/>
    <d v="2023-03-01T00:00:00"/>
    <n v="1"/>
    <x v="1"/>
    <x v="0"/>
  </r>
  <r>
    <n v="202410948"/>
    <x v="158"/>
    <d v="2023-03-15T00:00:00"/>
    <n v="39"/>
    <s v="month"/>
    <s v="Yes"/>
    <d v="2023-03-15T00:00:00"/>
    <n v="1"/>
    <x v="1"/>
    <x v="0"/>
  </r>
  <r>
    <n v="203166018"/>
    <x v="158"/>
    <d v="2023-03-08T00:00:00"/>
    <n v="39"/>
    <s v="month"/>
    <s v="Yes"/>
    <d v="2023-03-08T00:00:00"/>
    <n v="1"/>
    <x v="1"/>
    <x v="0"/>
  </r>
  <r>
    <n v="203116697"/>
    <x v="158"/>
    <d v="2023-03-23T00:00:00"/>
    <n v="39"/>
    <s v="month"/>
    <s v="Yes"/>
    <d v="2023-03-23T00:00:00"/>
    <n v="1"/>
    <x v="1"/>
    <x v="0"/>
  </r>
  <r>
    <n v="202982608"/>
    <x v="158"/>
    <d v="2023-03-02T00:00:00"/>
    <n v="39"/>
    <s v="month"/>
    <s v="Yes"/>
    <d v="2023-03-02T00:00:00"/>
    <n v="1"/>
    <x v="1"/>
    <x v="0"/>
  </r>
  <r>
    <n v="198167700"/>
    <x v="158"/>
    <d v="2023-02-11T00:00:00"/>
    <n v="39"/>
    <s v="month"/>
    <s v="Yes"/>
    <d v="2023-02-11T00:00:00"/>
    <n v="0"/>
    <x v="1"/>
    <x v="1"/>
  </r>
  <r>
    <n v="190567582"/>
    <x v="158"/>
    <d v="2023-02-22T00:00:00"/>
    <n v="39"/>
    <s v="month"/>
    <s v="Yes"/>
    <d v="2023-02-22T00:00:00"/>
    <n v="0"/>
    <x v="1"/>
    <x v="1"/>
  </r>
  <r>
    <n v="202699972"/>
    <x v="158"/>
    <d v="2023-08-07T00:00:00"/>
    <n v="39"/>
    <s v="month"/>
    <s v="Yes"/>
    <d v="2023-08-07T00:00:00"/>
    <n v="6"/>
    <x v="0"/>
    <x v="0"/>
  </r>
  <r>
    <n v="203242766"/>
    <x v="159"/>
    <m/>
    <n v="39"/>
    <s v="month"/>
    <s v="Yes"/>
    <d v="2023-09-30T00:00:00"/>
    <n v="7"/>
    <x v="0"/>
    <x v="0"/>
  </r>
  <r>
    <n v="203398103"/>
    <x v="159"/>
    <m/>
    <n v="39"/>
    <s v="month"/>
    <s v="Yes"/>
    <d v="2023-09-30T00:00:00"/>
    <n v="7"/>
    <x v="0"/>
    <x v="0"/>
  </r>
  <r>
    <n v="203243685"/>
    <x v="159"/>
    <m/>
    <n v="39"/>
    <s v="month"/>
    <s v="Yes"/>
    <d v="2023-09-30T00:00:00"/>
    <n v="7"/>
    <x v="0"/>
    <x v="0"/>
  </r>
  <r>
    <n v="203370322"/>
    <x v="159"/>
    <m/>
    <n v="39"/>
    <s v="month"/>
    <s v="Yes"/>
    <d v="2023-09-30T00:00:00"/>
    <n v="7"/>
    <x v="0"/>
    <x v="0"/>
  </r>
  <r>
    <n v="138689458"/>
    <x v="159"/>
    <m/>
    <n v="39"/>
    <s v="month"/>
    <s v="Yes"/>
    <d v="2023-09-30T00:00:00"/>
    <n v="7"/>
    <x v="0"/>
    <x v="0"/>
  </r>
  <r>
    <n v="203315186"/>
    <x v="159"/>
    <m/>
    <n v="39"/>
    <s v="month"/>
    <s v="Yes"/>
    <d v="2023-09-30T00:00:00"/>
    <n v="7"/>
    <x v="0"/>
    <x v="0"/>
  </r>
  <r>
    <n v="203292575"/>
    <x v="159"/>
    <m/>
    <n v="39"/>
    <s v="month"/>
    <s v="Yes"/>
    <d v="2023-09-30T00:00:00"/>
    <n v="7"/>
    <x v="0"/>
    <x v="0"/>
  </r>
  <r>
    <n v="144830936"/>
    <x v="159"/>
    <d v="2023-02-10T00:00:00"/>
    <n v="39"/>
    <s v="month"/>
    <s v="Yes"/>
    <d v="2023-02-10T00:00:00"/>
    <n v="0"/>
    <x v="1"/>
    <x v="1"/>
  </r>
  <r>
    <n v="168980588"/>
    <x v="159"/>
    <d v="2023-02-09T00:00:00"/>
    <n v="39"/>
    <s v="month"/>
    <s v="No"/>
    <d v="2023-02-09T00:00:00"/>
    <n v="0"/>
    <x v="1"/>
    <x v="1"/>
  </r>
  <r>
    <n v="136832520"/>
    <x v="159"/>
    <d v="2023-03-10T00:00:00"/>
    <n v="39"/>
    <s v="month"/>
    <s v="Yes"/>
    <d v="2023-03-10T00:00:00"/>
    <n v="1"/>
    <x v="1"/>
    <x v="0"/>
  </r>
  <r>
    <n v="202103959"/>
    <x v="159"/>
    <d v="2023-05-27T00:00:00"/>
    <n v="39"/>
    <s v="month"/>
    <s v="Yes"/>
    <d v="2023-05-27T00:00:00"/>
    <n v="3"/>
    <x v="1"/>
    <x v="0"/>
  </r>
  <r>
    <n v="148764147"/>
    <x v="159"/>
    <d v="2023-04-08T00:00:00"/>
    <n v="39"/>
    <s v="month"/>
    <s v="Yes"/>
    <d v="2023-04-08T00:00:00"/>
    <n v="2"/>
    <x v="1"/>
    <x v="0"/>
  </r>
  <r>
    <n v="182748610"/>
    <x v="159"/>
    <d v="2023-04-11T00:00:00"/>
    <n v="39"/>
    <s v="month"/>
    <s v="Yes"/>
    <d v="2023-04-11T00:00:00"/>
    <n v="2"/>
    <x v="1"/>
    <x v="0"/>
  </r>
  <r>
    <n v="197883626"/>
    <x v="159"/>
    <d v="2023-03-16T00:00:00"/>
    <n v="39"/>
    <s v="month"/>
    <s v="Yes"/>
    <d v="2023-03-16T00:00:00"/>
    <n v="1"/>
    <x v="1"/>
    <x v="0"/>
  </r>
  <r>
    <n v="195893842"/>
    <x v="159"/>
    <d v="2023-02-28T00:00:00"/>
    <n v="39"/>
    <s v="month"/>
    <s v="Yes"/>
    <d v="2023-02-28T00:00:00"/>
    <n v="0"/>
    <x v="1"/>
    <x v="1"/>
  </r>
  <r>
    <n v="169081778"/>
    <x v="159"/>
    <d v="2023-08-16T00:00:00"/>
    <n v="39"/>
    <s v="month"/>
    <s v="Yes"/>
    <d v="2023-08-16T00:00:00"/>
    <n v="6"/>
    <x v="0"/>
    <x v="0"/>
  </r>
  <r>
    <n v="150422738"/>
    <x v="160"/>
    <d v="2023-02-11T00:00:00"/>
    <n v="39"/>
    <s v="month"/>
    <s v="Yes"/>
    <d v="2023-02-11T00:00:00"/>
    <n v="0"/>
    <x v="1"/>
    <x v="1"/>
  </r>
  <r>
    <n v="190839721"/>
    <x v="160"/>
    <d v="2023-03-17T00:00:00"/>
    <n v="39"/>
    <s v="month"/>
    <s v="Yes"/>
    <d v="2023-03-17T00:00:00"/>
    <n v="1"/>
    <x v="1"/>
    <x v="0"/>
  </r>
  <r>
    <n v="152193617"/>
    <x v="161"/>
    <m/>
    <n v="39"/>
    <s v="month"/>
    <s v="Yes"/>
    <d v="2023-09-30T00:00:00"/>
    <n v="7"/>
    <x v="0"/>
    <x v="0"/>
  </r>
  <r>
    <n v="133869989"/>
    <x v="161"/>
    <d v="2023-02-12T00:00:00"/>
    <n v="39"/>
    <s v="month"/>
    <s v="Yes"/>
    <d v="2023-02-12T00:00:00"/>
    <n v="0"/>
    <x v="1"/>
    <x v="1"/>
  </r>
  <r>
    <n v="186843516"/>
    <x v="161"/>
    <d v="2023-04-19T00:00:00"/>
    <n v="39"/>
    <s v="month"/>
    <s v="Yes"/>
    <d v="2023-04-19T00:00:00"/>
    <n v="2"/>
    <x v="1"/>
    <x v="0"/>
  </r>
  <r>
    <n v="138913080"/>
    <x v="161"/>
    <d v="2023-04-22T00:00:00"/>
    <n v="39"/>
    <s v="month"/>
    <s v="Yes"/>
    <d v="2023-04-22T00:00:00"/>
    <n v="2"/>
    <x v="1"/>
    <x v="0"/>
  </r>
  <r>
    <n v="134879280"/>
    <x v="161"/>
    <d v="2023-03-07T00:00:00"/>
    <n v="39"/>
    <s v="month"/>
    <s v="Yes"/>
    <d v="2023-03-07T00:00:00"/>
    <n v="1"/>
    <x v="1"/>
    <x v="0"/>
  </r>
  <r>
    <n v="160878134"/>
    <x v="162"/>
    <m/>
    <n v="39"/>
    <s v="month"/>
    <s v="Yes"/>
    <d v="2023-09-30T00:00:00"/>
    <n v="7"/>
    <x v="0"/>
    <x v="0"/>
  </r>
  <r>
    <n v="144423338"/>
    <x v="162"/>
    <d v="2023-08-21T00:00:00"/>
    <n v="39"/>
    <s v="month"/>
    <s v="Yes"/>
    <d v="2023-08-21T00:00:00"/>
    <n v="6"/>
    <x v="0"/>
    <x v="0"/>
  </r>
  <r>
    <n v="136218542"/>
    <x v="162"/>
    <d v="2023-05-13T00:00:00"/>
    <n v="39"/>
    <s v="month"/>
    <s v="Yes"/>
    <d v="2023-05-13T00:00:00"/>
    <n v="3"/>
    <x v="1"/>
    <x v="0"/>
  </r>
  <r>
    <n v="204121686"/>
    <x v="162"/>
    <d v="2023-06-12T00:00:00"/>
    <n v="39"/>
    <s v="month"/>
    <s v="Yes"/>
    <d v="2023-06-12T00:00:00"/>
    <n v="4"/>
    <x v="1"/>
    <x v="0"/>
  </r>
  <r>
    <n v="204114138"/>
    <x v="162"/>
    <d v="2023-05-10T00:00:00"/>
    <n v="39"/>
    <s v="month"/>
    <s v="Yes"/>
    <d v="2023-05-10T00:00:00"/>
    <n v="3"/>
    <x v="1"/>
    <x v="0"/>
  </r>
  <r>
    <n v="152197442"/>
    <x v="162"/>
    <d v="2023-03-13T00:00:00"/>
    <n v="39"/>
    <s v="month"/>
    <s v="Yes"/>
    <d v="2023-03-13T00:00:00"/>
    <n v="1"/>
    <x v="1"/>
    <x v="0"/>
  </r>
  <r>
    <n v="151695881"/>
    <x v="162"/>
    <d v="2023-03-27T00:00:00"/>
    <n v="39"/>
    <s v="month"/>
    <s v="Yes"/>
    <d v="2023-03-27T00:00:00"/>
    <n v="1"/>
    <x v="1"/>
    <x v="0"/>
  </r>
  <r>
    <n v="204378294"/>
    <x v="163"/>
    <m/>
    <n v="39"/>
    <s v="month"/>
    <s v="Yes"/>
    <d v="2023-09-30T00:00:00"/>
    <n v="7"/>
    <x v="0"/>
    <x v="0"/>
  </r>
  <r>
    <n v="204376665"/>
    <x v="163"/>
    <m/>
    <n v="39"/>
    <s v="month"/>
    <s v="Yes"/>
    <d v="2023-09-30T00:00:00"/>
    <n v="7"/>
    <x v="0"/>
    <x v="0"/>
  </r>
  <r>
    <n v="204270637"/>
    <x v="163"/>
    <m/>
    <n v="39"/>
    <s v="month"/>
    <s v="Yes"/>
    <d v="2023-09-30T00:00:00"/>
    <n v="7"/>
    <x v="0"/>
    <x v="0"/>
  </r>
  <r>
    <n v="204380751"/>
    <x v="163"/>
    <d v="2023-02-14T00:00:00"/>
    <n v="39"/>
    <s v="month"/>
    <s v="Yes"/>
    <d v="2023-02-14T00:00:00"/>
    <n v="0"/>
    <x v="1"/>
    <x v="1"/>
  </r>
  <r>
    <n v="204402989"/>
    <x v="163"/>
    <d v="2023-06-08T00:00:00"/>
    <n v="39"/>
    <s v="month"/>
    <s v="Yes"/>
    <d v="2023-06-08T00:00:00"/>
    <n v="4"/>
    <x v="1"/>
    <x v="0"/>
  </r>
  <r>
    <n v="203403136"/>
    <x v="163"/>
    <d v="2023-06-12T00:00:00"/>
    <n v="39"/>
    <s v="month"/>
    <s v="Yes"/>
    <d v="2023-06-12T00:00:00"/>
    <n v="4"/>
    <x v="1"/>
    <x v="0"/>
  </r>
  <r>
    <n v="198453918"/>
    <x v="163"/>
    <d v="2023-05-15T00:00:00"/>
    <n v="39"/>
    <s v="month"/>
    <s v="Yes"/>
    <d v="2023-05-15T00:00:00"/>
    <n v="3"/>
    <x v="1"/>
    <x v="0"/>
  </r>
  <r>
    <n v="133514912"/>
    <x v="163"/>
    <d v="2023-03-07T00:00:00"/>
    <n v="39"/>
    <s v="month"/>
    <s v="Yes"/>
    <d v="2023-03-07T00:00:00"/>
    <n v="1"/>
    <x v="1"/>
    <x v="0"/>
  </r>
  <r>
    <n v="203414698"/>
    <x v="163"/>
    <d v="2023-03-26T00:00:00"/>
    <n v="39"/>
    <s v="month"/>
    <s v="Yes"/>
    <d v="2023-03-26T00:00:00"/>
    <n v="1"/>
    <x v="1"/>
    <x v="0"/>
  </r>
  <r>
    <n v="190400854"/>
    <x v="163"/>
    <d v="2023-07-20T00:00:00"/>
    <n v="39"/>
    <s v="month"/>
    <s v="Yes"/>
    <d v="2023-07-20T00:00:00"/>
    <n v="5"/>
    <x v="0"/>
    <x v="0"/>
  </r>
  <r>
    <n v="204114797"/>
    <x v="163"/>
    <d v="2023-06-18T00:00:00"/>
    <n v="39"/>
    <s v="month"/>
    <s v="Yes"/>
    <d v="2023-06-18T00:00:00"/>
    <n v="4"/>
    <x v="1"/>
    <x v="0"/>
  </r>
  <r>
    <n v="202377942"/>
    <x v="164"/>
    <m/>
    <n v="39"/>
    <s v="month"/>
    <s v="Yes"/>
    <d v="2023-09-30T00:00:00"/>
    <n v="7"/>
    <x v="0"/>
    <x v="0"/>
  </r>
  <r>
    <n v="204555612"/>
    <x v="164"/>
    <d v="2023-02-15T00:00:00"/>
    <n v="39"/>
    <s v="month"/>
    <s v="No"/>
    <d v="2023-02-15T00:00:00"/>
    <n v="0"/>
    <x v="1"/>
    <x v="1"/>
  </r>
  <r>
    <n v="204556376"/>
    <x v="164"/>
    <d v="2023-02-15T00:00:00"/>
    <n v="39"/>
    <s v="month"/>
    <s v="No"/>
    <d v="2023-02-15T00:00:00"/>
    <n v="0"/>
    <x v="1"/>
    <x v="1"/>
  </r>
  <r>
    <n v="204515997"/>
    <x v="164"/>
    <d v="2023-06-14T00:00:00"/>
    <n v="39"/>
    <s v="month"/>
    <s v="Yes"/>
    <d v="2023-06-14T00:00:00"/>
    <n v="4"/>
    <x v="1"/>
    <x v="0"/>
  </r>
  <r>
    <n v="153342734"/>
    <x v="164"/>
    <d v="2023-03-22T00:00:00"/>
    <n v="39"/>
    <s v="month"/>
    <s v="Yes"/>
    <d v="2023-03-22T00:00:00"/>
    <n v="1"/>
    <x v="1"/>
    <x v="0"/>
  </r>
  <r>
    <n v="204650391"/>
    <x v="165"/>
    <m/>
    <n v="39"/>
    <s v="month"/>
    <s v="Yes"/>
    <d v="2023-09-30T00:00:00"/>
    <n v="7"/>
    <x v="0"/>
    <x v="0"/>
  </r>
  <r>
    <n v="150906486"/>
    <x v="165"/>
    <d v="2023-03-17T00:00:00"/>
    <n v="39"/>
    <s v="month"/>
    <s v="Yes"/>
    <d v="2023-03-17T00:00:00"/>
    <n v="1"/>
    <x v="1"/>
    <x v="0"/>
  </r>
  <r>
    <n v="153961940"/>
    <x v="165"/>
    <d v="2023-02-16T00:00:00"/>
    <n v="39"/>
    <s v="month"/>
    <s v="Yes"/>
    <d v="2023-02-16T00:00:00"/>
    <n v="0"/>
    <x v="1"/>
    <x v="1"/>
  </r>
  <r>
    <n v="154175766"/>
    <x v="165"/>
    <d v="2023-03-15T00:00:00"/>
    <n v="39"/>
    <s v="month"/>
    <s v="Yes"/>
    <d v="2023-03-15T00:00:00"/>
    <n v="1"/>
    <x v="1"/>
    <x v="0"/>
  </r>
  <r>
    <n v="204631298"/>
    <x v="165"/>
    <d v="2023-04-17T00:00:00"/>
    <n v="39"/>
    <s v="month"/>
    <s v="Yes"/>
    <d v="2023-04-17T00:00:00"/>
    <n v="2"/>
    <x v="1"/>
    <x v="0"/>
  </r>
  <r>
    <n v="195534585"/>
    <x v="165"/>
    <d v="2023-04-14T00:00:00"/>
    <n v="39"/>
    <s v="month"/>
    <s v="Yes"/>
    <d v="2023-04-14T00:00:00"/>
    <n v="2"/>
    <x v="1"/>
    <x v="0"/>
  </r>
  <r>
    <n v="176421166"/>
    <x v="165"/>
    <d v="2023-04-14T00:00:00"/>
    <n v="39"/>
    <s v="month"/>
    <s v="Yes"/>
    <d v="2023-04-14T00:00:00"/>
    <n v="2"/>
    <x v="1"/>
    <x v="0"/>
  </r>
  <r>
    <n v="204679416"/>
    <x v="165"/>
    <d v="2023-03-17T00:00:00"/>
    <n v="39"/>
    <s v="month"/>
    <s v="Yes"/>
    <d v="2023-03-17T00:00:00"/>
    <n v="1"/>
    <x v="1"/>
    <x v="0"/>
  </r>
  <r>
    <n v="204448721"/>
    <x v="165"/>
    <d v="2023-02-18T00:00:00"/>
    <n v="39"/>
    <s v="month"/>
    <s v="Yes"/>
    <d v="2023-02-18T00:00:00"/>
    <n v="0"/>
    <x v="1"/>
    <x v="1"/>
  </r>
  <r>
    <n v="151908347"/>
    <x v="165"/>
    <d v="2023-06-18T00:00:00"/>
    <n v="39"/>
    <s v="month"/>
    <s v="Yes"/>
    <d v="2023-06-18T00:00:00"/>
    <n v="4"/>
    <x v="1"/>
    <x v="0"/>
  </r>
  <r>
    <n v="150652956"/>
    <x v="166"/>
    <d v="2023-02-18T00:00:00"/>
    <n v="39"/>
    <s v="month"/>
    <s v="Yes"/>
    <d v="2023-02-18T00:00:00"/>
    <n v="0"/>
    <x v="1"/>
    <x v="1"/>
  </r>
  <r>
    <n v="183321644"/>
    <x v="166"/>
    <d v="2023-02-17T00:00:00"/>
    <n v="39"/>
    <s v="month"/>
    <s v="No"/>
    <d v="2023-02-17T00:00:00"/>
    <n v="0"/>
    <x v="1"/>
    <x v="1"/>
  </r>
  <r>
    <n v="204740476"/>
    <x v="166"/>
    <d v="2023-03-14T00:00:00"/>
    <n v="39"/>
    <s v="month"/>
    <s v="No"/>
    <d v="2023-03-14T00:00:00"/>
    <n v="1"/>
    <x v="1"/>
    <x v="0"/>
  </r>
  <r>
    <n v="204439086"/>
    <x v="166"/>
    <d v="2023-06-16T00:00:00"/>
    <n v="39"/>
    <s v="month"/>
    <s v="Yes"/>
    <d v="2023-06-16T00:00:00"/>
    <n v="4"/>
    <x v="1"/>
    <x v="0"/>
  </r>
  <r>
    <n v="204685109"/>
    <x v="166"/>
    <d v="2023-05-23T00:00:00"/>
    <n v="39"/>
    <s v="month"/>
    <s v="Yes"/>
    <d v="2023-05-23T00:00:00"/>
    <n v="3"/>
    <x v="1"/>
    <x v="0"/>
  </r>
  <r>
    <n v="175211528"/>
    <x v="166"/>
    <d v="2023-02-23T00:00:00"/>
    <n v="39"/>
    <s v="month"/>
    <s v="Yes"/>
    <d v="2023-02-23T00:00:00"/>
    <n v="0"/>
    <x v="1"/>
    <x v="1"/>
  </r>
  <r>
    <n v="204646698"/>
    <x v="166"/>
    <d v="2023-02-17T00:00:00"/>
    <n v="39"/>
    <s v="month"/>
    <s v="Yes"/>
    <d v="2023-02-17T00:00:00"/>
    <n v="0"/>
    <x v="1"/>
    <x v="1"/>
  </r>
  <r>
    <n v="204728203"/>
    <x v="166"/>
    <d v="2023-08-06T00:00:00"/>
    <n v="39"/>
    <s v="month"/>
    <s v="Yes"/>
    <d v="2023-08-06T00:00:00"/>
    <n v="6"/>
    <x v="0"/>
    <x v="0"/>
  </r>
  <r>
    <n v="166674547"/>
    <x v="166"/>
    <d v="2023-06-22T00:00:00"/>
    <n v="39"/>
    <s v="month"/>
    <s v="Yes"/>
    <d v="2023-06-22T00:00:00"/>
    <n v="4"/>
    <x v="1"/>
    <x v="0"/>
  </r>
  <r>
    <n v="202459470"/>
    <x v="167"/>
    <m/>
    <n v="39"/>
    <s v="month"/>
    <s v="Yes"/>
    <d v="2023-09-30T00:00:00"/>
    <n v="7"/>
    <x v="0"/>
    <x v="0"/>
  </r>
  <r>
    <n v="155508761"/>
    <x v="167"/>
    <m/>
    <n v="39"/>
    <s v="month"/>
    <s v="Yes"/>
    <d v="2023-09-30T00:00:00"/>
    <n v="7"/>
    <x v="0"/>
    <x v="0"/>
  </r>
  <r>
    <n v="168484421"/>
    <x v="167"/>
    <d v="2023-02-18T00:00:00"/>
    <n v="39"/>
    <s v="month"/>
    <s v="No"/>
    <d v="2023-02-18T00:00:00"/>
    <n v="0"/>
    <x v="1"/>
    <x v="1"/>
  </r>
  <r>
    <n v="130864124"/>
    <x v="167"/>
    <d v="2023-02-19T00:00:00"/>
    <n v="39"/>
    <s v="month"/>
    <s v="Yes"/>
    <d v="2023-02-19T00:00:00"/>
    <n v="0"/>
    <x v="1"/>
    <x v="1"/>
  </r>
  <r>
    <n v="204752959"/>
    <x v="167"/>
    <d v="2023-06-25T00:00:00"/>
    <n v="39"/>
    <s v="month"/>
    <s v="Yes"/>
    <d v="2023-06-25T00:00:00"/>
    <n v="4"/>
    <x v="1"/>
    <x v="0"/>
  </r>
  <r>
    <n v="204761235"/>
    <x v="167"/>
    <d v="2023-05-17T00:00:00"/>
    <n v="39"/>
    <s v="month"/>
    <s v="Yes"/>
    <d v="2023-05-17T00:00:00"/>
    <n v="3"/>
    <x v="1"/>
    <x v="0"/>
  </r>
  <r>
    <n v="159142615"/>
    <x v="167"/>
    <d v="2023-05-28T00:00:00"/>
    <n v="39"/>
    <s v="month"/>
    <s v="Yes"/>
    <d v="2023-05-28T00:00:00"/>
    <n v="3"/>
    <x v="1"/>
    <x v="0"/>
  </r>
  <r>
    <n v="204753316"/>
    <x v="167"/>
    <d v="2023-03-25T00:00:00"/>
    <n v="39"/>
    <s v="month"/>
    <s v="Yes"/>
    <d v="2023-03-25T00:00:00"/>
    <n v="1"/>
    <x v="1"/>
    <x v="0"/>
  </r>
  <r>
    <n v="195188483"/>
    <x v="168"/>
    <m/>
    <n v="39"/>
    <s v="month"/>
    <s v="Yes"/>
    <d v="2023-09-30T00:00:00"/>
    <n v="7"/>
    <x v="0"/>
    <x v="0"/>
  </r>
  <r>
    <n v="204773056"/>
    <x v="168"/>
    <m/>
    <n v="39"/>
    <s v="month"/>
    <s v="Yes"/>
    <d v="2023-09-30T00:00:00"/>
    <n v="7"/>
    <x v="0"/>
    <x v="0"/>
  </r>
  <r>
    <n v="204814698"/>
    <x v="168"/>
    <d v="2023-08-22T00:00:00"/>
    <n v="39"/>
    <s v="month"/>
    <s v="Yes"/>
    <d v="2023-08-22T00:00:00"/>
    <n v="6"/>
    <x v="0"/>
    <x v="0"/>
  </r>
  <r>
    <n v="204732463"/>
    <x v="168"/>
    <d v="2023-06-12T00:00:00"/>
    <n v="39"/>
    <s v="month"/>
    <s v="Yes"/>
    <d v="2023-06-12T00:00:00"/>
    <n v="4"/>
    <x v="1"/>
    <x v="0"/>
  </r>
  <r>
    <n v="204772360"/>
    <x v="168"/>
    <d v="2023-04-18T00:00:00"/>
    <n v="39"/>
    <s v="month"/>
    <s v="Yes"/>
    <d v="2023-04-18T00:00:00"/>
    <n v="2"/>
    <x v="1"/>
    <x v="0"/>
  </r>
  <r>
    <n v="204812582"/>
    <x v="168"/>
    <d v="2023-04-07T00:00:00"/>
    <n v="39"/>
    <s v="month"/>
    <s v="Yes"/>
    <d v="2023-04-07T00:00:00"/>
    <n v="2"/>
    <x v="1"/>
    <x v="0"/>
  </r>
  <r>
    <n v="204662556"/>
    <x v="168"/>
    <d v="2023-04-02T00:00:00"/>
    <n v="39"/>
    <s v="month"/>
    <s v="Yes"/>
    <d v="2023-04-02T00:00:00"/>
    <n v="2"/>
    <x v="1"/>
    <x v="0"/>
  </r>
  <r>
    <n v="163781430"/>
    <x v="168"/>
    <d v="2023-04-26T00:00:00"/>
    <n v="39"/>
    <s v="month"/>
    <s v="Yes"/>
    <d v="2023-04-26T00:00:00"/>
    <n v="2"/>
    <x v="1"/>
    <x v="0"/>
  </r>
  <r>
    <n v="143963064"/>
    <x v="168"/>
    <d v="2023-07-18T00:00:00"/>
    <n v="39"/>
    <s v="month"/>
    <s v="Yes"/>
    <d v="2023-07-18T00:00:00"/>
    <n v="5"/>
    <x v="0"/>
    <x v="0"/>
  </r>
  <r>
    <n v="204797166"/>
    <x v="168"/>
    <d v="2023-03-06T00:00:00"/>
    <n v="39"/>
    <s v="month"/>
    <s v="Yes"/>
    <d v="2023-03-06T00:00:00"/>
    <n v="1"/>
    <x v="1"/>
    <x v="0"/>
  </r>
  <r>
    <n v="204774421"/>
    <x v="168"/>
    <d v="2023-03-14T00:00:00"/>
    <n v="39"/>
    <s v="month"/>
    <s v="Yes"/>
    <d v="2023-03-14T00:00:00"/>
    <n v="1"/>
    <x v="1"/>
    <x v="0"/>
  </r>
  <r>
    <n v="204801675"/>
    <x v="168"/>
    <d v="2023-03-22T00:00:00"/>
    <n v="39"/>
    <s v="month"/>
    <s v="Yes"/>
    <d v="2023-03-22T00:00:00"/>
    <n v="1"/>
    <x v="1"/>
    <x v="0"/>
  </r>
  <r>
    <n v="204518099"/>
    <x v="168"/>
    <d v="2023-02-24T00:00:00"/>
    <n v="39"/>
    <s v="month"/>
    <s v="Yes"/>
    <d v="2023-02-24T00:00:00"/>
    <n v="0"/>
    <x v="1"/>
    <x v="1"/>
  </r>
  <r>
    <n v="204814320"/>
    <x v="169"/>
    <m/>
    <n v="39"/>
    <s v="month"/>
    <s v="Yes"/>
    <d v="2023-09-30T00:00:00"/>
    <n v="7"/>
    <x v="0"/>
    <x v="0"/>
  </r>
  <r>
    <n v="126851221"/>
    <x v="169"/>
    <m/>
    <n v="39"/>
    <s v="month"/>
    <s v="Yes"/>
    <d v="2023-09-30T00:00:00"/>
    <n v="7"/>
    <x v="0"/>
    <x v="0"/>
  </r>
  <r>
    <n v="204845935"/>
    <x v="169"/>
    <m/>
    <n v="39"/>
    <s v="month"/>
    <s v="Yes"/>
    <d v="2023-09-30T00:00:00"/>
    <n v="7"/>
    <x v="0"/>
    <x v="0"/>
  </r>
  <r>
    <n v="122215146"/>
    <x v="169"/>
    <d v="2023-02-21T00:00:00"/>
    <n v="39"/>
    <s v="month"/>
    <s v="Yes"/>
    <d v="2023-02-21T00:00:00"/>
    <n v="0"/>
    <x v="1"/>
    <x v="1"/>
  </r>
  <r>
    <n v="147300748"/>
    <x v="169"/>
    <d v="2023-07-12T00:00:00"/>
    <n v="39"/>
    <s v="month"/>
    <s v="Yes"/>
    <d v="2023-07-12T00:00:00"/>
    <n v="5"/>
    <x v="0"/>
    <x v="0"/>
  </r>
  <r>
    <n v="162596645"/>
    <x v="169"/>
    <d v="2023-06-28T00:00:00"/>
    <n v="39"/>
    <s v="month"/>
    <s v="Yes"/>
    <d v="2023-06-28T00:00:00"/>
    <n v="4"/>
    <x v="1"/>
    <x v="0"/>
  </r>
  <r>
    <n v="177666771"/>
    <x v="169"/>
    <d v="2023-06-12T00:00:00"/>
    <n v="39"/>
    <s v="month"/>
    <s v="Yes"/>
    <d v="2023-06-12T00:00:00"/>
    <n v="4"/>
    <x v="1"/>
    <x v="0"/>
  </r>
  <r>
    <n v="204884248"/>
    <x v="169"/>
    <d v="2023-05-02T00:00:00"/>
    <n v="39"/>
    <s v="month"/>
    <s v="Yes"/>
    <d v="2023-05-02T00:00:00"/>
    <n v="3"/>
    <x v="1"/>
    <x v="0"/>
  </r>
  <r>
    <n v="204826054"/>
    <x v="169"/>
    <d v="2023-05-31T00:00:00"/>
    <n v="39"/>
    <s v="month"/>
    <s v="Yes"/>
    <d v="2023-05-31T00:00:00"/>
    <n v="3"/>
    <x v="1"/>
    <x v="0"/>
  </r>
  <r>
    <n v="145096572"/>
    <x v="169"/>
    <d v="2023-03-14T00:00:00"/>
    <n v="39"/>
    <s v="month"/>
    <s v="Yes"/>
    <d v="2023-03-14T00:00:00"/>
    <n v="1"/>
    <x v="1"/>
    <x v="0"/>
  </r>
  <r>
    <n v="158472404"/>
    <x v="169"/>
    <d v="2023-03-10T00:00:00"/>
    <n v="39"/>
    <s v="month"/>
    <s v="Yes"/>
    <d v="2023-03-10T00:00:00"/>
    <n v="1"/>
    <x v="1"/>
    <x v="0"/>
  </r>
  <r>
    <n v="204907118"/>
    <x v="169"/>
    <d v="2023-04-10T00:00:00"/>
    <n v="39"/>
    <s v="month"/>
    <s v="Yes"/>
    <d v="2023-04-10T00:00:00"/>
    <n v="2"/>
    <x v="1"/>
    <x v="0"/>
  </r>
  <r>
    <n v="204602410"/>
    <x v="169"/>
    <d v="2023-03-20T00:00:00"/>
    <n v="39"/>
    <s v="month"/>
    <s v="Yes"/>
    <d v="2023-03-20T00:00:00"/>
    <n v="1"/>
    <x v="1"/>
    <x v="0"/>
  </r>
  <r>
    <n v="204853460"/>
    <x v="169"/>
    <d v="2023-07-19T00:00:00"/>
    <n v="39"/>
    <s v="month"/>
    <s v="Yes"/>
    <d v="2023-07-19T00:00:00"/>
    <n v="5"/>
    <x v="0"/>
    <x v="0"/>
  </r>
  <r>
    <n v="194310997"/>
    <x v="169"/>
    <d v="2023-07-17T00:00:00"/>
    <n v="39"/>
    <s v="month"/>
    <s v="Yes"/>
    <d v="2023-07-17T00:00:00"/>
    <n v="5"/>
    <x v="0"/>
    <x v="0"/>
  </r>
  <r>
    <n v="204902258"/>
    <x v="170"/>
    <m/>
    <n v="39"/>
    <s v="month"/>
    <s v="Yes"/>
    <d v="2023-09-30T00:00:00"/>
    <n v="7"/>
    <x v="0"/>
    <x v="0"/>
  </r>
  <r>
    <n v="162865034"/>
    <x v="170"/>
    <d v="2023-03-28T00:00:00"/>
    <n v="39"/>
    <s v="month"/>
    <s v="Yes"/>
    <d v="2023-03-28T00:00:00"/>
    <n v="1"/>
    <x v="1"/>
    <x v="0"/>
  </r>
  <r>
    <n v="204467695"/>
    <x v="170"/>
    <d v="2023-05-09T00:00:00"/>
    <n v="39"/>
    <s v="month"/>
    <s v="Yes"/>
    <d v="2023-05-09T00:00:00"/>
    <n v="3"/>
    <x v="1"/>
    <x v="0"/>
  </r>
  <r>
    <n v="204774193"/>
    <x v="170"/>
    <d v="2023-05-30T00:00:00"/>
    <n v="39"/>
    <s v="month"/>
    <s v="Yes"/>
    <d v="2023-05-30T00:00:00"/>
    <n v="3"/>
    <x v="1"/>
    <x v="0"/>
  </r>
  <r>
    <n v="189046085"/>
    <x v="170"/>
    <d v="2023-05-18T00:00:00"/>
    <n v="39"/>
    <s v="month"/>
    <s v="Yes"/>
    <d v="2023-05-18T00:00:00"/>
    <n v="3"/>
    <x v="1"/>
    <x v="0"/>
  </r>
  <r>
    <n v="188082436"/>
    <x v="170"/>
    <d v="2023-04-04T00:00:00"/>
    <n v="39"/>
    <s v="month"/>
    <s v="Yes"/>
    <d v="2023-04-04T00:00:00"/>
    <n v="2"/>
    <x v="1"/>
    <x v="0"/>
  </r>
  <r>
    <n v="204947361"/>
    <x v="170"/>
    <d v="2023-04-05T00:00:00"/>
    <n v="39"/>
    <s v="month"/>
    <s v="Yes"/>
    <d v="2023-04-05T00:00:00"/>
    <n v="2"/>
    <x v="1"/>
    <x v="0"/>
  </r>
  <r>
    <n v="158852962"/>
    <x v="170"/>
    <d v="2023-04-14T00:00:00"/>
    <n v="39"/>
    <s v="month"/>
    <s v="Yes"/>
    <d v="2023-04-14T00:00:00"/>
    <n v="2"/>
    <x v="1"/>
    <x v="0"/>
  </r>
  <r>
    <n v="204742960"/>
    <x v="170"/>
    <d v="2023-03-06T00:00:00"/>
    <n v="39"/>
    <s v="month"/>
    <s v="Yes"/>
    <d v="2023-03-06T00:00:00"/>
    <n v="1"/>
    <x v="1"/>
    <x v="0"/>
  </r>
  <r>
    <n v="204726042"/>
    <x v="170"/>
    <d v="2023-03-17T00:00:00"/>
    <n v="39"/>
    <s v="month"/>
    <s v="Yes"/>
    <d v="2023-03-17T00:00:00"/>
    <n v="1"/>
    <x v="1"/>
    <x v="0"/>
  </r>
  <r>
    <n v="204997225"/>
    <x v="171"/>
    <m/>
    <n v="39"/>
    <s v="month"/>
    <s v="Yes"/>
    <d v="2023-09-30T00:00:00"/>
    <n v="7"/>
    <x v="0"/>
    <x v="0"/>
  </r>
  <r>
    <n v="126103612"/>
    <x v="171"/>
    <m/>
    <n v="39"/>
    <s v="month"/>
    <s v="Yes"/>
    <d v="2023-09-30T00:00:00"/>
    <n v="7"/>
    <x v="0"/>
    <x v="0"/>
  </r>
  <r>
    <n v="204934860"/>
    <x v="171"/>
    <d v="2023-02-23T00:00:00"/>
    <n v="39"/>
    <s v="month"/>
    <s v="No"/>
    <d v="2023-02-23T00:00:00"/>
    <n v="0"/>
    <x v="1"/>
    <x v="1"/>
  </r>
  <r>
    <n v="197086298"/>
    <x v="171"/>
    <d v="2023-05-02T00:00:00"/>
    <n v="39"/>
    <s v="month"/>
    <s v="Yes"/>
    <d v="2023-05-02T00:00:00"/>
    <n v="3"/>
    <x v="1"/>
    <x v="0"/>
  </r>
  <r>
    <n v="204732760"/>
    <x v="171"/>
    <d v="2023-04-21T00:00:00"/>
    <n v="39"/>
    <s v="month"/>
    <s v="Yes"/>
    <d v="2023-04-21T00:00:00"/>
    <n v="2"/>
    <x v="1"/>
    <x v="0"/>
  </r>
  <r>
    <n v="204985175"/>
    <x v="171"/>
    <d v="2023-04-13T00:00:00"/>
    <n v="39"/>
    <s v="month"/>
    <s v="Yes"/>
    <d v="2023-04-13T00:00:00"/>
    <n v="2"/>
    <x v="1"/>
    <x v="0"/>
  </r>
  <r>
    <n v="189387698"/>
    <x v="171"/>
    <d v="2023-04-07T00:00:00"/>
    <n v="39"/>
    <s v="month"/>
    <s v="Yes"/>
    <d v="2023-04-07T00:00:00"/>
    <n v="2"/>
    <x v="1"/>
    <x v="0"/>
  </r>
  <r>
    <n v="144160302"/>
    <x v="171"/>
    <d v="2023-04-06T00:00:00"/>
    <n v="39"/>
    <s v="month"/>
    <s v="Yes"/>
    <d v="2023-04-06T00:00:00"/>
    <n v="2"/>
    <x v="1"/>
    <x v="0"/>
  </r>
  <r>
    <n v="195774465"/>
    <x v="171"/>
    <d v="2023-04-29T00:00:00"/>
    <n v="39"/>
    <s v="month"/>
    <s v="Yes"/>
    <d v="2023-04-29T00:00:00"/>
    <n v="2"/>
    <x v="1"/>
    <x v="0"/>
  </r>
  <r>
    <n v="204890622"/>
    <x v="171"/>
    <d v="2023-03-18T00:00:00"/>
    <n v="39"/>
    <s v="month"/>
    <s v="Yes"/>
    <d v="2023-03-18T00:00:00"/>
    <n v="1"/>
    <x v="1"/>
    <x v="0"/>
  </r>
  <r>
    <n v="204206841"/>
    <x v="171"/>
    <d v="2023-03-08T00:00:00"/>
    <n v="39"/>
    <s v="month"/>
    <s v="Yes"/>
    <d v="2023-03-08T00:00:00"/>
    <n v="1"/>
    <x v="1"/>
    <x v="0"/>
  </r>
  <r>
    <n v="204955216"/>
    <x v="171"/>
    <d v="2023-03-20T00:00:00"/>
    <n v="39"/>
    <s v="month"/>
    <s v="Yes"/>
    <d v="2023-03-20T00:00:00"/>
    <n v="1"/>
    <x v="1"/>
    <x v="0"/>
  </r>
  <r>
    <n v="204992891"/>
    <x v="171"/>
    <d v="2023-08-03T00:00:00"/>
    <n v="39"/>
    <s v="month"/>
    <s v="Yes"/>
    <d v="2023-08-03T00:00:00"/>
    <n v="6"/>
    <x v="0"/>
    <x v="0"/>
  </r>
  <r>
    <n v="139152786"/>
    <x v="172"/>
    <m/>
    <n v="39"/>
    <s v="month"/>
    <s v="Yes"/>
    <d v="2023-09-30T00:00:00"/>
    <n v="7"/>
    <x v="0"/>
    <x v="0"/>
  </r>
  <r>
    <n v="204753108"/>
    <x v="172"/>
    <m/>
    <n v="39"/>
    <s v="month"/>
    <s v="Yes"/>
    <d v="2023-09-30T00:00:00"/>
    <n v="7"/>
    <x v="0"/>
    <x v="0"/>
  </r>
  <r>
    <n v="136703646"/>
    <x v="172"/>
    <d v="2023-04-07T00:00:00"/>
    <n v="39"/>
    <s v="month"/>
    <s v="Yes"/>
    <d v="2023-04-07T00:00:00"/>
    <n v="2"/>
    <x v="1"/>
    <x v="0"/>
  </r>
  <r>
    <n v="204294672"/>
    <x v="172"/>
    <d v="2023-05-31T00:00:00"/>
    <n v="39"/>
    <s v="month"/>
    <s v="Yes"/>
    <d v="2023-05-31T00:00:00"/>
    <n v="3"/>
    <x v="1"/>
    <x v="0"/>
  </r>
  <r>
    <n v="189505981"/>
    <x v="172"/>
    <d v="2023-04-30T00:00:00"/>
    <n v="39"/>
    <s v="month"/>
    <s v="Yes"/>
    <d v="2023-04-30T00:00:00"/>
    <n v="2"/>
    <x v="1"/>
    <x v="0"/>
  </r>
  <r>
    <n v="115899168"/>
    <x v="172"/>
    <d v="2023-04-03T00:00:00"/>
    <n v="39"/>
    <s v="month"/>
    <s v="Yes"/>
    <d v="2023-04-03T00:00:00"/>
    <n v="2"/>
    <x v="1"/>
    <x v="0"/>
  </r>
  <r>
    <n v="200117920"/>
    <x v="172"/>
    <d v="2023-03-22T00:00:00"/>
    <n v="39"/>
    <s v="month"/>
    <s v="Yes"/>
    <d v="2023-03-22T00:00:00"/>
    <n v="1"/>
    <x v="1"/>
    <x v="0"/>
  </r>
  <r>
    <n v="205057455"/>
    <x v="172"/>
    <d v="2023-03-26T00:00:00"/>
    <n v="39"/>
    <s v="month"/>
    <s v="Yes"/>
    <d v="2023-03-26T00:00:00"/>
    <n v="1"/>
    <x v="1"/>
    <x v="0"/>
  </r>
  <r>
    <n v="205028691"/>
    <x v="172"/>
    <d v="2023-03-10T00:00:00"/>
    <n v="39"/>
    <s v="month"/>
    <s v="Yes"/>
    <d v="2023-03-10T00:00:00"/>
    <n v="1"/>
    <x v="1"/>
    <x v="0"/>
  </r>
  <r>
    <n v="204857146"/>
    <x v="172"/>
    <d v="2023-03-10T00:00:00"/>
    <n v="39"/>
    <s v="month"/>
    <s v="Yes"/>
    <d v="2023-03-10T00:00:00"/>
    <n v="1"/>
    <x v="1"/>
    <x v="0"/>
  </r>
  <r>
    <n v="134131772"/>
    <x v="173"/>
    <d v="2023-06-16T00:00:00"/>
    <n v="39"/>
    <s v="month"/>
    <s v="Yes"/>
    <d v="2023-06-16T00:00:00"/>
    <n v="4"/>
    <x v="1"/>
    <x v="0"/>
  </r>
  <r>
    <n v="148942254"/>
    <x v="173"/>
    <d v="2023-06-11T00:00:00"/>
    <n v="39"/>
    <s v="month"/>
    <s v="Yes"/>
    <d v="2023-06-11T00:00:00"/>
    <n v="4"/>
    <x v="1"/>
    <x v="0"/>
  </r>
  <r>
    <n v="204512235"/>
    <x v="173"/>
    <d v="2023-06-16T00:00:00"/>
    <n v="39"/>
    <s v="month"/>
    <s v="Yes"/>
    <d v="2023-06-16T00:00:00"/>
    <n v="4"/>
    <x v="1"/>
    <x v="0"/>
  </r>
  <r>
    <n v="204977028"/>
    <x v="173"/>
    <d v="2023-05-01T00:00:00"/>
    <n v="39"/>
    <s v="month"/>
    <s v="Yes"/>
    <d v="2023-05-01T00:00:00"/>
    <n v="3"/>
    <x v="1"/>
    <x v="0"/>
  </r>
  <r>
    <n v="205122220"/>
    <x v="173"/>
    <d v="2023-04-13T00:00:00"/>
    <n v="39"/>
    <s v="month"/>
    <s v="Yes"/>
    <d v="2023-04-13T00:00:00"/>
    <n v="2"/>
    <x v="1"/>
    <x v="0"/>
  </r>
  <r>
    <n v="179578904"/>
    <x v="173"/>
    <d v="2023-04-18T00:00:00"/>
    <n v="39"/>
    <s v="month"/>
    <s v="Yes"/>
    <d v="2023-04-18T00:00:00"/>
    <n v="2"/>
    <x v="1"/>
    <x v="0"/>
  </r>
  <r>
    <n v="205120086"/>
    <x v="173"/>
    <d v="2023-04-04T00:00:00"/>
    <n v="39"/>
    <s v="month"/>
    <s v="Yes"/>
    <d v="2023-04-04T00:00:00"/>
    <n v="2"/>
    <x v="1"/>
    <x v="0"/>
  </r>
  <r>
    <n v="158097854"/>
    <x v="173"/>
    <d v="2023-03-30T00:00:00"/>
    <n v="39"/>
    <s v="month"/>
    <s v="Yes"/>
    <d v="2023-03-30T00:00:00"/>
    <n v="1"/>
    <x v="1"/>
    <x v="0"/>
  </r>
  <r>
    <n v="204760569"/>
    <x v="173"/>
    <d v="2023-03-15T00:00:00"/>
    <n v="39"/>
    <s v="month"/>
    <s v="Yes"/>
    <d v="2023-03-15T00:00:00"/>
    <n v="1"/>
    <x v="1"/>
    <x v="0"/>
  </r>
  <r>
    <n v="204982432"/>
    <x v="173"/>
    <d v="2023-03-31T00:00:00"/>
    <n v="39"/>
    <s v="month"/>
    <s v="Yes"/>
    <d v="2023-03-31T00:00:00"/>
    <n v="1"/>
    <x v="1"/>
    <x v="0"/>
  </r>
  <r>
    <n v="158351648"/>
    <x v="173"/>
    <d v="2023-09-01T00:00:00"/>
    <n v="39"/>
    <s v="month"/>
    <s v="Yes"/>
    <d v="2023-09-01T00:00:00"/>
    <n v="7"/>
    <x v="0"/>
    <x v="0"/>
  </r>
  <r>
    <n v="195325206"/>
    <x v="174"/>
    <m/>
    <n v="39"/>
    <s v="month"/>
    <s v="Yes"/>
    <d v="2023-09-30T00:00:00"/>
    <n v="7"/>
    <x v="0"/>
    <x v="0"/>
  </r>
  <r>
    <n v="205102955"/>
    <x v="174"/>
    <m/>
    <n v="39"/>
    <s v="month"/>
    <s v="Yes"/>
    <d v="2023-09-30T00:00:00"/>
    <n v="7"/>
    <x v="0"/>
    <x v="0"/>
  </r>
  <r>
    <n v="188092110"/>
    <x v="174"/>
    <d v="2023-04-09T00:00:00"/>
    <n v="39"/>
    <s v="month"/>
    <s v="Yes"/>
    <d v="2023-04-09T00:00:00"/>
    <n v="2"/>
    <x v="1"/>
    <x v="0"/>
  </r>
  <r>
    <n v="147615998"/>
    <x v="174"/>
    <d v="2023-04-16T00:00:00"/>
    <n v="39"/>
    <s v="month"/>
    <s v="Yes"/>
    <d v="2023-04-16T00:00:00"/>
    <n v="2"/>
    <x v="1"/>
    <x v="0"/>
  </r>
  <r>
    <n v="164751472"/>
    <x v="174"/>
    <d v="2023-04-16T00:00:00"/>
    <n v="39"/>
    <s v="month"/>
    <s v="Yes"/>
    <d v="2023-04-16T00:00:00"/>
    <n v="2"/>
    <x v="1"/>
    <x v="0"/>
  </r>
  <r>
    <n v="205215538"/>
    <x v="174"/>
    <d v="2023-03-02T00:00:00"/>
    <n v="39"/>
    <s v="month"/>
    <s v="Yes"/>
    <d v="2023-03-02T00:00:00"/>
    <n v="1"/>
    <x v="1"/>
    <x v="0"/>
  </r>
  <r>
    <n v="162962849"/>
    <x v="175"/>
    <d v="2023-05-05T00:00:00"/>
    <n v="39"/>
    <s v="month"/>
    <s v="Yes"/>
    <d v="2023-05-05T00:00:00"/>
    <n v="3"/>
    <x v="1"/>
    <x v="0"/>
  </r>
  <r>
    <n v="154229833"/>
    <x v="175"/>
    <d v="2023-03-14T00:00:00"/>
    <n v="39"/>
    <s v="month"/>
    <s v="Yes"/>
    <d v="2023-03-14T00:00:00"/>
    <n v="1"/>
    <x v="1"/>
    <x v="0"/>
  </r>
  <r>
    <n v="205338718"/>
    <x v="175"/>
    <d v="2023-03-27T00:00:00"/>
    <n v="39"/>
    <s v="month"/>
    <s v="Yes"/>
    <d v="2023-03-27T00:00:00"/>
    <n v="1"/>
    <x v="1"/>
    <x v="0"/>
  </r>
  <r>
    <n v="180798046"/>
    <x v="176"/>
    <m/>
    <n v="39"/>
    <s v="month"/>
    <s v="Yes"/>
    <d v="2023-09-30T00:00:00"/>
    <n v="7"/>
    <x v="0"/>
    <x v="0"/>
  </r>
  <r>
    <n v="135298992"/>
    <x v="176"/>
    <d v="2023-03-19T00:00:00"/>
    <n v="39"/>
    <s v="month"/>
    <s v="Yes"/>
    <d v="2023-03-19T00:00:00"/>
    <n v="1"/>
    <x v="1"/>
    <x v="0"/>
  </r>
  <r>
    <n v="153141802"/>
    <x v="176"/>
    <d v="2023-06-03T00:00:00"/>
    <n v="39"/>
    <s v="month"/>
    <s v="Yes"/>
    <d v="2023-06-03T00:00:00"/>
    <n v="4"/>
    <x v="1"/>
    <x v="0"/>
  </r>
  <r>
    <n v="189149014"/>
    <x v="176"/>
    <d v="2023-06-20T00:00:00"/>
    <n v="39"/>
    <s v="month"/>
    <s v="Yes"/>
    <d v="2023-06-20T00:00:00"/>
    <n v="4"/>
    <x v="1"/>
    <x v="0"/>
  </r>
  <r>
    <n v="180438277"/>
    <x v="176"/>
    <d v="2023-05-19T00:00:00"/>
    <n v="39"/>
    <s v="month"/>
    <s v="Yes"/>
    <d v="2023-05-19T00:00:00"/>
    <n v="3"/>
    <x v="1"/>
    <x v="0"/>
  </r>
  <r>
    <n v="205471532"/>
    <x v="176"/>
    <d v="2023-04-27T00:00:00"/>
    <n v="39"/>
    <s v="month"/>
    <s v="Yes"/>
    <d v="2023-04-27T00:00:00"/>
    <n v="2"/>
    <x v="1"/>
    <x v="0"/>
  </r>
  <r>
    <n v="188065488"/>
    <x v="176"/>
    <d v="2023-04-25T00:00:00"/>
    <n v="39"/>
    <s v="month"/>
    <s v="Yes"/>
    <d v="2023-04-25T00:00:00"/>
    <n v="2"/>
    <x v="1"/>
    <x v="0"/>
  </r>
  <r>
    <n v="205387672"/>
    <x v="176"/>
    <d v="2023-04-09T00:00:00"/>
    <n v="39"/>
    <s v="month"/>
    <s v="Yes"/>
    <d v="2023-04-09T00:00:00"/>
    <n v="2"/>
    <x v="1"/>
    <x v="0"/>
  </r>
  <r>
    <n v="196251908"/>
    <x v="176"/>
    <d v="2023-02-27T00:00:00"/>
    <n v="39"/>
    <s v="month"/>
    <s v="Yes"/>
    <d v="2023-02-27T00:00:00"/>
    <n v="0"/>
    <x v="1"/>
    <x v="1"/>
  </r>
  <r>
    <n v="157884031"/>
    <x v="176"/>
    <d v="2023-03-30T00:00:00"/>
    <n v="39"/>
    <s v="month"/>
    <s v="Yes"/>
    <d v="2023-03-30T00:00:00"/>
    <n v="1"/>
    <x v="1"/>
    <x v="0"/>
  </r>
  <r>
    <n v="204571386"/>
    <x v="176"/>
    <d v="2023-03-23T00:00:00"/>
    <n v="39"/>
    <s v="month"/>
    <s v="Yes"/>
    <d v="2023-03-23T00:00:00"/>
    <n v="1"/>
    <x v="1"/>
    <x v="0"/>
  </r>
  <r>
    <n v="162909529"/>
    <x v="176"/>
    <d v="2023-08-01T00:00:00"/>
    <n v="39"/>
    <s v="month"/>
    <s v="Yes"/>
    <d v="2023-08-01T00:00:00"/>
    <n v="6"/>
    <x v="0"/>
    <x v="0"/>
  </r>
  <r>
    <n v="152043244"/>
    <x v="177"/>
    <m/>
    <n v="39"/>
    <s v="month"/>
    <s v="Yes"/>
    <d v="2023-09-30T00:00:00"/>
    <n v="7"/>
    <x v="0"/>
    <x v="0"/>
  </r>
  <r>
    <n v="204567111"/>
    <x v="177"/>
    <m/>
    <n v="39"/>
    <s v="month"/>
    <s v="Yes"/>
    <d v="2023-09-30T00:00:00"/>
    <n v="7"/>
    <x v="0"/>
    <x v="0"/>
  </r>
  <r>
    <n v="205487880"/>
    <x v="177"/>
    <m/>
    <n v="39"/>
    <s v="month"/>
    <s v="Yes"/>
    <d v="2023-09-30T00:00:00"/>
    <n v="7"/>
    <x v="0"/>
    <x v="0"/>
  </r>
  <r>
    <n v="205489808"/>
    <x v="177"/>
    <m/>
    <n v="39"/>
    <s v="month"/>
    <s v="Yes"/>
    <d v="2023-09-30T00:00:00"/>
    <n v="7"/>
    <x v="0"/>
    <x v="0"/>
  </r>
  <r>
    <n v="125828506"/>
    <x v="177"/>
    <d v="2023-03-01T00:00:00"/>
    <n v="39"/>
    <s v="month"/>
    <s v="Yes"/>
    <d v="2023-03-01T00:00:00"/>
    <n v="1"/>
    <x v="1"/>
    <x v="0"/>
  </r>
  <r>
    <n v="154701159"/>
    <x v="177"/>
    <d v="2023-03-27T00:00:00"/>
    <n v="39"/>
    <s v="month"/>
    <s v="Yes"/>
    <d v="2023-03-27T00:00:00"/>
    <n v="1"/>
    <x v="1"/>
    <x v="0"/>
  </r>
  <r>
    <n v="204865394"/>
    <x v="177"/>
    <d v="2023-04-04T00:00:00"/>
    <n v="39"/>
    <s v="month"/>
    <s v="Yes"/>
    <d v="2023-04-04T00:00:00"/>
    <n v="2"/>
    <x v="1"/>
    <x v="0"/>
  </r>
  <r>
    <n v="205044276"/>
    <x v="177"/>
    <d v="2023-04-27T00:00:00"/>
    <n v="39"/>
    <s v="month"/>
    <s v="Yes"/>
    <d v="2023-04-27T00:00:00"/>
    <n v="2"/>
    <x v="1"/>
    <x v="0"/>
  </r>
  <r>
    <n v="194873337"/>
    <x v="177"/>
    <d v="2023-04-18T00:00:00"/>
    <n v="39"/>
    <s v="month"/>
    <s v="Yes"/>
    <d v="2023-04-18T00:00:00"/>
    <n v="2"/>
    <x v="1"/>
    <x v="0"/>
  </r>
  <r>
    <n v="205492734"/>
    <x v="177"/>
    <d v="2023-03-22T00:00:00"/>
    <n v="39"/>
    <s v="month"/>
    <s v="Yes"/>
    <d v="2023-03-22T00:00:00"/>
    <n v="1"/>
    <x v="1"/>
    <x v="0"/>
  </r>
  <r>
    <n v="205548739"/>
    <x v="178"/>
    <m/>
    <n v="39"/>
    <s v="month"/>
    <s v="Yes"/>
    <d v="2023-09-30T00:00:00"/>
    <n v="6"/>
    <x v="0"/>
    <x v="0"/>
  </r>
  <r>
    <n v="202228372"/>
    <x v="178"/>
    <m/>
    <n v="39"/>
    <s v="month"/>
    <s v="Yes"/>
    <d v="2023-09-30T00:00:00"/>
    <n v="6"/>
    <x v="0"/>
    <x v="0"/>
  </r>
  <r>
    <n v="205034931"/>
    <x v="178"/>
    <d v="2023-03-02T00:00:00"/>
    <n v="39"/>
    <s v="month"/>
    <s v="No"/>
    <d v="2023-03-02T00:00:00"/>
    <n v="0"/>
    <x v="1"/>
    <x v="1"/>
  </r>
  <r>
    <n v="205129178"/>
    <x v="178"/>
    <d v="2023-06-21T00:00:00"/>
    <n v="39"/>
    <s v="month"/>
    <s v="Yes"/>
    <d v="2023-06-21T00:00:00"/>
    <n v="3"/>
    <x v="1"/>
    <x v="0"/>
  </r>
  <r>
    <n v="160114911"/>
    <x v="178"/>
    <d v="2023-04-08T00:00:00"/>
    <n v="39"/>
    <s v="month"/>
    <s v="Yes"/>
    <d v="2023-04-08T00:00:00"/>
    <n v="1"/>
    <x v="1"/>
    <x v="0"/>
  </r>
  <r>
    <n v="168200039"/>
    <x v="178"/>
    <d v="2023-04-08T00:00:00"/>
    <n v="39"/>
    <s v="month"/>
    <s v="Yes"/>
    <d v="2023-04-08T00:00:00"/>
    <n v="1"/>
    <x v="1"/>
    <x v="0"/>
  </r>
  <r>
    <n v="190622411"/>
    <x v="178"/>
    <d v="2023-04-04T00:00:00"/>
    <n v="39"/>
    <s v="month"/>
    <s v="Yes"/>
    <d v="2023-04-04T00:00:00"/>
    <n v="1"/>
    <x v="1"/>
    <x v="0"/>
  </r>
  <r>
    <n v="204528713"/>
    <x v="178"/>
    <d v="2023-04-18T00:00:00"/>
    <n v="39"/>
    <s v="month"/>
    <s v="Yes"/>
    <d v="2023-04-18T00:00:00"/>
    <n v="1"/>
    <x v="1"/>
    <x v="0"/>
  </r>
  <r>
    <n v="205573796"/>
    <x v="178"/>
    <d v="2023-04-13T00:00:00"/>
    <n v="39"/>
    <s v="month"/>
    <s v="Yes"/>
    <d v="2023-04-13T00:00:00"/>
    <n v="1"/>
    <x v="1"/>
    <x v="0"/>
  </r>
  <r>
    <n v="182009986"/>
    <x v="178"/>
    <d v="2023-03-29T00:00:00"/>
    <n v="39"/>
    <s v="month"/>
    <s v="Yes"/>
    <d v="2023-03-29T00:00:00"/>
    <n v="0"/>
    <x v="1"/>
    <x v="1"/>
  </r>
  <r>
    <n v="205606022"/>
    <x v="178"/>
    <d v="2023-03-21T00:00:00"/>
    <n v="39"/>
    <s v="month"/>
    <s v="Yes"/>
    <d v="2023-03-21T00:00:00"/>
    <n v="0"/>
    <x v="1"/>
    <x v="1"/>
  </r>
  <r>
    <n v="205580089"/>
    <x v="178"/>
    <d v="2023-03-30T00:00:00"/>
    <n v="39"/>
    <s v="month"/>
    <s v="Yes"/>
    <d v="2023-03-30T00:00:00"/>
    <n v="0"/>
    <x v="1"/>
    <x v="1"/>
  </r>
  <r>
    <n v="192949504"/>
    <x v="178"/>
    <d v="2023-03-28T00:00:00"/>
    <n v="39"/>
    <s v="month"/>
    <s v="Yes"/>
    <d v="2023-03-28T00:00:00"/>
    <n v="0"/>
    <x v="1"/>
    <x v="1"/>
  </r>
  <r>
    <n v="205658636"/>
    <x v="179"/>
    <m/>
    <n v="39"/>
    <s v="month"/>
    <s v="Yes"/>
    <d v="2023-09-30T00:00:00"/>
    <n v="6"/>
    <x v="0"/>
    <x v="0"/>
  </r>
  <r>
    <n v="205615727"/>
    <x v="179"/>
    <d v="2023-06-26T00:00:00"/>
    <n v="39"/>
    <s v="month"/>
    <s v="Yes"/>
    <d v="2023-06-26T00:00:00"/>
    <n v="3"/>
    <x v="1"/>
    <x v="0"/>
  </r>
  <r>
    <n v="205448424"/>
    <x v="179"/>
    <d v="2023-05-30T00:00:00"/>
    <n v="39"/>
    <s v="month"/>
    <s v="Yes"/>
    <d v="2023-05-30T00:00:00"/>
    <n v="2"/>
    <x v="1"/>
    <x v="0"/>
  </r>
  <r>
    <n v="196009696"/>
    <x v="179"/>
    <d v="2023-05-02T00:00:00"/>
    <n v="39"/>
    <s v="month"/>
    <s v="Yes"/>
    <d v="2023-05-02T00:00:00"/>
    <n v="2"/>
    <x v="1"/>
    <x v="0"/>
  </r>
  <r>
    <n v="205026372"/>
    <x v="179"/>
    <d v="2023-05-02T00:00:00"/>
    <n v="39"/>
    <s v="month"/>
    <s v="Yes"/>
    <d v="2023-05-02T00:00:00"/>
    <n v="2"/>
    <x v="1"/>
    <x v="0"/>
  </r>
  <r>
    <n v="167165752"/>
    <x v="179"/>
    <d v="2023-05-30T00:00:00"/>
    <n v="39"/>
    <s v="month"/>
    <s v="Yes"/>
    <d v="2023-05-30T00:00:00"/>
    <n v="2"/>
    <x v="1"/>
    <x v="0"/>
  </r>
  <r>
    <n v="205664425"/>
    <x v="179"/>
    <d v="2023-04-25T00:00:00"/>
    <n v="39"/>
    <s v="month"/>
    <s v="Yes"/>
    <d v="2023-04-25T00:00:00"/>
    <n v="1"/>
    <x v="1"/>
    <x v="0"/>
  </r>
  <r>
    <n v="199179611"/>
    <x v="179"/>
    <d v="2023-04-23T00:00:00"/>
    <n v="39"/>
    <s v="month"/>
    <s v="Yes"/>
    <d v="2023-04-23T00:00:00"/>
    <n v="1"/>
    <x v="1"/>
    <x v="0"/>
  </r>
  <r>
    <n v="205660933"/>
    <x v="179"/>
    <d v="2023-04-02T00:00:00"/>
    <n v="39"/>
    <s v="month"/>
    <s v="Yes"/>
    <d v="2023-04-02T00:00:00"/>
    <n v="1"/>
    <x v="1"/>
    <x v="0"/>
  </r>
  <r>
    <n v="205660195"/>
    <x v="179"/>
    <d v="2023-04-03T00:00:00"/>
    <n v="39"/>
    <s v="month"/>
    <s v="Yes"/>
    <d v="2023-04-03T00:00:00"/>
    <n v="1"/>
    <x v="1"/>
    <x v="0"/>
  </r>
  <r>
    <n v="168598418"/>
    <x v="179"/>
    <d v="2023-04-22T00:00:00"/>
    <n v="39"/>
    <s v="month"/>
    <s v="Yes"/>
    <d v="2023-04-22T00:00:00"/>
    <n v="1"/>
    <x v="1"/>
    <x v="0"/>
  </r>
  <r>
    <n v="161182367"/>
    <x v="179"/>
    <d v="2023-04-09T00:00:00"/>
    <n v="39"/>
    <s v="month"/>
    <s v="Yes"/>
    <d v="2023-04-09T00:00:00"/>
    <n v="1"/>
    <x v="1"/>
    <x v="0"/>
  </r>
  <r>
    <n v="156943008"/>
    <x v="179"/>
    <d v="2023-03-02T00:00:00"/>
    <n v="39"/>
    <s v="month"/>
    <s v="Yes"/>
    <d v="2023-03-02T00:00:00"/>
    <n v="0"/>
    <x v="1"/>
    <x v="1"/>
  </r>
  <r>
    <n v="190657026"/>
    <x v="179"/>
    <d v="2023-03-29T00:00:00"/>
    <n v="39"/>
    <s v="month"/>
    <s v="Yes"/>
    <d v="2023-03-29T00:00:00"/>
    <n v="0"/>
    <x v="1"/>
    <x v="1"/>
  </r>
  <r>
    <n v="205700946"/>
    <x v="180"/>
    <m/>
    <n v="39"/>
    <s v="month"/>
    <s v="Yes"/>
    <d v="2023-09-30T00:00:00"/>
    <n v="6"/>
    <x v="0"/>
    <x v="0"/>
  </r>
  <r>
    <n v="165807144"/>
    <x v="180"/>
    <m/>
    <n v="39"/>
    <s v="month"/>
    <s v="Yes"/>
    <d v="2023-09-30T00:00:00"/>
    <n v="6"/>
    <x v="0"/>
    <x v="0"/>
  </r>
  <r>
    <n v="125635419"/>
    <x v="180"/>
    <d v="2023-03-04T00:00:00"/>
    <n v="39"/>
    <s v="month"/>
    <s v="Yes"/>
    <d v="2023-03-04T00:00:00"/>
    <n v="0"/>
    <x v="1"/>
    <x v="1"/>
  </r>
  <r>
    <n v="205707486"/>
    <x v="180"/>
    <d v="2023-03-04T00:00:00"/>
    <n v="39"/>
    <s v="month"/>
    <s v="No"/>
    <d v="2023-03-04T00:00:00"/>
    <n v="0"/>
    <x v="1"/>
    <x v="1"/>
  </r>
  <r>
    <n v="150663700"/>
    <x v="180"/>
    <d v="2023-03-04T00:00:00"/>
    <n v="39"/>
    <s v="month"/>
    <s v="No"/>
    <d v="2023-03-04T00:00:00"/>
    <n v="0"/>
    <x v="1"/>
    <x v="1"/>
  </r>
  <r>
    <n v="149157588"/>
    <x v="180"/>
    <d v="2023-05-10T00:00:00"/>
    <n v="39"/>
    <s v="month"/>
    <s v="Yes"/>
    <d v="2023-05-10T00:00:00"/>
    <n v="2"/>
    <x v="1"/>
    <x v="0"/>
  </r>
  <r>
    <n v="205686881"/>
    <x v="180"/>
    <d v="2023-06-10T00:00:00"/>
    <n v="39"/>
    <s v="month"/>
    <s v="Yes"/>
    <d v="2023-06-10T00:00:00"/>
    <n v="3"/>
    <x v="1"/>
    <x v="0"/>
  </r>
  <r>
    <n v="138347540"/>
    <x v="180"/>
    <d v="2023-05-08T00:00:00"/>
    <n v="39"/>
    <s v="month"/>
    <s v="Yes"/>
    <d v="2023-05-08T00:00:00"/>
    <n v="2"/>
    <x v="1"/>
    <x v="0"/>
  </r>
  <r>
    <n v="154344817"/>
    <x v="180"/>
    <d v="2023-04-20T00:00:00"/>
    <n v="39"/>
    <s v="month"/>
    <s v="Yes"/>
    <d v="2023-04-20T00:00:00"/>
    <n v="1"/>
    <x v="1"/>
    <x v="0"/>
  </r>
  <r>
    <n v="205530810"/>
    <x v="180"/>
    <d v="2023-04-10T00:00:00"/>
    <n v="39"/>
    <s v="month"/>
    <s v="Yes"/>
    <d v="2023-04-10T00:00:00"/>
    <n v="1"/>
    <x v="1"/>
    <x v="0"/>
  </r>
  <r>
    <n v="205731473"/>
    <x v="180"/>
    <d v="2023-03-19T00:00:00"/>
    <n v="39"/>
    <s v="month"/>
    <s v="Yes"/>
    <d v="2023-03-19T00:00:00"/>
    <n v="0"/>
    <x v="1"/>
    <x v="1"/>
  </r>
  <r>
    <n v="205692510"/>
    <x v="181"/>
    <m/>
    <n v="39"/>
    <s v="month"/>
    <s v="Yes"/>
    <d v="2023-09-30T00:00:00"/>
    <n v="6"/>
    <x v="0"/>
    <x v="0"/>
  </r>
  <r>
    <n v="191670525"/>
    <x v="181"/>
    <d v="2023-05-12T00:00:00"/>
    <n v="39"/>
    <s v="month"/>
    <s v="Yes"/>
    <d v="2023-05-12T00:00:00"/>
    <n v="2"/>
    <x v="1"/>
    <x v="0"/>
  </r>
  <r>
    <n v="205492489"/>
    <x v="181"/>
    <d v="2023-05-11T00:00:00"/>
    <n v="39"/>
    <s v="month"/>
    <s v="Yes"/>
    <d v="2023-05-11T00:00:00"/>
    <n v="2"/>
    <x v="1"/>
    <x v="0"/>
  </r>
  <r>
    <n v="205026942"/>
    <x v="181"/>
    <d v="2023-05-04T00:00:00"/>
    <n v="39"/>
    <s v="month"/>
    <s v="Yes"/>
    <d v="2023-05-04T00:00:00"/>
    <n v="2"/>
    <x v="1"/>
    <x v="0"/>
  </r>
  <r>
    <n v="205768824"/>
    <x v="181"/>
    <d v="2023-04-01T00:00:00"/>
    <n v="39"/>
    <s v="month"/>
    <s v="Yes"/>
    <d v="2023-04-01T00:00:00"/>
    <n v="1"/>
    <x v="1"/>
    <x v="0"/>
  </r>
  <r>
    <n v="160824884"/>
    <x v="181"/>
    <d v="2023-04-02T00:00:00"/>
    <n v="39"/>
    <s v="month"/>
    <s v="Yes"/>
    <d v="2023-04-02T00:00:00"/>
    <n v="1"/>
    <x v="1"/>
    <x v="0"/>
  </r>
  <r>
    <n v="205742224"/>
    <x v="181"/>
    <d v="2023-03-04T00:00:00"/>
    <n v="39"/>
    <s v="month"/>
    <s v="Yes"/>
    <d v="2023-03-04T00:00:00"/>
    <n v="0"/>
    <x v="1"/>
    <x v="1"/>
  </r>
  <r>
    <n v="205804144"/>
    <x v="182"/>
    <d v="2023-06-26T00:00:00"/>
    <n v="39"/>
    <s v="month"/>
    <s v="Yes"/>
    <d v="2023-06-26T00:00:00"/>
    <n v="3"/>
    <x v="1"/>
    <x v="0"/>
  </r>
  <r>
    <n v="205703512"/>
    <x v="182"/>
    <d v="2023-05-29T00:00:00"/>
    <n v="39"/>
    <s v="month"/>
    <s v="Yes"/>
    <d v="2023-05-29T00:00:00"/>
    <n v="2"/>
    <x v="1"/>
    <x v="0"/>
  </r>
  <r>
    <n v="131181843"/>
    <x v="182"/>
    <d v="2023-03-05T00:00:00"/>
    <n v="39"/>
    <s v="month"/>
    <s v="Yes"/>
    <d v="2023-03-05T00:00:00"/>
    <n v="0"/>
    <x v="1"/>
    <x v="1"/>
  </r>
  <r>
    <n v="205713052"/>
    <x v="183"/>
    <m/>
    <n v="39"/>
    <s v="month"/>
    <s v="Yes"/>
    <d v="2023-09-30T00:00:00"/>
    <n v="6"/>
    <x v="0"/>
    <x v="0"/>
  </r>
  <r>
    <n v="138121122"/>
    <x v="183"/>
    <m/>
    <n v="39"/>
    <s v="month"/>
    <s v="Yes"/>
    <d v="2023-09-30T00:00:00"/>
    <n v="6"/>
    <x v="0"/>
    <x v="0"/>
  </r>
  <r>
    <n v="191326286"/>
    <x v="183"/>
    <m/>
    <n v="39"/>
    <s v="month"/>
    <s v="Yes"/>
    <d v="2023-09-30T00:00:00"/>
    <n v="6"/>
    <x v="0"/>
    <x v="0"/>
  </r>
  <r>
    <n v="178838732"/>
    <x v="183"/>
    <m/>
    <n v="39"/>
    <s v="month"/>
    <s v="Yes"/>
    <d v="2023-09-30T00:00:00"/>
    <n v="6"/>
    <x v="0"/>
    <x v="0"/>
  </r>
  <r>
    <n v="205871342"/>
    <x v="183"/>
    <m/>
    <n v="39"/>
    <s v="month"/>
    <s v="Yes"/>
    <d v="2023-09-30T00:00:00"/>
    <n v="6"/>
    <x v="0"/>
    <x v="0"/>
  </r>
  <r>
    <n v="202160641"/>
    <x v="183"/>
    <d v="2023-06-05T00:00:00"/>
    <n v="39"/>
    <s v="month"/>
    <s v="Yes"/>
    <d v="2023-06-05T00:00:00"/>
    <n v="3"/>
    <x v="1"/>
    <x v="0"/>
  </r>
  <r>
    <n v="205786362"/>
    <x v="183"/>
    <d v="2023-05-26T00:00:00"/>
    <n v="39"/>
    <s v="month"/>
    <s v="Yes"/>
    <d v="2023-05-26T00:00:00"/>
    <n v="2"/>
    <x v="1"/>
    <x v="0"/>
  </r>
  <r>
    <n v="159798906"/>
    <x v="183"/>
    <d v="2023-04-07T00:00:00"/>
    <n v="39"/>
    <s v="month"/>
    <s v="Yes"/>
    <d v="2023-04-07T00:00:00"/>
    <n v="1"/>
    <x v="1"/>
    <x v="0"/>
  </r>
  <r>
    <n v="166276152"/>
    <x v="183"/>
    <d v="2023-04-03T00:00:00"/>
    <n v="39"/>
    <s v="month"/>
    <s v="Yes"/>
    <d v="2023-04-03T00:00:00"/>
    <n v="1"/>
    <x v="1"/>
    <x v="0"/>
  </r>
  <r>
    <n v="156353738"/>
    <x v="183"/>
    <d v="2023-03-13T00:00:00"/>
    <n v="39"/>
    <s v="month"/>
    <s v="Yes"/>
    <d v="2023-03-13T00:00:00"/>
    <n v="0"/>
    <x v="1"/>
    <x v="1"/>
  </r>
  <r>
    <n v="205864612"/>
    <x v="183"/>
    <d v="2023-03-18T00:00:00"/>
    <n v="39"/>
    <s v="month"/>
    <s v="Yes"/>
    <d v="2023-03-18T00:00:00"/>
    <n v="0"/>
    <x v="1"/>
    <x v="1"/>
  </r>
  <r>
    <n v="142757196"/>
    <x v="184"/>
    <d v="2023-07-09T00:00:00"/>
    <n v="39"/>
    <s v="month"/>
    <s v="Yes"/>
    <d v="2023-07-09T00:00:00"/>
    <n v="4"/>
    <x v="1"/>
    <x v="0"/>
  </r>
  <r>
    <n v="205971108"/>
    <x v="184"/>
    <d v="2023-06-22T00:00:00"/>
    <n v="39"/>
    <s v="month"/>
    <s v="Yes"/>
    <d v="2023-06-22T00:00:00"/>
    <n v="3"/>
    <x v="1"/>
    <x v="0"/>
  </r>
  <r>
    <n v="206001231"/>
    <x v="184"/>
    <d v="2023-05-31T00:00:00"/>
    <n v="39"/>
    <s v="month"/>
    <s v="Yes"/>
    <d v="2023-05-31T00:00:00"/>
    <n v="2"/>
    <x v="1"/>
    <x v="0"/>
  </r>
  <r>
    <n v="205878686"/>
    <x v="184"/>
    <d v="2023-03-07T00:00:00"/>
    <n v="39"/>
    <s v="month"/>
    <s v="Yes"/>
    <d v="2023-03-07T00:00:00"/>
    <n v="0"/>
    <x v="1"/>
    <x v="1"/>
  </r>
  <r>
    <n v="206052140"/>
    <x v="185"/>
    <m/>
    <n v="39"/>
    <s v="month"/>
    <s v="Yes"/>
    <d v="2023-09-30T00:00:00"/>
    <n v="6"/>
    <x v="0"/>
    <x v="0"/>
  </r>
  <r>
    <n v="154082747"/>
    <x v="185"/>
    <d v="2023-03-09T00:00:00"/>
    <n v="39"/>
    <s v="month"/>
    <s v="Yes"/>
    <d v="2023-03-09T00:00:00"/>
    <n v="0"/>
    <x v="1"/>
    <x v="1"/>
  </r>
  <r>
    <n v="206017161"/>
    <x v="185"/>
    <d v="2023-03-09T00:00:00"/>
    <n v="39"/>
    <s v="month"/>
    <s v="No"/>
    <d v="2023-03-09T00:00:00"/>
    <n v="0"/>
    <x v="1"/>
    <x v="1"/>
  </r>
  <r>
    <n v="203152686"/>
    <x v="185"/>
    <d v="2023-05-21T00:00:00"/>
    <n v="39"/>
    <s v="month"/>
    <s v="Yes"/>
    <d v="2023-05-21T00:00:00"/>
    <n v="2"/>
    <x v="1"/>
    <x v="0"/>
  </r>
  <r>
    <n v="203320717"/>
    <x v="185"/>
    <d v="2023-04-07T00:00:00"/>
    <n v="39"/>
    <s v="month"/>
    <s v="Yes"/>
    <d v="2023-04-07T00:00:00"/>
    <n v="1"/>
    <x v="1"/>
    <x v="0"/>
  </r>
  <r>
    <n v="206076518"/>
    <x v="186"/>
    <m/>
    <n v="39"/>
    <s v="month"/>
    <s v="Yes"/>
    <d v="2023-09-30T00:00:00"/>
    <n v="6"/>
    <x v="0"/>
    <x v="0"/>
  </r>
  <r>
    <n v="205881578"/>
    <x v="186"/>
    <d v="2023-08-27T00:00:00"/>
    <n v="39"/>
    <s v="month"/>
    <s v="Yes"/>
    <d v="2023-08-27T00:00:00"/>
    <n v="5"/>
    <x v="0"/>
    <x v="0"/>
  </r>
  <r>
    <n v="152513944"/>
    <x v="186"/>
    <d v="2023-03-10T00:00:00"/>
    <n v="39"/>
    <s v="month"/>
    <s v="Yes"/>
    <d v="2023-03-10T00:00:00"/>
    <n v="0"/>
    <x v="1"/>
    <x v="1"/>
  </r>
  <r>
    <n v="132371176"/>
    <x v="186"/>
    <d v="2023-03-10T00:00:00"/>
    <n v="39"/>
    <s v="month"/>
    <s v="No"/>
    <d v="2023-03-10T00:00:00"/>
    <n v="0"/>
    <x v="1"/>
    <x v="1"/>
  </r>
  <r>
    <n v="135092264"/>
    <x v="186"/>
    <d v="2023-07-11T00:00:00"/>
    <n v="39"/>
    <s v="month"/>
    <s v="Yes"/>
    <d v="2023-07-11T00:00:00"/>
    <n v="4"/>
    <x v="1"/>
    <x v="0"/>
  </r>
  <r>
    <n v="151297084"/>
    <x v="186"/>
    <d v="2023-05-25T00:00:00"/>
    <n v="39"/>
    <s v="month"/>
    <s v="Yes"/>
    <d v="2023-05-25T00:00:00"/>
    <n v="2"/>
    <x v="1"/>
    <x v="0"/>
  </r>
  <r>
    <n v="167010855"/>
    <x v="186"/>
    <d v="2023-06-08T00:00:00"/>
    <n v="39"/>
    <s v="month"/>
    <s v="Yes"/>
    <d v="2023-06-08T00:00:00"/>
    <n v="3"/>
    <x v="1"/>
    <x v="0"/>
  </r>
  <r>
    <n v="206122788"/>
    <x v="186"/>
    <d v="2023-06-16T00:00:00"/>
    <n v="39"/>
    <s v="month"/>
    <s v="Yes"/>
    <d v="2023-06-16T00:00:00"/>
    <n v="3"/>
    <x v="1"/>
    <x v="0"/>
  </r>
  <r>
    <n v="158439764"/>
    <x v="186"/>
    <d v="2023-05-01T00:00:00"/>
    <n v="39"/>
    <s v="month"/>
    <s v="Yes"/>
    <d v="2023-05-01T00:00:00"/>
    <n v="2"/>
    <x v="1"/>
    <x v="0"/>
  </r>
  <r>
    <n v="136723151"/>
    <x v="186"/>
    <d v="2023-04-07T00:00:00"/>
    <n v="39"/>
    <s v="month"/>
    <s v="Yes"/>
    <d v="2023-04-07T00:00:00"/>
    <n v="1"/>
    <x v="1"/>
    <x v="0"/>
  </r>
  <r>
    <n v="205875358"/>
    <x v="186"/>
    <d v="2023-04-22T00:00:00"/>
    <n v="39"/>
    <s v="month"/>
    <s v="Yes"/>
    <d v="2023-04-22T00:00:00"/>
    <n v="1"/>
    <x v="1"/>
    <x v="0"/>
  </r>
  <r>
    <n v="206082900"/>
    <x v="186"/>
    <d v="2023-08-01T00:00:00"/>
    <n v="39"/>
    <s v="month"/>
    <s v="Yes"/>
    <d v="2023-08-01T00:00:00"/>
    <n v="5"/>
    <x v="0"/>
    <x v="0"/>
  </r>
  <r>
    <n v="206139451"/>
    <x v="187"/>
    <m/>
    <n v="39"/>
    <s v="month"/>
    <s v="Yes"/>
    <d v="2023-09-30T00:00:00"/>
    <n v="6"/>
    <x v="0"/>
    <x v="0"/>
  </r>
  <r>
    <n v="206196328"/>
    <x v="187"/>
    <m/>
    <n v="39"/>
    <s v="month"/>
    <s v="Yes"/>
    <d v="2023-09-30T00:00:00"/>
    <n v="6"/>
    <x v="0"/>
    <x v="0"/>
  </r>
  <r>
    <n v="201122030"/>
    <x v="187"/>
    <d v="2023-06-05T00:00:00"/>
    <n v="39"/>
    <s v="month"/>
    <s v="Yes"/>
    <d v="2023-06-05T00:00:00"/>
    <n v="3"/>
    <x v="1"/>
    <x v="0"/>
  </r>
  <r>
    <n v="156218152"/>
    <x v="187"/>
    <d v="2023-06-09T00:00:00"/>
    <n v="39"/>
    <s v="month"/>
    <s v="Yes"/>
    <d v="2023-06-09T00:00:00"/>
    <n v="3"/>
    <x v="1"/>
    <x v="0"/>
  </r>
  <r>
    <n v="162718092"/>
    <x v="187"/>
    <d v="2023-05-10T00:00:00"/>
    <n v="39"/>
    <s v="month"/>
    <s v="Yes"/>
    <d v="2023-05-10T00:00:00"/>
    <n v="2"/>
    <x v="1"/>
    <x v="0"/>
  </r>
  <r>
    <n v="174606946"/>
    <x v="187"/>
    <d v="2023-05-09T00:00:00"/>
    <n v="39"/>
    <s v="month"/>
    <s v="Yes"/>
    <d v="2023-05-09T00:00:00"/>
    <n v="2"/>
    <x v="1"/>
    <x v="0"/>
  </r>
  <r>
    <n v="206159331"/>
    <x v="187"/>
    <d v="2023-03-25T00:00:00"/>
    <n v="39"/>
    <s v="month"/>
    <s v="Yes"/>
    <d v="2023-03-25T00:00:00"/>
    <n v="0"/>
    <x v="1"/>
    <x v="1"/>
  </r>
  <r>
    <n v="206272716"/>
    <x v="188"/>
    <m/>
    <n v="39"/>
    <s v="month"/>
    <s v="Yes"/>
    <d v="2023-09-30T00:00:00"/>
    <n v="6"/>
    <x v="0"/>
    <x v="0"/>
  </r>
  <r>
    <n v="138104184"/>
    <x v="188"/>
    <d v="2023-09-07T00:00:00"/>
    <n v="39"/>
    <s v="month"/>
    <s v="Yes"/>
    <d v="2023-09-07T00:00:00"/>
    <n v="6"/>
    <x v="0"/>
    <x v="0"/>
  </r>
  <r>
    <n v="168264884"/>
    <x v="188"/>
    <d v="2023-05-10T00:00:00"/>
    <n v="39"/>
    <s v="month"/>
    <s v="Yes"/>
    <d v="2023-05-10T00:00:00"/>
    <n v="2"/>
    <x v="1"/>
    <x v="0"/>
  </r>
  <r>
    <n v="153200640"/>
    <x v="188"/>
    <d v="2023-04-12T00:00:00"/>
    <n v="39"/>
    <s v="month"/>
    <s v="Yes"/>
    <d v="2023-04-12T00:00:00"/>
    <n v="1"/>
    <x v="1"/>
    <x v="0"/>
  </r>
  <r>
    <n v="206251362"/>
    <x v="188"/>
    <d v="2023-04-18T00:00:00"/>
    <n v="39"/>
    <s v="month"/>
    <s v="Yes"/>
    <d v="2023-04-18T00:00:00"/>
    <n v="1"/>
    <x v="1"/>
    <x v="0"/>
  </r>
  <r>
    <n v="192386902"/>
    <x v="188"/>
    <d v="2023-04-18T00:00:00"/>
    <n v="39"/>
    <s v="month"/>
    <s v="Yes"/>
    <d v="2023-04-18T00:00:00"/>
    <n v="1"/>
    <x v="1"/>
    <x v="0"/>
  </r>
  <r>
    <n v="205851263"/>
    <x v="188"/>
    <d v="2023-03-14T00:00:00"/>
    <n v="39"/>
    <s v="month"/>
    <s v="Yes"/>
    <d v="2023-03-14T00:00:00"/>
    <n v="0"/>
    <x v="1"/>
    <x v="1"/>
  </r>
  <r>
    <n v="197873706"/>
    <x v="189"/>
    <d v="2023-08-12T00:00:00"/>
    <n v="39"/>
    <s v="month"/>
    <s v="Yes"/>
    <d v="2023-08-12T00:00:00"/>
    <n v="5"/>
    <x v="0"/>
    <x v="0"/>
  </r>
  <r>
    <n v="206284048"/>
    <x v="189"/>
    <d v="2023-03-18T00:00:00"/>
    <n v="39"/>
    <s v="month"/>
    <s v="Yes"/>
    <d v="2023-03-18T00:00:00"/>
    <n v="0"/>
    <x v="1"/>
    <x v="1"/>
  </r>
  <r>
    <n v="149761545"/>
    <x v="189"/>
    <d v="2023-07-24T00:00:00"/>
    <n v="39"/>
    <s v="month"/>
    <s v="Yes"/>
    <d v="2023-07-24T00:00:00"/>
    <n v="4"/>
    <x v="1"/>
    <x v="0"/>
  </r>
  <r>
    <n v="155010717"/>
    <x v="190"/>
    <d v="2023-05-31T00:00:00"/>
    <n v="39"/>
    <s v="month"/>
    <s v="Yes"/>
    <d v="2023-05-31T00:00:00"/>
    <n v="2"/>
    <x v="1"/>
    <x v="0"/>
  </r>
  <r>
    <n v="151407531"/>
    <x v="190"/>
    <d v="2023-04-12T00:00:00"/>
    <n v="39"/>
    <s v="month"/>
    <s v="Yes"/>
    <d v="2023-04-12T00:00:00"/>
    <n v="1"/>
    <x v="1"/>
    <x v="0"/>
  </r>
  <r>
    <n v="206407796"/>
    <x v="190"/>
    <d v="2023-05-12T00:00:00"/>
    <n v="39"/>
    <s v="month"/>
    <s v="Yes"/>
    <d v="2023-05-12T00:00:00"/>
    <n v="2"/>
    <x v="1"/>
    <x v="0"/>
  </r>
  <r>
    <n v="206247835"/>
    <x v="190"/>
    <d v="2023-05-25T00:00:00"/>
    <n v="39"/>
    <s v="month"/>
    <s v="Yes"/>
    <d v="2023-05-25T00:00:00"/>
    <n v="2"/>
    <x v="1"/>
    <x v="0"/>
  </r>
  <r>
    <n v="206382927"/>
    <x v="190"/>
    <d v="2023-05-24T00:00:00"/>
    <n v="39"/>
    <s v="month"/>
    <s v="Yes"/>
    <d v="2023-05-24T00:00:00"/>
    <n v="2"/>
    <x v="1"/>
    <x v="0"/>
  </r>
  <r>
    <n v="206147500"/>
    <x v="190"/>
    <d v="2023-05-18T00:00:00"/>
    <n v="39"/>
    <s v="month"/>
    <s v="Yes"/>
    <d v="2023-05-18T00:00:00"/>
    <n v="2"/>
    <x v="1"/>
    <x v="0"/>
  </r>
  <r>
    <n v="206330714"/>
    <x v="190"/>
    <d v="2023-04-07T00:00:00"/>
    <n v="39"/>
    <s v="month"/>
    <s v="Yes"/>
    <d v="2023-04-07T00:00:00"/>
    <n v="1"/>
    <x v="1"/>
    <x v="0"/>
  </r>
  <r>
    <n v="206121650"/>
    <x v="190"/>
    <d v="2023-04-09T00:00:00"/>
    <n v="39"/>
    <s v="month"/>
    <s v="Yes"/>
    <d v="2023-04-09T00:00:00"/>
    <n v="1"/>
    <x v="1"/>
    <x v="0"/>
  </r>
  <r>
    <n v="182504578"/>
    <x v="190"/>
    <d v="2023-04-20T00:00:00"/>
    <n v="39"/>
    <s v="month"/>
    <s v="Yes"/>
    <d v="2023-04-20T00:00:00"/>
    <n v="1"/>
    <x v="1"/>
    <x v="0"/>
  </r>
  <r>
    <n v="204362311"/>
    <x v="190"/>
    <d v="2023-06-14T00:00:00"/>
    <n v="39"/>
    <s v="month"/>
    <s v="Yes"/>
    <d v="2023-06-14T00:00:00"/>
    <n v="3"/>
    <x v="1"/>
    <x v="0"/>
  </r>
  <r>
    <n v="206504573"/>
    <x v="191"/>
    <m/>
    <n v="39"/>
    <s v="month"/>
    <s v="Yes"/>
    <d v="2023-09-30T00:00:00"/>
    <n v="6"/>
    <x v="0"/>
    <x v="0"/>
  </r>
  <r>
    <n v="206490851"/>
    <x v="191"/>
    <m/>
    <n v="39"/>
    <s v="month"/>
    <s v="Yes"/>
    <d v="2023-09-30T00:00:00"/>
    <n v="6"/>
    <x v="0"/>
    <x v="0"/>
  </r>
  <r>
    <n v="206468868"/>
    <x v="191"/>
    <m/>
    <n v="39"/>
    <s v="month"/>
    <s v="Yes"/>
    <d v="2023-09-30T00:00:00"/>
    <n v="6"/>
    <x v="0"/>
    <x v="0"/>
  </r>
  <r>
    <n v="206316124"/>
    <x v="191"/>
    <m/>
    <n v="39"/>
    <s v="month"/>
    <s v="Yes"/>
    <d v="2023-09-30T00:00:00"/>
    <n v="6"/>
    <x v="0"/>
    <x v="0"/>
  </r>
  <r>
    <n v="203404034"/>
    <x v="191"/>
    <d v="2023-06-22T00:00:00"/>
    <n v="39"/>
    <s v="month"/>
    <s v="Yes"/>
    <d v="2023-06-22T00:00:00"/>
    <n v="3"/>
    <x v="1"/>
    <x v="0"/>
  </r>
  <r>
    <n v="206284545"/>
    <x v="191"/>
    <d v="2023-06-03T00:00:00"/>
    <n v="39"/>
    <s v="month"/>
    <s v="Yes"/>
    <d v="2023-06-03T00:00:00"/>
    <n v="3"/>
    <x v="1"/>
    <x v="0"/>
  </r>
  <r>
    <n v="206470657"/>
    <x v="191"/>
    <d v="2023-05-03T00:00:00"/>
    <n v="39"/>
    <s v="month"/>
    <s v="Yes"/>
    <d v="2023-05-03T00:00:00"/>
    <n v="2"/>
    <x v="1"/>
    <x v="0"/>
  </r>
  <r>
    <n v="206458744"/>
    <x v="191"/>
    <d v="2023-04-24T00:00:00"/>
    <n v="39"/>
    <s v="month"/>
    <s v="Yes"/>
    <d v="2023-04-24T00:00:00"/>
    <n v="1"/>
    <x v="1"/>
    <x v="0"/>
  </r>
  <r>
    <n v="206122814"/>
    <x v="191"/>
    <d v="2023-04-13T00:00:00"/>
    <n v="39"/>
    <s v="month"/>
    <s v="Yes"/>
    <d v="2023-04-13T00:00:00"/>
    <n v="1"/>
    <x v="1"/>
    <x v="0"/>
  </r>
  <r>
    <n v="206549666"/>
    <x v="192"/>
    <m/>
    <n v="39"/>
    <s v="month"/>
    <s v="Yes"/>
    <d v="2023-09-30T00:00:00"/>
    <n v="6"/>
    <x v="0"/>
    <x v="0"/>
  </r>
  <r>
    <n v="133623621"/>
    <x v="192"/>
    <m/>
    <n v="39"/>
    <s v="month"/>
    <s v="Yes"/>
    <d v="2023-09-30T00:00:00"/>
    <n v="6"/>
    <x v="0"/>
    <x v="0"/>
  </r>
  <r>
    <n v="130982816"/>
    <x v="192"/>
    <m/>
    <n v="39"/>
    <s v="month"/>
    <s v="Yes"/>
    <d v="2023-09-30T00:00:00"/>
    <n v="6"/>
    <x v="0"/>
    <x v="0"/>
  </r>
  <r>
    <n v="143776119"/>
    <x v="192"/>
    <d v="2023-08-28T00:00:00"/>
    <n v="39"/>
    <s v="month"/>
    <s v="Yes"/>
    <d v="2023-08-28T00:00:00"/>
    <n v="5"/>
    <x v="0"/>
    <x v="0"/>
  </r>
  <r>
    <n v="206542743"/>
    <x v="192"/>
    <d v="2023-03-16T00:00:00"/>
    <n v="39"/>
    <s v="month"/>
    <s v="No"/>
    <d v="2023-03-16T00:00:00"/>
    <n v="0"/>
    <x v="1"/>
    <x v="1"/>
  </r>
  <r>
    <n v="206158603"/>
    <x v="192"/>
    <d v="2023-03-16T00:00:00"/>
    <n v="39"/>
    <s v="month"/>
    <s v="No"/>
    <d v="2023-03-16T00:00:00"/>
    <n v="0"/>
    <x v="1"/>
    <x v="1"/>
  </r>
  <r>
    <n v="206548046"/>
    <x v="192"/>
    <d v="2023-06-08T00:00:00"/>
    <n v="39"/>
    <s v="month"/>
    <s v="Yes"/>
    <d v="2023-06-08T00:00:00"/>
    <n v="3"/>
    <x v="1"/>
    <x v="0"/>
  </r>
  <r>
    <n v="168464004"/>
    <x v="192"/>
    <d v="2023-06-01T00:00:00"/>
    <n v="39"/>
    <s v="month"/>
    <s v="Yes"/>
    <d v="2023-06-01T00:00:00"/>
    <n v="3"/>
    <x v="1"/>
    <x v="0"/>
  </r>
  <r>
    <n v="146330379"/>
    <x v="192"/>
    <d v="2023-04-19T00:00:00"/>
    <n v="39"/>
    <s v="month"/>
    <s v="Yes"/>
    <d v="2023-04-19T00:00:00"/>
    <n v="1"/>
    <x v="1"/>
    <x v="0"/>
  </r>
  <r>
    <n v="206006946"/>
    <x v="192"/>
    <d v="2023-05-22T00:00:00"/>
    <n v="39"/>
    <s v="month"/>
    <s v="Yes"/>
    <d v="2023-05-22T00:00:00"/>
    <n v="2"/>
    <x v="1"/>
    <x v="0"/>
  </r>
  <r>
    <n v="206531388"/>
    <x v="192"/>
    <d v="2023-04-05T00:00:00"/>
    <n v="39"/>
    <s v="month"/>
    <s v="Yes"/>
    <d v="2023-04-05T00:00:00"/>
    <n v="1"/>
    <x v="1"/>
    <x v="0"/>
  </r>
  <r>
    <n v="206512820"/>
    <x v="192"/>
    <d v="2023-07-12T00:00:00"/>
    <n v="39"/>
    <s v="month"/>
    <s v="Yes"/>
    <d v="2023-07-12T00:00:00"/>
    <n v="4"/>
    <x v="1"/>
    <x v="0"/>
  </r>
  <r>
    <n v="206501414"/>
    <x v="193"/>
    <m/>
    <n v="39"/>
    <s v="month"/>
    <s v="Yes"/>
    <d v="2023-09-30T00:00:00"/>
    <n v="6"/>
    <x v="0"/>
    <x v="0"/>
  </r>
  <r>
    <n v="181175226"/>
    <x v="193"/>
    <d v="2023-03-31T00:00:00"/>
    <n v="39"/>
    <s v="month"/>
    <s v="Yes"/>
    <d v="2023-03-31T00:00:00"/>
    <n v="0"/>
    <x v="1"/>
    <x v="1"/>
  </r>
  <r>
    <n v="148758550"/>
    <x v="194"/>
    <m/>
    <n v="39"/>
    <s v="month"/>
    <s v="Yes"/>
    <d v="2023-09-30T00:00:00"/>
    <n v="6"/>
    <x v="0"/>
    <x v="0"/>
  </r>
  <r>
    <n v="206682036"/>
    <x v="194"/>
    <m/>
    <n v="39"/>
    <s v="month"/>
    <s v="Yes"/>
    <d v="2023-09-30T00:00:00"/>
    <n v="6"/>
    <x v="0"/>
    <x v="0"/>
  </r>
  <r>
    <n v="206149654"/>
    <x v="194"/>
    <m/>
    <n v="39"/>
    <s v="month"/>
    <s v="Yes"/>
    <d v="2023-09-30T00:00:00"/>
    <n v="6"/>
    <x v="0"/>
    <x v="0"/>
  </r>
  <r>
    <n v="206653056"/>
    <x v="194"/>
    <m/>
    <n v="39"/>
    <s v="month"/>
    <s v="Yes"/>
    <d v="2023-09-30T00:00:00"/>
    <n v="6"/>
    <x v="0"/>
    <x v="0"/>
  </r>
  <r>
    <n v="198466025"/>
    <x v="194"/>
    <m/>
    <n v="39"/>
    <s v="month"/>
    <s v="Yes"/>
    <d v="2023-09-30T00:00:00"/>
    <n v="6"/>
    <x v="0"/>
    <x v="0"/>
  </r>
  <r>
    <n v="206685935"/>
    <x v="194"/>
    <d v="2023-03-18T00:00:00"/>
    <n v="39"/>
    <s v="month"/>
    <s v="No"/>
    <d v="2023-03-18T00:00:00"/>
    <n v="0"/>
    <x v="1"/>
    <x v="1"/>
  </r>
  <r>
    <n v="206659390"/>
    <x v="194"/>
    <d v="2023-03-18T00:00:00"/>
    <n v="39"/>
    <s v="month"/>
    <s v="No"/>
    <d v="2023-03-18T00:00:00"/>
    <n v="0"/>
    <x v="1"/>
    <x v="1"/>
  </r>
  <r>
    <n v="206550926"/>
    <x v="194"/>
    <d v="2023-04-17T00:00:00"/>
    <n v="39"/>
    <s v="month"/>
    <s v="Yes"/>
    <d v="2023-04-17T00:00:00"/>
    <n v="1"/>
    <x v="1"/>
    <x v="0"/>
  </r>
  <r>
    <n v="206673590"/>
    <x v="194"/>
    <d v="2023-03-30T00:00:00"/>
    <n v="39"/>
    <s v="month"/>
    <s v="Yes"/>
    <d v="2023-03-30T00:00:00"/>
    <n v="0"/>
    <x v="1"/>
    <x v="1"/>
  </r>
  <r>
    <n v="205593462"/>
    <x v="194"/>
    <d v="2023-08-10T00:00:00"/>
    <n v="39"/>
    <s v="month"/>
    <s v="Yes"/>
    <d v="2023-08-10T00:00:00"/>
    <n v="5"/>
    <x v="0"/>
    <x v="0"/>
  </r>
  <r>
    <n v="205889926"/>
    <x v="195"/>
    <m/>
    <n v="39"/>
    <s v="month"/>
    <s v="Yes"/>
    <d v="2023-09-30T00:00:00"/>
    <n v="6"/>
    <x v="0"/>
    <x v="0"/>
  </r>
  <r>
    <n v="151713121"/>
    <x v="195"/>
    <m/>
    <n v="39"/>
    <s v="month"/>
    <s v="Yes"/>
    <d v="2023-09-30T00:00:00"/>
    <n v="6"/>
    <x v="0"/>
    <x v="0"/>
  </r>
  <r>
    <n v="206759898"/>
    <x v="195"/>
    <d v="2023-03-19T00:00:00"/>
    <n v="39"/>
    <s v="month"/>
    <s v="No"/>
    <d v="2023-03-19T00:00:00"/>
    <n v="0"/>
    <x v="1"/>
    <x v="1"/>
  </r>
  <r>
    <n v="206750792"/>
    <x v="195"/>
    <d v="2023-03-19T00:00:00"/>
    <n v="39"/>
    <s v="month"/>
    <s v="No"/>
    <d v="2023-03-19T00:00:00"/>
    <n v="0"/>
    <x v="1"/>
    <x v="1"/>
  </r>
  <r>
    <n v="206742592"/>
    <x v="195"/>
    <d v="2023-03-19T00:00:00"/>
    <n v="39"/>
    <s v="month"/>
    <s v="No"/>
    <d v="2023-03-19T00:00:00"/>
    <n v="0"/>
    <x v="1"/>
    <x v="1"/>
  </r>
  <r>
    <n v="206700008"/>
    <x v="195"/>
    <d v="2023-03-19T00:00:00"/>
    <n v="39"/>
    <s v="month"/>
    <s v="No"/>
    <d v="2023-03-19T00:00:00"/>
    <n v="0"/>
    <x v="1"/>
    <x v="1"/>
  </r>
  <r>
    <n v="156170916"/>
    <x v="195"/>
    <d v="2023-08-14T00:00:00"/>
    <n v="39"/>
    <s v="month"/>
    <s v="Yes"/>
    <d v="2023-08-14T00:00:00"/>
    <n v="5"/>
    <x v="0"/>
    <x v="0"/>
  </r>
  <r>
    <n v="206607664"/>
    <x v="195"/>
    <d v="2023-04-25T00:00:00"/>
    <n v="39"/>
    <s v="month"/>
    <s v="Yes"/>
    <d v="2023-04-25T00:00:00"/>
    <n v="1"/>
    <x v="1"/>
    <x v="0"/>
  </r>
  <r>
    <n v="183332399"/>
    <x v="196"/>
    <m/>
    <n v="39"/>
    <s v="month"/>
    <s v="Yes"/>
    <d v="2023-09-30T00:00:00"/>
    <n v="6"/>
    <x v="0"/>
    <x v="0"/>
  </r>
  <r>
    <n v="176705210"/>
    <x v="196"/>
    <d v="2023-03-20T00:00:00"/>
    <n v="39"/>
    <s v="month"/>
    <s v="Yes"/>
    <d v="2023-03-20T00:00:00"/>
    <n v="0"/>
    <x v="1"/>
    <x v="1"/>
  </r>
  <r>
    <n v="154901722"/>
    <x v="196"/>
    <d v="2023-03-19T00:00:00"/>
    <n v="39"/>
    <s v="month"/>
    <s v="Yes"/>
    <d v="2023-03-19T00:00:00"/>
    <n v="0"/>
    <x v="1"/>
    <x v="1"/>
  </r>
  <r>
    <n v="153438676"/>
    <x v="196"/>
    <d v="2023-05-26T00:00:00"/>
    <n v="39"/>
    <s v="month"/>
    <s v="Yes"/>
    <d v="2023-05-26T00:00:00"/>
    <n v="2"/>
    <x v="1"/>
    <x v="0"/>
  </r>
  <r>
    <n v="154901722"/>
    <x v="196"/>
    <d v="2023-05-04T00:00:00"/>
    <n v="39"/>
    <s v="month"/>
    <s v="Yes"/>
    <d v="2023-05-04T00:00:00"/>
    <n v="2"/>
    <x v="1"/>
    <x v="0"/>
  </r>
  <r>
    <n v="123768696"/>
    <x v="196"/>
    <d v="2023-04-11T00:00:00"/>
    <n v="39"/>
    <s v="month"/>
    <s v="Yes"/>
    <d v="2023-04-11T00:00:00"/>
    <n v="1"/>
    <x v="1"/>
    <x v="0"/>
  </r>
  <r>
    <n v="142976081"/>
    <x v="196"/>
    <d v="2023-04-19T00:00:00"/>
    <n v="39"/>
    <s v="month"/>
    <s v="Yes"/>
    <d v="2023-04-19T00:00:00"/>
    <n v="1"/>
    <x v="1"/>
    <x v="0"/>
  </r>
  <r>
    <n v="152223051"/>
    <x v="197"/>
    <m/>
    <n v="39"/>
    <s v="month"/>
    <s v="Yes"/>
    <d v="2023-09-30T00:00:00"/>
    <n v="6"/>
    <x v="0"/>
    <x v="0"/>
  </r>
  <r>
    <n v="206865174"/>
    <x v="197"/>
    <m/>
    <n v="39"/>
    <s v="month"/>
    <s v="Yes"/>
    <d v="2023-09-30T00:00:00"/>
    <n v="6"/>
    <x v="0"/>
    <x v="0"/>
  </r>
  <r>
    <n v="143327052"/>
    <x v="197"/>
    <m/>
    <n v="39"/>
    <s v="month"/>
    <s v="Yes"/>
    <d v="2023-09-30T00:00:00"/>
    <n v="6"/>
    <x v="0"/>
    <x v="0"/>
  </r>
  <r>
    <n v="202270426"/>
    <x v="197"/>
    <d v="2023-03-21T00:00:00"/>
    <n v="39"/>
    <s v="month"/>
    <s v="Yes"/>
    <d v="2023-03-21T00:00:00"/>
    <n v="0"/>
    <x v="1"/>
    <x v="1"/>
  </r>
  <r>
    <n v="185602413"/>
    <x v="197"/>
    <d v="2023-06-27T00:00:00"/>
    <n v="39"/>
    <s v="month"/>
    <s v="Yes"/>
    <d v="2023-06-27T00:00:00"/>
    <n v="3"/>
    <x v="1"/>
    <x v="0"/>
  </r>
  <r>
    <n v="206679618"/>
    <x v="197"/>
    <d v="2023-05-01T00:00:00"/>
    <n v="39"/>
    <s v="month"/>
    <s v="Yes"/>
    <d v="2023-05-01T00:00:00"/>
    <n v="2"/>
    <x v="1"/>
    <x v="0"/>
  </r>
  <r>
    <n v="127561439"/>
    <x v="197"/>
    <d v="2023-04-19T00:00:00"/>
    <n v="39"/>
    <s v="month"/>
    <s v="Yes"/>
    <d v="2023-04-19T00:00:00"/>
    <n v="1"/>
    <x v="1"/>
    <x v="0"/>
  </r>
  <r>
    <n v="176705210"/>
    <x v="197"/>
    <d v="2023-03-20T00:00:00"/>
    <n v="39"/>
    <s v="month"/>
    <s v="Yes"/>
    <d v="2023-03-20T00:00:00"/>
    <n v="0"/>
    <x v="1"/>
    <x v="1"/>
  </r>
  <r>
    <n v="206693452"/>
    <x v="198"/>
    <m/>
    <n v="39"/>
    <s v="month"/>
    <s v="Yes"/>
    <d v="2023-09-30T00:00:00"/>
    <n v="6"/>
    <x v="0"/>
    <x v="0"/>
  </r>
  <r>
    <n v="193499084"/>
    <x v="198"/>
    <m/>
    <n v="39"/>
    <s v="month"/>
    <s v="Yes"/>
    <d v="2023-09-30T00:00:00"/>
    <n v="6"/>
    <x v="0"/>
    <x v="0"/>
  </r>
  <r>
    <n v="206995576"/>
    <x v="198"/>
    <d v="2023-08-25T00:00:00"/>
    <n v="39"/>
    <s v="month"/>
    <s v="Yes"/>
    <d v="2023-08-25T00:00:00"/>
    <n v="5"/>
    <x v="0"/>
    <x v="0"/>
  </r>
  <r>
    <n v="154783053"/>
    <x v="198"/>
    <d v="2023-05-04T00:00:00"/>
    <n v="39"/>
    <s v="month"/>
    <s v="Yes"/>
    <d v="2023-05-04T00:00:00"/>
    <n v="2"/>
    <x v="1"/>
    <x v="0"/>
  </r>
  <r>
    <n v="158349405"/>
    <x v="198"/>
    <d v="2023-08-16T00:00:00"/>
    <n v="39"/>
    <s v="month"/>
    <s v="Yes"/>
    <d v="2023-08-16T00:00:00"/>
    <n v="5"/>
    <x v="0"/>
    <x v="0"/>
  </r>
  <r>
    <n v="205554002"/>
    <x v="198"/>
    <d v="2023-08-15T00:00:00"/>
    <n v="39"/>
    <s v="month"/>
    <s v="Yes"/>
    <d v="2023-08-15T00:00:00"/>
    <n v="5"/>
    <x v="0"/>
    <x v="0"/>
  </r>
  <r>
    <n v="207045565"/>
    <x v="199"/>
    <m/>
    <n v="39"/>
    <s v="month"/>
    <s v="Yes"/>
    <d v="2023-09-30T00:00:00"/>
    <n v="6"/>
    <x v="0"/>
    <x v="0"/>
  </r>
  <r>
    <n v="205483607"/>
    <x v="199"/>
    <m/>
    <n v="39"/>
    <s v="month"/>
    <s v="Yes"/>
    <d v="2023-09-30T00:00:00"/>
    <n v="6"/>
    <x v="0"/>
    <x v="0"/>
  </r>
  <r>
    <n v="147662374"/>
    <x v="199"/>
    <m/>
    <n v="39"/>
    <s v="month"/>
    <s v="Yes"/>
    <d v="2023-09-30T00:00:00"/>
    <n v="6"/>
    <x v="0"/>
    <x v="0"/>
  </r>
  <r>
    <n v="150652956"/>
    <x v="199"/>
    <d v="2023-04-11T00:00:00"/>
    <n v="39"/>
    <s v="month"/>
    <s v="Yes"/>
    <d v="2023-04-11T00:00:00"/>
    <n v="1"/>
    <x v="1"/>
    <x v="0"/>
  </r>
  <r>
    <n v="206527656"/>
    <x v="199"/>
    <d v="2023-06-08T00:00:00"/>
    <n v="39"/>
    <s v="month"/>
    <s v="Yes"/>
    <d v="2023-06-08T00:00:00"/>
    <n v="3"/>
    <x v="1"/>
    <x v="0"/>
  </r>
  <r>
    <n v="207041353"/>
    <x v="199"/>
    <d v="2023-05-19T00:00:00"/>
    <n v="39"/>
    <s v="month"/>
    <s v="Yes"/>
    <d v="2023-05-19T00:00:00"/>
    <n v="2"/>
    <x v="1"/>
    <x v="0"/>
  </r>
  <r>
    <n v="204448911"/>
    <x v="199"/>
    <d v="2023-04-21T00:00:00"/>
    <n v="39"/>
    <s v="month"/>
    <s v="Yes"/>
    <d v="2023-04-21T00:00:00"/>
    <n v="1"/>
    <x v="1"/>
    <x v="0"/>
  </r>
  <r>
    <n v="206951785"/>
    <x v="199"/>
    <d v="2023-04-20T00:00:00"/>
    <n v="39"/>
    <s v="month"/>
    <s v="Yes"/>
    <d v="2023-04-20T00:00:00"/>
    <n v="1"/>
    <x v="1"/>
    <x v="0"/>
  </r>
  <r>
    <n v="206892555"/>
    <x v="199"/>
    <d v="2023-03-24T00:00:00"/>
    <n v="39"/>
    <s v="month"/>
    <s v="Yes"/>
    <d v="2023-03-24T00:00:00"/>
    <n v="0"/>
    <x v="1"/>
    <x v="1"/>
  </r>
  <r>
    <n v="207051401"/>
    <x v="200"/>
    <m/>
    <n v="39"/>
    <s v="month"/>
    <s v="Yes"/>
    <d v="2023-09-30T00:00:00"/>
    <n v="6"/>
    <x v="0"/>
    <x v="0"/>
  </r>
  <r>
    <n v="206904848"/>
    <x v="200"/>
    <m/>
    <n v="39"/>
    <s v="month"/>
    <s v="Yes"/>
    <d v="2023-09-30T00:00:00"/>
    <n v="6"/>
    <x v="0"/>
    <x v="0"/>
  </r>
  <r>
    <n v="204598188"/>
    <x v="200"/>
    <d v="2023-08-31T00:00:00"/>
    <n v="39"/>
    <s v="month"/>
    <s v="Yes"/>
    <d v="2023-08-31T00:00:00"/>
    <n v="5"/>
    <x v="0"/>
    <x v="0"/>
  </r>
  <r>
    <n v="206447228"/>
    <x v="200"/>
    <d v="2023-05-26T00:00:00"/>
    <n v="39"/>
    <s v="month"/>
    <s v="Yes"/>
    <d v="2023-05-26T00:00:00"/>
    <n v="2"/>
    <x v="1"/>
    <x v="0"/>
  </r>
  <r>
    <n v="206190599"/>
    <x v="200"/>
    <d v="2023-05-11T00:00:00"/>
    <n v="39"/>
    <s v="month"/>
    <s v="Yes"/>
    <d v="2023-05-11T00:00:00"/>
    <n v="2"/>
    <x v="1"/>
    <x v="0"/>
  </r>
  <r>
    <n v="207014740"/>
    <x v="200"/>
    <d v="2023-04-07T00:00:00"/>
    <n v="39"/>
    <s v="month"/>
    <s v="Yes"/>
    <d v="2023-04-07T00:00:00"/>
    <n v="1"/>
    <x v="1"/>
    <x v="0"/>
  </r>
  <r>
    <n v="156762690"/>
    <x v="200"/>
    <d v="2023-04-21T00:00:00"/>
    <n v="39"/>
    <s v="month"/>
    <s v="Yes"/>
    <d v="2023-04-21T00:00:00"/>
    <n v="1"/>
    <x v="1"/>
    <x v="0"/>
  </r>
  <r>
    <n v="207116463"/>
    <x v="200"/>
    <d v="2023-04-21T00:00:00"/>
    <n v="39"/>
    <s v="month"/>
    <s v="Yes"/>
    <d v="2023-04-21T00:00:00"/>
    <n v="1"/>
    <x v="1"/>
    <x v="0"/>
  </r>
  <r>
    <n v="206555111"/>
    <x v="200"/>
    <d v="2023-04-17T00:00:00"/>
    <n v="39"/>
    <s v="month"/>
    <s v="Yes"/>
    <d v="2023-04-17T00:00:00"/>
    <n v="1"/>
    <x v="1"/>
    <x v="0"/>
  </r>
  <r>
    <n v="169543155"/>
    <x v="200"/>
    <d v="2023-04-30T00:00:00"/>
    <n v="39"/>
    <s v="month"/>
    <s v="Yes"/>
    <d v="2023-04-30T00:00:00"/>
    <n v="1"/>
    <x v="1"/>
    <x v="0"/>
  </r>
  <r>
    <n v="202270426"/>
    <x v="200"/>
    <d v="2023-04-30T00:00:00"/>
    <n v="39"/>
    <s v="month"/>
    <s v="Yes"/>
    <d v="2023-04-30T00:00:00"/>
    <n v="1"/>
    <x v="1"/>
    <x v="0"/>
  </r>
  <r>
    <n v="207005361"/>
    <x v="200"/>
    <d v="2023-07-11T00:00:00"/>
    <n v="39"/>
    <s v="month"/>
    <s v="Yes"/>
    <d v="2023-07-11T00:00:00"/>
    <n v="4"/>
    <x v="1"/>
    <x v="0"/>
  </r>
  <r>
    <n v="206105763"/>
    <x v="201"/>
    <m/>
    <n v="39"/>
    <s v="month"/>
    <s v="Yes"/>
    <d v="2023-09-30T00:00:00"/>
    <n v="6"/>
    <x v="0"/>
    <x v="0"/>
  </r>
  <r>
    <n v="198968224"/>
    <x v="201"/>
    <m/>
    <n v="39"/>
    <s v="month"/>
    <s v="Yes"/>
    <d v="2023-09-30T00:00:00"/>
    <n v="6"/>
    <x v="0"/>
    <x v="0"/>
  </r>
  <r>
    <n v="205342230"/>
    <x v="201"/>
    <m/>
    <n v="39"/>
    <s v="month"/>
    <s v="Yes"/>
    <d v="2023-09-30T00:00:00"/>
    <n v="6"/>
    <x v="0"/>
    <x v="0"/>
  </r>
  <r>
    <n v="207224044"/>
    <x v="201"/>
    <m/>
    <n v="39"/>
    <s v="month"/>
    <s v="Yes"/>
    <d v="2023-09-30T00:00:00"/>
    <n v="6"/>
    <x v="0"/>
    <x v="0"/>
  </r>
  <r>
    <n v="174232231"/>
    <x v="201"/>
    <m/>
    <n v="39"/>
    <s v="month"/>
    <s v="Yes"/>
    <d v="2023-09-30T00:00:00"/>
    <n v="6"/>
    <x v="0"/>
    <x v="0"/>
  </r>
  <r>
    <n v="207017124"/>
    <x v="201"/>
    <d v="2023-03-24T00:00:00"/>
    <n v="39"/>
    <s v="month"/>
    <s v="No"/>
    <d v="2023-03-24T00:00:00"/>
    <n v="0"/>
    <x v="1"/>
    <x v="1"/>
  </r>
  <r>
    <n v="194006146"/>
    <x v="201"/>
    <d v="2023-06-16T00:00:00"/>
    <n v="39"/>
    <s v="month"/>
    <s v="Yes"/>
    <d v="2023-06-16T00:00:00"/>
    <n v="3"/>
    <x v="1"/>
    <x v="0"/>
  </r>
  <r>
    <n v="150509580"/>
    <x v="201"/>
    <d v="2023-06-09T00:00:00"/>
    <n v="39"/>
    <s v="month"/>
    <s v="Yes"/>
    <d v="2023-06-09T00:00:00"/>
    <n v="3"/>
    <x v="1"/>
    <x v="0"/>
  </r>
  <r>
    <n v="207120479"/>
    <x v="201"/>
    <d v="2023-05-30T00:00:00"/>
    <n v="39"/>
    <s v="month"/>
    <s v="Yes"/>
    <d v="2023-05-30T00:00:00"/>
    <n v="2"/>
    <x v="1"/>
    <x v="0"/>
  </r>
  <r>
    <n v="162069198"/>
    <x v="201"/>
    <d v="2023-04-23T00:00:00"/>
    <n v="39"/>
    <s v="month"/>
    <s v="Yes"/>
    <d v="2023-04-23T00:00:00"/>
    <n v="1"/>
    <x v="1"/>
    <x v="0"/>
  </r>
  <r>
    <n v="206742272"/>
    <x v="201"/>
    <d v="2023-04-28T00:00:00"/>
    <n v="39"/>
    <s v="month"/>
    <s v="Yes"/>
    <d v="2023-04-28T00:00:00"/>
    <n v="1"/>
    <x v="1"/>
    <x v="0"/>
  </r>
  <r>
    <n v="207433836"/>
    <x v="202"/>
    <m/>
    <n v="39"/>
    <s v="month"/>
    <s v="Yes"/>
    <d v="2023-09-30T00:00:00"/>
    <n v="6"/>
    <x v="0"/>
    <x v="0"/>
  </r>
  <r>
    <n v="207382183"/>
    <x v="202"/>
    <m/>
    <n v="39"/>
    <s v="month"/>
    <s v="Yes"/>
    <d v="2023-09-30T00:00:00"/>
    <n v="6"/>
    <x v="0"/>
    <x v="0"/>
  </r>
  <r>
    <n v="205051942"/>
    <x v="202"/>
    <m/>
    <n v="39"/>
    <s v="month"/>
    <s v="Yes"/>
    <d v="2023-09-30T00:00:00"/>
    <n v="6"/>
    <x v="0"/>
    <x v="0"/>
  </r>
  <r>
    <n v="132631414"/>
    <x v="202"/>
    <d v="2023-07-02T00:00:00"/>
    <n v="39"/>
    <s v="month"/>
    <s v="Yes"/>
    <d v="2023-07-02T00:00:00"/>
    <n v="4"/>
    <x v="1"/>
    <x v="0"/>
  </r>
  <r>
    <n v="207529664"/>
    <x v="202"/>
    <d v="2023-03-31T00:00:00"/>
    <n v="39"/>
    <s v="month"/>
    <s v="Yes"/>
    <d v="2023-03-31T00:00:00"/>
    <n v="0"/>
    <x v="1"/>
    <x v="1"/>
  </r>
  <r>
    <n v="207022940"/>
    <x v="202"/>
    <d v="2023-07-10T00:00:00"/>
    <n v="39"/>
    <s v="month"/>
    <s v="Yes"/>
    <d v="2023-07-10T00:00:00"/>
    <n v="4"/>
    <x v="1"/>
    <x v="0"/>
  </r>
  <r>
    <n v="207388337"/>
    <x v="202"/>
    <d v="2023-08-03T00:00:00"/>
    <n v="39"/>
    <s v="month"/>
    <s v="Yes"/>
    <d v="2023-08-03T00:00:00"/>
    <n v="5"/>
    <x v="0"/>
    <x v="0"/>
  </r>
  <r>
    <n v="205883858"/>
    <x v="203"/>
    <m/>
    <n v="39"/>
    <s v="month"/>
    <s v="Yes"/>
    <d v="2023-09-30T00:00:00"/>
    <n v="6"/>
    <x v="0"/>
    <x v="0"/>
  </r>
  <r>
    <n v="173711359"/>
    <x v="203"/>
    <d v="2023-06-10T00:00:00"/>
    <n v="39"/>
    <s v="month"/>
    <s v="Yes"/>
    <d v="2023-06-10T00:00:00"/>
    <n v="3"/>
    <x v="1"/>
    <x v="0"/>
  </r>
  <r>
    <n v="207078726"/>
    <x v="203"/>
    <d v="2023-06-13T00:00:00"/>
    <n v="39"/>
    <s v="month"/>
    <s v="Yes"/>
    <d v="2023-06-13T00:00:00"/>
    <n v="3"/>
    <x v="1"/>
    <x v="0"/>
  </r>
  <r>
    <n v="207415911"/>
    <x v="203"/>
    <d v="2023-05-31T00:00:00"/>
    <n v="39"/>
    <s v="month"/>
    <s v="Yes"/>
    <d v="2023-05-31T00:00:00"/>
    <n v="2"/>
    <x v="1"/>
    <x v="0"/>
  </r>
  <r>
    <n v="207391012"/>
    <x v="203"/>
    <d v="2023-04-06T00:00:00"/>
    <n v="39"/>
    <s v="month"/>
    <s v="Yes"/>
    <d v="2023-04-06T00:00:00"/>
    <n v="1"/>
    <x v="1"/>
    <x v="0"/>
  </r>
  <r>
    <n v="207699946"/>
    <x v="203"/>
    <d v="2023-04-24T00:00:00"/>
    <n v="39"/>
    <s v="month"/>
    <s v="Yes"/>
    <d v="2023-04-24T00:00:00"/>
    <n v="1"/>
    <x v="1"/>
    <x v="0"/>
  </r>
  <r>
    <n v="207665488"/>
    <x v="203"/>
    <d v="2023-03-26T00:00:00"/>
    <n v="39"/>
    <s v="month"/>
    <s v="Yes"/>
    <d v="2023-03-26T00:00:00"/>
    <n v="0"/>
    <x v="1"/>
    <x v="1"/>
  </r>
  <r>
    <n v="207742153"/>
    <x v="203"/>
    <d v="2023-07-07T00:00:00"/>
    <n v="39"/>
    <s v="month"/>
    <s v="Yes"/>
    <d v="2023-07-07T00:00:00"/>
    <n v="4"/>
    <x v="1"/>
    <x v="0"/>
  </r>
  <r>
    <n v="207288677"/>
    <x v="204"/>
    <m/>
    <n v="39"/>
    <s v="month"/>
    <s v="Yes"/>
    <d v="2023-09-30T00:00:00"/>
    <n v="6"/>
    <x v="0"/>
    <x v="0"/>
  </r>
  <r>
    <n v="208151007"/>
    <x v="204"/>
    <m/>
    <n v="39"/>
    <s v="month"/>
    <s v="Yes"/>
    <d v="2023-09-30T00:00:00"/>
    <n v="6"/>
    <x v="0"/>
    <x v="0"/>
  </r>
  <r>
    <n v="207218336"/>
    <x v="204"/>
    <m/>
    <n v="39"/>
    <s v="month"/>
    <s v="Yes"/>
    <d v="2023-09-30T00:00:00"/>
    <n v="6"/>
    <x v="0"/>
    <x v="0"/>
  </r>
  <r>
    <n v="208105889"/>
    <x v="204"/>
    <m/>
    <n v="39"/>
    <s v="month"/>
    <s v="Yes"/>
    <d v="2023-09-30T00:00:00"/>
    <n v="6"/>
    <x v="0"/>
    <x v="0"/>
  </r>
  <r>
    <n v="152221925"/>
    <x v="204"/>
    <d v="2023-06-19T00:00:00"/>
    <n v="39"/>
    <s v="month"/>
    <s v="Yes"/>
    <d v="2023-06-19T00:00:00"/>
    <n v="3"/>
    <x v="1"/>
    <x v="0"/>
  </r>
  <r>
    <n v="207090754"/>
    <x v="204"/>
    <d v="2023-06-01T00:00:00"/>
    <n v="39"/>
    <s v="month"/>
    <s v="Yes"/>
    <d v="2023-06-01T00:00:00"/>
    <n v="3"/>
    <x v="1"/>
    <x v="0"/>
  </r>
  <r>
    <n v="128283235"/>
    <x v="204"/>
    <d v="2023-07-27T00:00:00"/>
    <n v="39"/>
    <s v="month"/>
    <s v="Yes"/>
    <d v="2023-07-27T00:00:00"/>
    <n v="4"/>
    <x v="1"/>
    <x v="0"/>
  </r>
  <r>
    <n v="206686106"/>
    <x v="204"/>
    <d v="2023-05-04T00:00:00"/>
    <n v="39"/>
    <s v="month"/>
    <s v="Yes"/>
    <d v="2023-05-04T00:00:00"/>
    <n v="2"/>
    <x v="1"/>
    <x v="0"/>
  </r>
  <r>
    <n v="208090380"/>
    <x v="204"/>
    <d v="2023-04-10T00:00:00"/>
    <n v="39"/>
    <s v="month"/>
    <s v="Yes"/>
    <d v="2023-04-10T00:00:00"/>
    <n v="1"/>
    <x v="1"/>
    <x v="0"/>
  </r>
  <r>
    <n v="153281230"/>
    <x v="204"/>
    <d v="2023-04-17T00:00:00"/>
    <n v="39"/>
    <s v="month"/>
    <s v="Yes"/>
    <d v="2023-04-17T00:00:00"/>
    <n v="1"/>
    <x v="1"/>
    <x v="0"/>
  </r>
  <r>
    <n v="205049710"/>
    <x v="204"/>
    <d v="2023-03-28T00:00:00"/>
    <n v="39"/>
    <s v="month"/>
    <s v="Yes"/>
    <d v="2023-03-28T00:00:00"/>
    <n v="0"/>
    <x v="1"/>
    <x v="1"/>
  </r>
  <r>
    <n v="208618235"/>
    <x v="205"/>
    <m/>
    <n v="39"/>
    <s v="month"/>
    <s v="Yes"/>
    <d v="2023-09-30T00:00:00"/>
    <n v="6"/>
    <x v="0"/>
    <x v="0"/>
  </r>
  <r>
    <n v="167713351"/>
    <x v="205"/>
    <m/>
    <n v="39"/>
    <s v="month"/>
    <s v="Yes"/>
    <d v="2023-09-30T00:00:00"/>
    <n v="6"/>
    <x v="0"/>
    <x v="0"/>
  </r>
  <r>
    <n v="149975492"/>
    <x v="205"/>
    <m/>
    <n v="39"/>
    <s v="month"/>
    <s v="Yes"/>
    <d v="2023-09-30T00:00:00"/>
    <n v="6"/>
    <x v="0"/>
    <x v="0"/>
  </r>
  <r>
    <n v="208286745"/>
    <x v="205"/>
    <m/>
    <n v="39"/>
    <s v="month"/>
    <s v="Yes"/>
    <d v="2023-09-30T00:00:00"/>
    <n v="6"/>
    <x v="0"/>
    <x v="0"/>
  </r>
  <r>
    <n v="208473540"/>
    <x v="205"/>
    <d v="2023-03-28T00:00:00"/>
    <n v="39"/>
    <s v="month"/>
    <s v="Yes"/>
    <d v="2023-03-28T00:00:00"/>
    <n v="0"/>
    <x v="1"/>
    <x v="1"/>
  </r>
  <r>
    <n v="137721176"/>
    <x v="205"/>
    <d v="2023-07-31T00:00:00"/>
    <n v="39"/>
    <s v="month"/>
    <s v="Yes"/>
    <d v="2023-07-31T00:00:00"/>
    <n v="4"/>
    <x v="1"/>
    <x v="0"/>
  </r>
  <r>
    <n v="140062581"/>
    <x v="205"/>
    <d v="2023-05-13T00:00:00"/>
    <n v="39"/>
    <s v="month"/>
    <s v="Yes"/>
    <d v="2023-05-13T00:00:00"/>
    <n v="2"/>
    <x v="1"/>
    <x v="0"/>
  </r>
  <r>
    <n v="208488674"/>
    <x v="205"/>
    <d v="2023-06-01T00:00:00"/>
    <n v="39"/>
    <s v="month"/>
    <s v="Yes"/>
    <d v="2023-06-01T00:00:00"/>
    <n v="3"/>
    <x v="1"/>
    <x v="0"/>
  </r>
  <r>
    <n v="162752410"/>
    <x v="205"/>
    <d v="2023-08-20T00:00:00"/>
    <n v="39"/>
    <s v="month"/>
    <s v="Yes"/>
    <d v="2023-08-20T00:00:00"/>
    <n v="5"/>
    <x v="0"/>
    <x v="0"/>
  </r>
  <r>
    <n v="208598415"/>
    <x v="205"/>
    <d v="2023-05-03T00:00:00"/>
    <n v="39"/>
    <s v="month"/>
    <s v="Yes"/>
    <d v="2023-05-03T00:00:00"/>
    <n v="2"/>
    <x v="1"/>
    <x v="0"/>
  </r>
  <r>
    <n v="143427096"/>
    <x v="205"/>
    <d v="2023-05-01T00:00:00"/>
    <n v="39"/>
    <s v="month"/>
    <s v="Yes"/>
    <d v="2023-05-01T00:00:00"/>
    <n v="2"/>
    <x v="1"/>
    <x v="0"/>
  </r>
  <r>
    <n v="208480650"/>
    <x v="205"/>
    <d v="2023-04-14T00:00:00"/>
    <n v="39"/>
    <s v="month"/>
    <s v="Yes"/>
    <d v="2023-04-14T00:00:00"/>
    <n v="1"/>
    <x v="1"/>
    <x v="0"/>
  </r>
  <r>
    <n v="147000442"/>
    <x v="206"/>
    <m/>
    <n v="39"/>
    <s v="month"/>
    <s v="Yes"/>
    <d v="2023-09-30T00:00:00"/>
    <n v="6"/>
    <x v="0"/>
    <x v="0"/>
  </r>
  <r>
    <n v="207062508"/>
    <x v="206"/>
    <m/>
    <n v="39"/>
    <s v="month"/>
    <s v="Yes"/>
    <d v="2023-09-30T00:00:00"/>
    <n v="6"/>
    <x v="0"/>
    <x v="0"/>
  </r>
  <r>
    <n v="206862916"/>
    <x v="206"/>
    <m/>
    <n v="39"/>
    <s v="month"/>
    <s v="Yes"/>
    <d v="2023-09-30T00:00:00"/>
    <n v="6"/>
    <x v="0"/>
    <x v="0"/>
  </r>
  <r>
    <n v="208706866"/>
    <x v="206"/>
    <m/>
    <n v="39"/>
    <s v="month"/>
    <s v="Yes"/>
    <d v="2023-09-30T00:00:00"/>
    <n v="6"/>
    <x v="0"/>
    <x v="0"/>
  </r>
  <r>
    <n v="134719816"/>
    <x v="206"/>
    <d v="2023-06-18T00:00:00"/>
    <n v="39"/>
    <s v="month"/>
    <s v="Yes"/>
    <d v="2023-06-18T00:00:00"/>
    <n v="3"/>
    <x v="1"/>
    <x v="0"/>
  </r>
  <r>
    <n v="138548670"/>
    <x v="206"/>
    <d v="2023-05-30T00:00:00"/>
    <n v="39"/>
    <s v="month"/>
    <s v="Yes"/>
    <d v="2023-05-30T00:00:00"/>
    <n v="2"/>
    <x v="1"/>
    <x v="0"/>
  </r>
  <r>
    <n v="208745476"/>
    <x v="206"/>
    <d v="2023-06-21T00:00:00"/>
    <n v="39"/>
    <s v="month"/>
    <s v="Yes"/>
    <d v="2023-06-21T00:00:00"/>
    <n v="3"/>
    <x v="1"/>
    <x v="0"/>
  </r>
  <r>
    <n v="182584521"/>
    <x v="206"/>
    <d v="2023-05-06T00:00:00"/>
    <n v="39"/>
    <s v="month"/>
    <s v="Yes"/>
    <d v="2023-05-06T00:00:00"/>
    <n v="2"/>
    <x v="1"/>
    <x v="0"/>
  </r>
  <r>
    <n v="206463427"/>
    <x v="206"/>
    <d v="2023-05-04T00:00:00"/>
    <n v="39"/>
    <s v="month"/>
    <s v="Yes"/>
    <d v="2023-05-04T00:00:00"/>
    <n v="2"/>
    <x v="1"/>
    <x v="0"/>
  </r>
  <r>
    <n v="158947936"/>
    <x v="206"/>
    <d v="2023-04-28T00:00:00"/>
    <n v="39"/>
    <s v="month"/>
    <s v="Yes"/>
    <d v="2023-04-28T00:00:00"/>
    <n v="1"/>
    <x v="1"/>
    <x v="0"/>
  </r>
  <r>
    <n v="182737296"/>
    <x v="206"/>
    <d v="2023-04-29T00:00:00"/>
    <n v="39"/>
    <s v="month"/>
    <s v="Yes"/>
    <d v="2023-04-29T00:00:00"/>
    <n v="1"/>
    <x v="1"/>
    <x v="0"/>
  </r>
  <r>
    <n v="156550538"/>
    <x v="207"/>
    <m/>
    <n v="39"/>
    <s v="month"/>
    <s v="Yes"/>
    <d v="2023-09-30T00:00:00"/>
    <n v="6"/>
    <x v="0"/>
    <x v="0"/>
  </r>
  <r>
    <n v="208897557"/>
    <x v="207"/>
    <m/>
    <n v="39"/>
    <s v="month"/>
    <s v="Yes"/>
    <d v="2023-09-30T00:00:00"/>
    <n v="6"/>
    <x v="0"/>
    <x v="0"/>
  </r>
  <r>
    <n v="157484010"/>
    <x v="207"/>
    <m/>
    <n v="39"/>
    <s v="month"/>
    <s v="Yes"/>
    <d v="2023-09-30T00:00:00"/>
    <n v="6"/>
    <x v="0"/>
    <x v="0"/>
  </r>
  <r>
    <n v="146450388"/>
    <x v="207"/>
    <d v="2023-06-06T00:00:00"/>
    <n v="39"/>
    <s v="month"/>
    <s v="Yes"/>
    <d v="2023-06-06T00:00:00"/>
    <n v="3"/>
    <x v="1"/>
    <x v="0"/>
  </r>
  <r>
    <n v="208610366"/>
    <x v="207"/>
    <d v="2023-07-07T00:00:00"/>
    <n v="39"/>
    <s v="month"/>
    <s v="Yes"/>
    <d v="2023-07-07T00:00:00"/>
    <n v="4"/>
    <x v="1"/>
    <x v="0"/>
  </r>
  <r>
    <n v="208913022"/>
    <x v="207"/>
    <d v="2023-05-19T00:00:00"/>
    <n v="39"/>
    <s v="month"/>
    <s v="Yes"/>
    <d v="2023-05-19T00:00:00"/>
    <n v="2"/>
    <x v="1"/>
    <x v="0"/>
  </r>
  <r>
    <n v="205813846"/>
    <x v="207"/>
    <d v="2023-05-19T00:00:00"/>
    <n v="39"/>
    <s v="month"/>
    <s v="Yes"/>
    <d v="2023-05-19T00:00:00"/>
    <n v="2"/>
    <x v="1"/>
    <x v="0"/>
  </r>
  <r>
    <n v="208762353"/>
    <x v="207"/>
    <d v="2023-04-21T00:00:00"/>
    <n v="39"/>
    <s v="month"/>
    <s v="Yes"/>
    <d v="2023-04-21T00:00:00"/>
    <n v="1"/>
    <x v="1"/>
    <x v="0"/>
  </r>
  <r>
    <n v="153099249"/>
    <x v="207"/>
    <d v="2023-04-13T00:00:00"/>
    <n v="39"/>
    <s v="month"/>
    <s v="Yes"/>
    <d v="2023-04-13T00:00:00"/>
    <n v="1"/>
    <x v="1"/>
    <x v="0"/>
  </r>
  <r>
    <n v="208734252"/>
    <x v="207"/>
    <d v="2023-04-30T00:00:00"/>
    <n v="39"/>
    <s v="month"/>
    <s v="Yes"/>
    <d v="2023-04-30T00:00:00"/>
    <n v="1"/>
    <x v="1"/>
    <x v="0"/>
  </r>
  <r>
    <n v="208320510"/>
    <x v="208"/>
    <m/>
    <n v="39"/>
    <s v="month"/>
    <s v="Yes"/>
    <d v="2023-09-30T00:00:00"/>
    <n v="6"/>
    <x v="0"/>
    <x v="0"/>
  </r>
  <r>
    <n v="207229509"/>
    <x v="208"/>
    <d v="2023-03-31T00:00:00"/>
    <n v="39"/>
    <s v="month"/>
    <s v="No"/>
    <d v="2023-03-31T00:00:00"/>
    <n v="0"/>
    <x v="1"/>
    <x v="1"/>
  </r>
  <r>
    <n v="208492287"/>
    <x v="208"/>
    <d v="2023-06-07T00:00:00"/>
    <n v="39"/>
    <s v="month"/>
    <s v="Yes"/>
    <d v="2023-06-07T00:00:00"/>
    <n v="3"/>
    <x v="1"/>
    <x v="0"/>
  </r>
  <r>
    <n v="195047202"/>
    <x v="208"/>
    <d v="2023-05-23T00:00:00"/>
    <n v="39"/>
    <s v="month"/>
    <s v="Yes"/>
    <d v="2023-05-23T00:00:00"/>
    <n v="2"/>
    <x v="1"/>
    <x v="0"/>
  </r>
  <r>
    <n v="208890352"/>
    <x v="208"/>
    <d v="2023-05-26T00:00:00"/>
    <n v="39"/>
    <s v="month"/>
    <s v="Yes"/>
    <d v="2023-05-26T00:00:00"/>
    <n v="2"/>
    <x v="1"/>
    <x v="0"/>
  </r>
  <r>
    <n v="151282537"/>
    <x v="208"/>
    <d v="2023-07-01T00:00:00"/>
    <n v="39"/>
    <s v="month"/>
    <s v="Yes"/>
    <d v="2023-07-01T00:00:00"/>
    <n v="4"/>
    <x v="1"/>
    <x v="0"/>
  </r>
  <r>
    <n v="206625246"/>
    <x v="209"/>
    <m/>
    <n v="39"/>
    <s v="month"/>
    <s v="Yes"/>
    <d v="2023-09-30T00:00:00"/>
    <n v="5"/>
    <x v="0"/>
    <x v="0"/>
  </r>
  <r>
    <n v="208748964"/>
    <x v="209"/>
    <m/>
    <n v="39"/>
    <s v="month"/>
    <s v="Yes"/>
    <d v="2023-09-30T00:00:00"/>
    <n v="5"/>
    <x v="0"/>
    <x v="0"/>
  </r>
  <r>
    <n v="151904783"/>
    <x v="209"/>
    <m/>
    <n v="39"/>
    <s v="month"/>
    <s v="Yes"/>
    <d v="2023-09-30T00:00:00"/>
    <n v="5"/>
    <x v="0"/>
    <x v="0"/>
  </r>
  <r>
    <n v="160351988"/>
    <x v="209"/>
    <d v="2023-07-08T00:00:00"/>
    <n v="39"/>
    <s v="month"/>
    <s v="Yes"/>
    <d v="2023-07-08T00:00:00"/>
    <n v="3"/>
    <x v="1"/>
    <x v="0"/>
  </r>
  <r>
    <n v="145622106"/>
    <x v="209"/>
    <d v="2023-04-01T00:00:00"/>
    <n v="39"/>
    <s v="month"/>
    <s v="Yes"/>
    <d v="2023-04-01T00:00:00"/>
    <n v="0"/>
    <x v="1"/>
    <x v="1"/>
  </r>
  <r>
    <n v="192475408"/>
    <x v="209"/>
    <d v="2023-04-26T00:00:00"/>
    <n v="39"/>
    <s v="month"/>
    <s v="Yes"/>
    <d v="2023-04-26T00:00:00"/>
    <n v="0"/>
    <x v="1"/>
    <x v="1"/>
  </r>
  <r>
    <n v="208597905"/>
    <x v="210"/>
    <m/>
    <n v="39"/>
    <s v="month"/>
    <s v="Yes"/>
    <d v="2023-09-30T00:00:00"/>
    <n v="5"/>
    <x v="0"/>
    <x v="0"/>
  </r>
  <r>
    <n v="209469556"/>
    <x v="210"/>
    <d v="2023-04-03T00:00:00"/>
    <n v="39"/>
    <s v="month"/>
    <s v="No"/>
    <d v="2023-04-03T00:00:00"/>
    <n v="0"/>
    <x v="1"/>
    <x v="1"/>
  </r>
  <r>
    <n v="207183892"/>
    <x v="210"/>
    <d v="2023-04-03T00:00:00"/>
    <n v="39"/>
    <s v="month"/>
    <s v="No"/>
    <d v="2023-04-03T00:00:00"/>
    <n v="0"/>
    <x v="1"/>
    <x v="1"/>
  </r>
  <r>
    <n v="125980506"/>
    <x v="210"/>
    <d v="2023-07-02T00:00:00"/>
    <n v="39"/>
    <s v="month"/>
    <s v="Yes"/>
    <d v="2023-07-02T00:00:00"/>
    <n v="3"/>
    <x v="1"/>
    <x v="0"/>
  </r>
  <r>
    <n v="162635107"/>
    <x v="210"/>
    <d v="2023-07-05T00:00:00"/>
    <n v="39"/>
    <s v="month"/>
    <s v="Yes"/>
    <d v="2023-07-05T00:00:00"/>
    <n v="3"/>
    <x v="1"/>
    <x v="0"/>
  </r>
  <r>
    <n v="154655775"/>
    <x v="210"/>
    <d v="2023-07-24T00:00:00"/>
    <n v="39"/>
    <s v="month"/>
    <s v="Yes"/>
    <d v="2023-07-24T00:00:00"/>
    <n v="3"/>
    <x v="1"/>
    <x v="0"/>
  </r>
  <r>
    <n v="154911229"/>
    <x v="211"/>
    <m/>
    <n v="39"/>
    <s v="month"/>
    <s v="Yes"/>
    <d v="2023-09-30T00:00:00"/>
    <n v="5"/>
    <x v="0"/>
    <x v="0"/>
  </r>
  <r>
    <n v="206812076"/>
    <x v="211"/>
    <m/>
    <n v="39"/>
    <s v="month"/>
    <s v="Yes"/>
    <d v="2023-09-30T00:00:00"/>
    <n v="5"/>
    <x v="0"/>
    <x v="0"/>
  </r>
  <r>
    <n v="208490747"/>
    <x v="211"/>
    <m/>
    <n v="39"/>
    <s v="month"/>
    <s v="Yes"/>
    <d v="2023-09-30T00:00:00"/>
    <n v="5"/>
    <x v="0"/>
    <x v="0"/>
  </r>
  <r>
    <n v="131761056"/>
    <x v="211"/>
    <m/>
    <n v="39"/>
    <s v="month"/>
    <s v="Yes"/>
    <d v="2023-09-30T00:00:00"/>
    <n v="5"/>
    <x v="0"/>
    <x v="0"/>
  </r>
  <r>
    <n v="208115534"/>
    <x v="211"/>
    <d v="2023-05-10T00:00:00"/>
    <n v="39"/>
    <s v="month"/>
    <s v="No"/>
    <d v="2023-05-10T00:00:00"/>
    <n v="1"/>
    <x v="1"/>
    <x v="0"/>
  </r>
  <r>
    <n v="202126471"/>
    <x v="211"/>
    <d v="2023-06-27T00:00:00"/>
    <n v="39"/>
    <s v="month"/>
    <s v="Yes"/>
    <d v="2023-06-27T00:00:00"/>
    <n v="2"/>
    <x v="1"/>
    <x v="0"/>
  </r>
  <r>
    <n v="209738836"/>
    <x v="211"/>
    <d v="2023-05-14T00:00:00"/>
    <n v="39"/>
    <s v="month"/>
    <s v="Yes"/>
    <d v="2023-05-14T00:00:00"/>
    <n v="1"/>
    <x v="1"/>
    <x v="0"/>
  </r>
  <r>
    <n v="209470128"/>
    <x v="211"/>
    <d v="2023-05-30T00:00:00"/>
    <n v="39"/>
    <s v="month"/>
    <s v="Yes"/>
    <d v="2023-05-30T00:00:00"/>
    <n v="1"/>
    <x v="1"/>
    <x v="0"/>
  </r>
  <r>
    <n v="209745334"/>
    <x v="211"/>
    <d v="2023-09-01T00:00:00"/>
    <n v="39"/>
    <s v="month"/>
    <s v="Yes"/>
    <d v="2023-09-01T00:00:00"/>
    <n v="5"/>
    <x v="0"/>
    <x v="0"/>
  </r>
  <r>
    <n v="209751690"/>
    <x v="212"/>
    <m/>
    <n v="39"/>
    <s v="month"/>
    <s v="Yes"/>
    <d v="2023-09-30T00:00:00"/>
    <n v="5"/>
    <x v="0"/>
    <x v="0"/>
  </r>
  <r>
    <n v="209730490"/>
    <x v="212"/>
    <d v="2023-04-05T00:00:00"/>
    <n v="39"/>
    <s v="month"/>
    <s v="No"/>
    <d v="2023-04-05T00:00:00"/>
    <n v="0"/>
    <x v="1"/>
    <x v="1"/>
  </r>
  <r>
    <n v="208115648"/>
    <x v="212"/>
    <d v="2023-06-05T00:00:00"/>
    <n v="39"/>
    <s v="month"/>
    <s v="Yes"/>
    <d v="2023-06-05T00:00:00"/>
    <n v="2"/>
    <x v="1"/>
    <x v="0"/>
  </r>
  <r>
    <n v="210087900"/>
    <x v="212"/>
    <d v="2023-05-08T00:00:00"/>
    <n v="39"/>
    <s v="month"/>
    <s v="Yes"/>
    <d v="2023-05-08T00:00:00"/>
    <n v="1"/>
    <x v="1"/>
    <x v="0"/>
  </r>
  <r>
    <n v="208890316"/>
    <x v="212"/>
    <d v="2023-05-24T00:00:00"/>
    <n v="39"/>
    <s v="month"/>
    <s v="Yes"/>
    <d v="2023-05-24T00:00:00"/>
    <n v="1"/>
    <x v="1"/>
    <x v="0"/>
  </r>
  <r>
    <n v="143706140"/>
    <x v="212"/>
    <d v="2023-04-07T00:00:00"/>
    <n v="39"/>
    <s v="month"/>
    <s v="Yes"/>
    <d v="2023-04-07T00:00:00"/>
    <n v="0"/>
    <x v="1"/>
    <x v="1"/>
  </r>
  <r>
    <n v="209950443"/>
    <x v="212"/>
    <d v="2023-04-14T00:00:00"/>
    <n v="39"/>
    <s v="month"/>
    <s v="Yes"/>
    <d v="2023-04-14T00:00:00"/>
    <n v="0"/>
    <x v="1"/>
    <x v="1"/>
  </r>
  <r>
    <n v="208892072"/>
    <x v="212"/>
    <d v="2023-04-25T00:00:00"/>
    <n v="39"/>
    <s v="month"/>
    <s v="Yes"/>
    <d v="2023-04-25T00:00:00"/>
    <n v="0"/>
    <x v="1"/>
    <x v="1"/>
  </r>
  <r>
    <n v="205767174"/>
    <x v="212"/>
    <d v="2023-08-12T00:00:00"/>
    <n v="39"/>
    <s v="month"/>
    <s v="Yes"/>
    <d v="2023-08-12T00:00:00"/>
    <n v="4"/>
    <x v="1"/>
    <x v="0"/>
  </r>
  <r>
    <n v="206676416"/>
    <x v="212"/>
    <d v="2023-07-17T00:00:00"/>
    <n v="39"/>
    <s v="month"/>
    <s v="Yes"/>
    <d v="2023-07-17T00:00:00"/>
    <n v="3"/>
    <x v="1"/>
    <x v="0"/>
  </r>
  <r>
    <n v="160676837"/>
    <x v="213"/>
    <m/>
    <n v="39"/>
    <s v="month"/>
    <s v="Yes"/>
    <d v="2023-09-30T00:00:00"/>
    <n v="5"/>
    <x v="0"/>
    <x v="0"/>
  </r>
  <r>
    <n v="204274153"/>
    <x v="213"/>
    <m/>
    <n v="39"/>
    <s v="month"/>
    <s v="Yes"/>
    <d v="2023-09-30T00:00:00"/>
    <n v="5"/>
    <x v="0"/>
    <x v="0"/>
  </r>
  <r>
    <n v="210327236"/>
    <x v="213"/>
    <d v="2023-04-06T00:00:00"/>
    <n v="39"/>
    <s v="month"/>
    <s v="No"/>
    <d v="2023-04-06T00:00:00"/>
    <n v="0"/>
    <x v="1"/>
    <x v="1"/>
  </r>
  <r>
    <n v="210326352"/>
    <x v="213"/>
    <d v="2023-04-05T00:00:00"/>
    <n v="39"/>
    <s v="month"/>
    <s v="No"/>
    <d v="2023-04-05T00:00:00"/>
    <n v="0"/>
    <x v="1"/>
    <x v="1"/>
  </r>
  <r>
    <n v="124155104"/>
    <x v="213"/>
    <d v="2023-05-12T00:00:00"/>
    <n v="39"/>
    <s v="month"/>
    <s v="Yes"/>
    <d v="2023-05-12T00:00:00"/>
    <n v="1"/>
    <x v="1"/>
    <x v="0"/>
  </r>
  <r>
    <n v="209517408"/>
    <x v="213"/>
    <d v="2023-05-04T00:00:00"/>
    <n v="39"/>
    <s v="month"/>
    <s v="Yes"/>
    <d v="2023-05-04T00:00:00"/>
    <n v="1"/>
    <x v="1"/>
    <x v="0"/>
  </r>
  <r>
    <n v="210432450"/>
    <x v="213"/>
    <d v="2023-04-12T00:00:00"/>
    <n v="39"/>
    <s v="month"/>
    <s v="Yes"/>
    <d v="2023-04-12T00:00:00"/>
    <n v="0"/>
    <x v="1"/>
    <x v="1"/>
  </r>
  <r>
    <n v="210138564"/>
    <x v="214"/>
    <m/>
    <n v="39"/>
    <s v="month"/>
    <s v="Yes"/>
    <d v="2023-09-30T00:00:00"/>
    <n v="5"/>
    <x v="0"/>
    <x v="0"/>
  </r>
  <r>
    <n v="210617010"/>
    <x v="214"/>
    <d v="2023-04-06T00:00:00"/>
    <n v="39"/>
    <s v="month"/>
    <s v="Yes"/>
    <d v="2023-04-06T00:00:00"/>
    <n v="0"/>
    <x v="1"/>
    <x v="1"/>
  </r>
  <r>
    <n v="134894187"/>
    <x v="214"/>
    <d v="2023-05-18T00:00:00"/>
    <n v="39"/>
    <s v="month"/>
    <s v="Yes"/>
    <d v="2023-05-18T00:00:00"/>
    <n v="1"/>
    <x v="1"/>
    <x v="0"/>
  </r>
  <r>
    <n v="150643785"/>
    <x v="214"/>
    <d v="2023-06-06T00:00:00"/>
    <n v="39"/>
    <s v="month"/>
    <s v="Yes"/>
    <d v="2023-06-06T00:00:00"/>
    <n v="2"/>
    <x v="1"/>
    <x v="0"/>
  </r>
  <r>
    <n v="149986782"/>
    <x v="214"/>
    <d v="2023-06-04T00:00:00"/>
    <n v="39"/>
    <s v="month"/>
    <s v="Yes"/>
    <d v="2023-06-04T00:00:00"/>
    <n v="2"/>
    <x v="1"/>
    <x v="0"/>
  </r>
  <r>
    <n v="205463099"/>
    <x v="214"/>
    <d v="2023-06-16T00:00:00"/>
    <n v="39"/>
    <s v="month"/>
    <s v="Yes"/>
    <d v="2023-06-16T00:00:00"/>
    <n v="2"/>
    <x v="1"/>
    <x v="0"/>
  </r>
  <r>
    <n v="210565466"/>
    <x v="214"/>
    <d v="2023-05-13T00:00:00"/>
    <n v="39"/>
    <s v="month"/>
    <s v="Yes"/>
    <d v="2023-05-13T00:00:00"/>
    <n v="1"/>
    <x v="1"/>
    <x v="0"/>
  </r>
  <r>
    <n v="209072132"/>
    <x v="215"/>
    <m/>
    <n v="39"/>
    <s v="month"/>
    <s v="Yes"/>
    <d v="2023-09-30T00:00:00"/>
    <n v="5"/>
    <x v="0"/>
    <x v="0"/>
  </r>
  <r>
    <n v="210388772"/>
    <x v="215"/>
    <m/>
    <n v="39"/>
    <s v="month"/>
    <s v="Yes"/>
    <d v="2023-09-30T00:00:00"/>
    <n v="5"/>
    <x v="0"/>
    <x v="0"/>
  </r>
  <r>
    <n v="210617010"/>
    <x v="215"/>
    <d v="2023-06-09T00:00:00"/>
    <n v="39"/>
    <s v="month"/>
    <s v="Yes"/>
    <d v="2023-06-09T00:00:00"/>
    <n v="2"/>
    <x v="1"/>
    <x v="0"/>
  </r>
  <r>
    <n v="210694562"/>
    <x v="215"/>
    <d v="2023-05-14T00:00:00"/>
    <n v="39"/>
    <s v="month"/>
    <s v="Yes"/>
    <d v="2023-05-14T00:00:00"/>
    <n v="1"/>
    <x v="1"/>
    <x v="0"/>
  </r>
  <r>
    <n v="134833306"/>
    <x v="215"/>
    <d v="2023-05-08T00:00:00"/>
    <n v="39"/>
    <s v="month"/>
    <s v="Yes"/>
    <d v="2023-05-08T00:00:00"/>
    <n v="1"/>
    <x v="1"/>
    <x v="0"/>
  </r>
  <r>
    <n v="211220014"/>
    <x v="216"/>
    <m/>
    <n v="39"/>
    <s v="month"/>
    <s v="Yes"/>
    <d v="2023-09-30T00:00:00"/>
    <n v="5"/>
    <x v="0"/>
    <x v="0"/>
  </r>
  <r>
    <n v="121571816"/>
    <x v="216"/>
    <m/>
    <n v="39"/>
    <s v="month"/>
    <s v="Yes"/>
    <d v="2023-09-30T00:00:00"/>
    <n v="5"/>
    <x v="0"/>
    <x v="0"/>
  </r>
  <r>
    <n v="211216060"/>
    <x v="216"/>
    <m/>
    <n v="39"/>
    <s v="month"/>
    <s v="Yes"/>
    <d v="2023-09-30T00:00:00"/>
    <n v="5"/>
    <x v="0"/>
    <x v="0"/>
  </r>
  <r>
    <n v="211114276"/>
    <x v="216"/>
    <m/>
    <n v="39"/>
    <s v="month"/>
    <s v="Yes"/>
    <d v="2023-09-30T00:00:00"/>
    <n v="5"/>
    <x v="0"/>
    <x v="0"/>
  </r>
  <r>
    <n v="211224883"/>
    <x v="216"/>
    <d v="2023-04-09T00:00:00"/>
    <n v="39"/>
    <s v="month"/>
    <s v="No"/>
    <d v="2023-04-09T00:00:00"/>
    <n v="0"/>
    <x v="1"/>
    <x v="1"/>
  </r>
  <r>
    <n v="211212313"/>
    <x v="216"/>
    <d v="2023-06-06T00:00:00"/>
    <n v="39"/>
    <s v="month"/>
    <s v="Yes"/>
    <d v="2023-06-06T00:00:00"/>
    <n v="2"/>
    <x v="1"/>
    <x v="0"/>
  </r>
  <r>
    <n v="210135815"/>
    <x v="216"/>
    <d v="2023-04-18T00:00:00"/>
    <n v="39"/>
    <s v="month"/>
    <s v="Yes"/>
    <d v="2023-04-18T00:00:00"/>
    <n v="0"/>
    <x v="1"/>
    <x v="1"/>
  </r>
  <r>
    <n v="211381659"/>
    <x v="217"/>
    <m/>
    <n v="39"/>
    <s v="month"/>
    <s v="Yes"/>
    <d v="2023-09-30T00:00:00"/>
    <n v="5"/>
    <x v="0"/>
    <x v="0"/>
  </r>
  <r>
    <n v="183363812"/>
    <x v="217"/>
    <m/>
    <n v="39"/>
    <s v="month"/>
    <s v="Yes"/>
    <d v="2023-09-30T00:00:00"/>
    <n v="5"/>
    <x v="0"/>
    <x v="0"/>
  </r>
  <r>
    <n v="211289909"/>
    <x v="217"/>
    <m/>
    <n v="39"/>
    <s v="month"/>
    <s v="Yes"/>
    <d v="2023-09-30T00:00:00"/>
    <n v="5"/>
    <x v="0"/>
    <x v="0"/>
  </r>
  <r>
    <n v="211266858"/>
    <x v="217"/>
    <d v="2023-05-02T00:00:00"/>
    <n v="39"/>
    <s v="month"/>
    <s v="Yes"/>
    <d v="2023-05-02T00:00:00"/>
    <n v="1"/>
    <x v="1"/>
    <x v="0"/>
  </r>
  <r>
    <n v="153163612"/>
    <x v="217"/>
    <d v="2023-04-24T00:00:00"/>
    <n v="39"/>
    <s v="month"/>
    <s v="Yes"/>
    <d v="2023-04-24T00:00:00"/>
    <n v="0"/>
    <x v="1"/>
    <x v="1"/>
  </r>
  <r>
    <n v="209505551"/>
    <x v="217"/>
    <d v="2023-04-25T00:00:00"/>
    <n v="39"/>
    <s v="month"/>
    <s v="Yes"/>
    <d v="2023-04-25T00:00:00"/>
    <n v="0"/>
    <x v="1"/>
    <x v="1"/>
  </r>
  <r>
    <n v="211389716"/>
    <x v="218"/>
    <m/>
    <n v="39"/>
    <s v="month"/>
    <s v="Yes"/>
    <d v="2023-09-30T00:00:00"/>
    <n v="5"/>
    <x v="0"/>
    <x v="0"/>
  </r>
  <r>
    <n v="211636708"/>
    <x v="218"/>
    <m/>
    <n v="39"/>
    <s v="month"/>
    <s v="Yes"/>
    <d v="2023-09-30T00:00:00"/>
    <n v="5"/>
    <x v="0"/>
    <x v="0"/>
  </r>
  <r>
    <n v="176884824"/>
    <x v="218"/>
    <m/>
    <n v="39"/>
    <s v="month"/>
    <s v="Yes"/>
    <d v="2023-09-30T00:00:00"/>
    <n v="5"/>
    <x v="0"/>
    <x v="0"/>
  </r>
  <r>
    <n v="211352758"/>
    <x v="218"/>
    <m/>
    <n v="39"/>
    <s v="month"/>
    <s v="Yes"/>
    <d v="2023-09-30T00:00:00"/>
    <n v="5"/>
    <x v="0"/>
    <x v="0"/>
  </r>
  <r>
    <n v="210814163"/>
    <x v="218"/>
    <m/>
    <n v="39"/>
    <s v="month"/>
    <s v="Yes"/>
    <d v="2023-09-30T00:00:00"/>
    <n v="5"/>
    <x v="0"/>
    <x v="0"/>
  </r>
  <r>
    <n v="210893245"/>
    <x v="218"/>
    <m/>
    <n v="39"/>
    <s v="month"/>
    <s v="Yes"/>
    <d v="2023-09-30T00:00:00"/>
    <n v="5"/>
    <x v="0"/>
    <x v="0"/>
  </r>
  <r>
    <n v="130967112"/>
    <x v="218"/>
    <m/>
    <n v="39"/>
    <s v="month"/>
    <s v="Yes"/>
    <d v="2023-09-30T00:00:00"/>
    <n v="5"/>
    <x v="0"/>
    <x v="0"/>
  </r>
  <r>
    <n v="199116000"/>
    <x v="218"/>
    <m/>
    <n v="39"/>
    <s v="month"/>
    <s v="Yes"/>
    <d v="2023-09-30T00:00:00"/>
    <n v="5"/>
    <x v="0"/>
    <x v="0"/>
  </r>
  <r>
    <n v="161182706"/>
    <x v="218"/>
    <d v="2023-05-17T00:00:00"/>
    <n v="39"/>
    <s v="month"/>
    <s v="Yes"/>
    <d v="2023-05-17T00:00:00"/>
    <n v="1"/>
    <x v="1"/>
    <x v="0"/>
  </r>
  <r>
    <n v="211576047"/>
    <x v="219"/>
    <m/>
    <n v="39"/>
    <s v="month"/>
    <s v="Yes"/>
    <d v="2023-09-30T00:00:00"/>
    <n v="5"/>
    <x v="0"/>
    <x v="0"/>
  </r>
  <r>
    <n v="211897884"/>
    <x v="219"/>
    <m/>
    <n v="39"/>
    <s v="month"/>
    <s v="Yes"/>
    <d v="2023-09-30T00:00:00"/>
    <n v="5"/>
    <x v="0"/>
    <x v="0"/>
  </r>
  <r>
    <n v="211661733"/>
    <x v="219"/>
    <m/>
    <n v="39"/>
    <s v="month"/>
    <s v="Yes"/>
    <d v="2023-09-30T00:00:00"/>
    <n v="5"/>
    <x v="0"/>
    <x v="0"/>
  </r>
  <r>
    <n v="211561665"/>
    <x v="219"/>
    <m/>
    <n v="39"/>
    <s v="month"/>
    <s v="No"/>
    <d v="2023-09-30T00:00:00"/>
    <n v="5"/>
    <x v="0"/>
    <x v="0"/>
  </r>
  <r>
    <n v="211911280"/>
    <x v="219"/>
    <d v="2023-08-23T00:00:00"/>
    <n v="39"/>
    <s v="month"/>
    <s v="Yes"/>
    <d v="2023-08-23T00:00:00"/>
    <n v="4"/>
    <x v="1"/>
    <x v="0"/>
  </r>
  <r>
    <n v="123946316"/>
    <x v="219"/>
    <d v="2023-06-17T00:00:00"/>
    <n v="39"/>
    <s v="month"/>
    <s v="Yes"/>
    <d v="2023-06-17T00:00:00"/>
    <n v="2"/>
    <x v="1"/>
    <x v="0"/>
  </r>
  <r>
    <n v="144469362"/>
    <x v="219"/>
    <d v="2023-05-01T00:00:00"/>
    <n v="39"/>
    <s v="month"/>
    <s v="Yes"/>
    <d v="2023-05-01T00:00:00"/>
    <n v="1"/>
    <x v="1"/>
    <x v="0"/>
  </r>
  <r>
    <n v="187268085"/>
    <x v="219"/>
    <d v="2023-05-08T00:00:00"/>
    <n v="39"/>
    <s v="month"/>
    <s v="Yes"/>
    <d v="2023-05-08T00:00:00"/>
    <n v="1"/>
    <x v="1"/>
    <x v="0"/>
  </r>
  <r>
    <n v="210088359"/>
    <x v="219"/>
    <d v="2023-06-26T00:00:00"/>
    <n v="39"/>
    <s v="month"/>
    <s v="Yes"/>
    <d v="2023-06-26T00:00:00"/>
    <n v="2"/>
    <x v="1"/>
    <x v="0"/>
  </r>
  <r>
    <n v="211906202"/>
    <x v="219"/>
    <d v="2023-05-22T00:00:00"/>
    <n v="39"/>
    <s v="month"/>
    <s v="Yes"/>
    <d v="2023-05-22T00:00:00"/>
    <n v="1"/>
    <x v="1"/>
    <x v="0"/>
  </r>
  <r>
    <n v="126391978"/>
    <x v="219"/>
    <d v="2023-07-20T00:00:00"/>
    <n v="39"/>
    <s v="month"/>
    <s v="Yes"/>
    <d v="2023-07-20T00:00:00"/>
    <n v="3"/>
    <x v="1"/>
    <x v="0"/>
  </r>
  <r>
    <n v="154753462"/>
    <x v="220"/>
    <m/>
    <n v="39"/>
    <s v="month"/>
    <s v="Yes"/>
    <d v="2023-09-30T00:00:00"/>
    <n v="5"/>
    <x v="0"/>
    <x v="0"/>
  </r>
  <r>
    <n v="212049757"/>
    <x v="220"/>
    <m/>
    <n v="39"/>
    <s v="month"/>
    <s v="Yes"/>
    <d v="2023-09-30T00:00:00"/>
    <n v="5"/>
    <x v="0"/>
    <x v="0"/>
  </r>
  <r>
    <n v="147015210"/>
    <x v="220"/>
    <m/>
    <n v="39"/>
    <s v="month"/>
    <s v="Yes"/>
    <d v="2023-09-30T00:00:00"/>
    <n v="5"/>
    <x v="0"/>
    <x v="0"/>
  </r>
  <r>
    <n v="212057431"/>
    <x v="220"/>
    <d v="2023-04-13T00:00:00"/>
    <n v="39"/>
    <s v="month"/>
    <s v="No"/>
    <d v="2023-04-13T00:00:00"/>
    <n v="0"/>
    <x v="1"/>
    <x v="1"/>
  </r>
  <r>
    <n v="205734465"/>
    <x v="220"/>
    <d v="2023-06-08T00:00:00"/>
    <n v="39"/>
    <s v="month"/>
    <s v="Yes"/>
    <d v="2023-06-08T00:00:00"/>
    <n v="2"/>
    <x v="1"/>
    <x v="0"/>
  </r>
  <r>
    <n v="208772540"/>
    <x v="220"/>
    <d v="2023-04-30T00:00:00"/>
    <n v="39"/>
    <s v="month"/>
    <s v="Yes"/>
    <d v="2023-04-30T00:00:00"/>
    <n v="0"/>
    <x v="1"/>
    <x v="1"/>
  </r>
  <r>
    <n v="182357706"/>
    <x v="220"/>
    <d v="2023-07-04T00:00:00"/>
    <n v="39"/>
    <s v="month"/>
    <s v="Yes"/>
    <d v="2023-07-04T00:00:00"/>
    <n v="3"/>
    <x v="1"/>
    <x v="0"/>
  </r>
  <r>
    <n v="211333348"/>
    <x v="220"/>
    <d v="2023-07-08T00:00:00"/>
    <n v="39"/>
    <s v="month"/>
    <s v="Yes"/>
    <d v="2023-07-08T00:00:00"/>
    <n v="3"/>
    <x v="1"/>
    <x v="0"/>
  </r>
  <r>
    <n v="211334702"/>
    <x v="220"/>
    <d v="2023-07-25T00:00:00"/>
    <n v="39"/>
    <s v="month"/>
    <s v="Yes"/>
    <d v="2023-07-25T00:00:00"/>
    <n v="3"/>
    <x v="1"/>
    <x v="0"/>
  </r>
  <r>
    <n v="212129575"/>
    <x v="221"/>
    <m/>
    <n v="39"/>
    <s v="month"/>
    <s v="Yes"/>
    <d v="2023-09-30T00:00:00"/>
    <n v="5"/>
    <x v="0"/>
    <x v="0"/>
  </r>
  <r>
    <n v="209733088"/>
    <x v="221"/>
    <m/>
    <n v="39"/>
    <s v="month"/>
    <s v="Yes"/>
    <d v="2023-09-30T00:00:00"/>
    <n v="5"/>
    <x v="0"/>
    <x v="0"/>
  </r>
  <r>
    <n v="152792045"/>
    <x v="221"/>
    <d v="2023-06-20T00:00:00"/>
    <n v="39"/>
    <s v="month"/>
    <s v="Yes"/>
    <d v="2023-06-20T00:00:00"/>
    <n v="2"/>
    <x v="1"/>
    <x v="0"/>
  </r>
  <r>
    <n v="212163568"/>
    <x v="221"/>
    <d v="2023-05-29T00:00:00"/>
    <n v="39"/>
    <s v="month"/>
    <s v="Yes"/>
    <d v="2023-05-29T00:00:00"/>
    <n v="1"/>
    <x v="1"/>
    <x v="0"/>
  </r>
  <r>
    <n v="212260363"/>
    <x v="221"/>
    <d v="2023-05-10T00:00:00"/>
    <n v="39"/>
    <s v="month"/>
    <s v="Yes"/>
    <d v="2023-05-10T00:00:00"/>
    <n v="1"/>
    <x v="1"/>
    <x v="0"/>
  </r>
  <r>
    <n v="212164158"/>
    <x v="221"/>
    <d v="2023-06-27T00:00:00"/>
    <n v="39"/>
    <s v="month"/>
    <s v="Yes"/>
    <d v="2023-06-27T00:00:00"/>
    <n v="2"/>
    <x v="1"/>
    <x v="0"/>
  </r>
  <r>
    <n v="155604779"/>
    <x v="221"/>
    <d v="2023-07-04T00:00:00"/>
    <n v="39"/>
    <s v="month"/>
    <s v="Yes"/>
    <d v="2023-07-04T00:00:00"/>
    <n v="3"/>
    <x v="1"/>
    <x v="0"/>
  </r>
  <r>
    <n v="150421022"/>
    <x v="221"/>
    <d v="2023-06-15T00:00:00"/>
    <n v="39"/>
    <s v="month"/>
    <s v="Yes"/>
    <d v="2023-06-15T00:00:00"/>
    <n v="2"/>
    <x v="1"/>
    <x v="0"/>
  </r>
  <r>
    <n v="122616012"/>
    <x v="221"/>
    <d v="2023-06-29T00:00:00"/>
    <n v="39"/>
    <s v="month"/>
    <s v="Yes"/>
    <d v="2023-06-29T00:00:00"/>
    <n v="2"/>
    <x v="1"/>
    <x v="0"/>
  </r>
  <r>
    <n v="209356278"/>
    <x v="222"/>
    <m/>
    <n v="39"/>
    <s v="month"/>
    <s v="Yes"/>
    <d v="2023-09-30T00:00:00"/>
    <n v="5"/>
    <x v="0"/>
    <x v="0"/>
  </r>
  <r>
    <n v="212604642"/>
    <x v="222"/>
    <m/>
    <n v="39"/>
    <s v="month"/>
    <s v="Yes"/>
    <d v="2023-09-30T00:00:00"/>
    <n v="5"/>
    <x v="0"/>
    <x v="0"/>
  </r>
  <r>
    <n v="210730447"/>
    <x v="222"/>
    <m/>
    <n v="39"/>
    <s v="month"/>
    <s v="Yes"/>
    <d v="2023-09-30T00:00:00"/>
    <n v="5"/>
    <x v="0"/>
    <x v="0"/>
  </r>
  <r>
    <n v="212388726"/>
    <x v="222"/>
    <m/>
    <n v="39"/>
    <s v="month"/>
    <s v="No"/>
    <d v="2023-09-30T00:00:00"/>
    <n v="5"/>
    <x v="0"/>
    <x v="0"/>
  </r>
  <r>
    <n v="127793951"/>
    <x v="222"/>
    <d v="2023-08-31T00:00:00"/>
    <n v="39"/>
    <s v="month"/>
    <s v="Yes"/>
    <d v="2023-08-31T00:00:00"/>
    <n v="4"/>
    <x v="1"/>
    <x v="0"/>
  </r>
  <r>
    <n v="189715793"/>
    <x v="222"/>
    <d v="2023-05-21T00:00:00"/>
    <n v="39"/>
    <s v="month"/>
    <s v="Yes"/>
    <d v="2023-05-21T00:00:00"/>
    <n v="1"/>
    <x v="1"/>
    <x v="0"/>
  </r>
  <r>
    <n v="148369126"/>
    <x v="223"/>
    <m/>
    <n v="39"/>
    <s v="month"/>
    <s v="Yes"/>
    <d v="2023-09-30T00:00:00"/>
    <n v="5"/>
    <x v="0"/>
    <x v="0"/>
  </r>
  <r>
    <n v="157503290"/>
    <x v="223"/>
    <d v="2023-05-22T00:00:00"/>
    <n v="39"/>
    <s v="month"/>
    <s v="Yes"/>
    <d v="2023-05-22T00:00:00"/>
    <n v="1"/>
    <x v="1"/>
    <x v="0"/>
  </r>
  <r>
    <n v="212712986"/>
    <x v="223"/>
    <d v="2023-05-31T00:00:00"/>
    <n v="39"/>
    <s v="month"/>
    <s v="Yes"/>
    <d v="2023-05-31T00:00:00"/>
    <n v="1"/>
    <x v="1"/>
    <x v="0"/>
  </r>
  <r>
    <n v="204512028"/>
    <x v="223"/>
    <d v="2023-05-15T00:00:00"/>
    <n v="39"/>
    <s v="month"/>
    <s v="Yes"/>
    <d v="2023-05-15T00:00:00"/>
    <n v="1"/>
    <x v="1"/>
    <x v="0"/>
  </r>
  <r>
    <n v="147066240"/>
    <x v="223"/>
    <d v="2023-04-30T00:00:00"/>
    <n v="39"/>
    <s v="month"/>
    <s v="Yes"/>
    <d v="2023-04-30T00:00:00"/>
    <n v="0"/>
    <x v="1"/>
    <x v="1"/>
  </r>
  <r>
    <n v="212759443"/>
    <x v="224"/>
    <d v="2023-04-16T00:00:00"/>
    <n v="39"/>
    <s v="month"/>
    <s v="Yes"/>
    <d v="2023-04-16T00:00:00"/>
    <n v="0"/>
    <x v="1"/>
    <x v="1"/>
  </r>
  <r>
    <n v="212042832"/>
    <x v="225"/>
    <m/>
    <n v="39"/>
    <s v="month"/>
    <s v="Yes"/>
    <d v="2023-09-30T00:00:00"/>
    <n v="5"/>
    <x v="0"/>
    <x v="0"/>
  </r>
  <r>
    <n v="212113682"/>
    <x v="225"/>
    <m/>
    <n v="39"/>
    <s v="month"/>
    <s v="Yes"/>
    <d v="2023-09-30T00:00:00"/>
    <n v="5"/>
    <x v="0"/>
    <x v="0"/>
  </r>
  <r>
    <n v="181175226"/>
    <x v="225"/>
    <m/>
    <n v="39"/>
    <s v="month"/>
    <s v="Yes"/>
    <d v="2023-09-30T00:00:00"/>
    <n v="5"/>
    <x v="0"/>
    <x v="0"/>
  </r>
  <r>
    <n v="201817514"/>
    <x v="225"/>
    <d v="2023-04-18T00:00:00"/>
    <n v="39"/>
    <s v="month"/>
    <s v="Yes"/>
    <d v="2023-04-18T00:00:00"/>
    <n v="0"/>
    <x v="1"/>
    <x v="1"/>
  </r>
  <r>
    <n v="168698174"/>
    <x v="225"/>
    <d v="2023-04-17T00:00:00"/>
    <n v="39"/>
    <s v="month"/>
    <s v="Yes"/>
    <d v="2023-04-17T00:00:00"/>
    <n v="0"/>
    <x v="1"/>
    <x v="1"/>
  </r>
  <r>
    <n v="170512298"/>
    <x v="225"/>
    <d v="2023-05-15T00:00:00"/>
    <n v="39"/>
    <s v="month"/>
    <s v="Yes"/>
    <d v="2023-05-15T00:00:00"/>
    <n v="1"/>
    <x v="1"/>
    <x v="0"/>
  </r>
  <r>
    <n v="213181546"/>
    <x v="225"/>
    <d v="2023-06-01T00:00:00"/>
    <n v="39"/>
    <s v="month"/>
    <s v="Yes"/>
    <d v="2023-06-01T00:00:00"/>
    <n v="2"/>
    <x v="1"/>
    <x v="0"/>
  </r>
  <r>
    <n v="154535908"/>
    <x v="225"/>
    <d v="2023-06-24T00:00:00"/>
    <n v="39"/>
    <s v="month"/>
    <s v="Yes"/>
    <d v="2023-06-24T00:00:00"/>
    <n v="2"/>
    <x v="1"/>
    <x v="0"/>
  </r>
  <r>
    <n v="151540809"/>
    <x v="225"/>
    <d v="2023-05-23T00:00:00"/>
    <n v="39"/>
    <s v="month"/>
    <s v="Yes"/>
    <d v="2023-05-23T00:00:00"/>
    <n v="1"/>
    <x v="1"/>
    <x v="0"/>
  </r>
  <r>
    <n v="212334937"/>
    <x v="225"/>
    <d v="2023-05-18T00:00:00"/>
    <n v="39"/>
    <s v="month"/>
    <s v="Yes"/>
    <d v="2023-05-18T00:00:00"/>
    <n v="1"/>
    <x v="1"/>
    <x v="0"/>
  </r>
  <r>
    <n v="204766175"/>
    <x v="225"/>
    <d v="2023-07-14T00:00:00"/>
    <n v="39"/>
    <s v="month"/>
    <s v="Yes"/>
    <d v="2023-07-14T00:00:00"/>
    <n v="3"/>
    <x v="1"/>
    <x v="0"/>
  </r>
  <r>
    <n v="212055738"/>
    <x v="225"/>
    <d v="2023-08-24T00:00:00"/>
    <n v="39"/>
    <s v="month"/>
    <s v="Yes"/>
    <d v="2023-08-24T00:00:00"/>
    <n v="4"/>
    <x v="1"/>
    <x v="0"/>
  </r>
  <r>
    <n v="211907956"/>
    <x v="226"/>
    <m/>
    <n v="39"/>
    <s v="month"/>
    <s v="Yes"/>
    <d v="2023-09-30T00:00:00"/>
    <n v="5"/>
    <x v="0"/>
    <x v="0"/>
  </r>
  <r>
    <n v="212759443"/>
    <x v="226"/>
    <m/>
    <n v="39"/>
    <s v="month"/>
    <s v="Yes"/>
    <d v="2023-09-30T00:00:00"/>
    <n v="5"/>
    <x v="0"/>
    <x v="0"/>
  </r>
  <r>
    <n v="213182327"/>
    <x v="226"/>
    <m/>
    <n v="39"/>
    <s v="month"/>
    <s v="Yes"/>
    <d v="2023-09-30T00:00:00"/>
    <n v="5"/>
    <x v="0"/>
    <x v="0"/>
  </r>
  <r>
    <n v="213442067"/>
    <x v="226"/>
    <m/>
    <n v="39"/>
    <s v="month"/>
    <s v="Yes"/>
    <d v="2023-09-30T00:00:00"/>
    <n v="5"/>
    <x v="0"/>
    <x v="0"/>
  </r>
  <r>
    <n v="213427247"/>
    <x v="226"/>
    <m/>
    <n v="39"/>
    <s v="month"/>
    <s v="Yes"/>
    <d v="2023-09-30T00:00:00"/>
    <n v="5"/>
    <x v="0"/>
    <x v="0"/>
  </r>
  <r>
    <n v="172476368"/>
    <x v="226"/>
    <d v="2023-05-15T00:00:00"/>
    <n v="39"/>
    <s v="month"/>
    <s v="Yes"/>
    <d v="2023-05-15T00:00:00"/>
    <n v="1"/>
    <x v="1"/>
    <x v="0"/>
  </r>
  <r>
    <n v="148900262"/>
    <x v="226"/>
    <d v="2023-05-11T00:00:00"/>
    <n v="39"/>
    <s v="month"/>
    <s v="Yes"/>
    <d v="2023-05-11T00:00:00"/>
    <n v="1"/>
    <x v="1"/>
    <x v="0"/>
  </r>
  <r>
    <n v="213450505"/>
    <x v="226"/>
    <d v="2023-05-16T00:00:00"/>
    <n v="39"/>
    <s v="month"/>
    <s v="Yes"/>
    <d v="2023-05-16T00:00:00"/>
    <n v="1"/>
    <x v="1"/>
    <x v="0"/>
  </r>
  <r>
    <n v="168261038"/>
    <x v="226"/>
    <d v="2023-05-26T00:00:00"/>
    <n v="39"/>
    <s v="month"/>
    <s v="Yes"/>
    <d v="2023-05-26T00:00:00"/>
    <n v="1"/>
    <x v="1"/>
    <x v="0"/>
  </r>
  <r>
    <n v="207018786"/>
    <x v="226"/>
    <d v="2023-07-25T00:00:00"/>
    <n v="39"/>
    <s v="month"/>
    <s v="Yes"/>
    <d v="2023-07-25T00:00:00"/>
    <n v="3"/>
    <x v="1"/>
    <x v="0"/>
  </r>
  <r>
    <n v="213781045"/>
    <x v="227"/>
    <m/>
    <n v="39"/>
    <s v="month"/>
    <s v="Yes"/>
    <d v="2023-09-30T00:00:00"/>
    <n v="5"/>
    <x v="0"/>
    <x v="0"/>
  </r>
  <r>
    <n v="213785402"/>
    <x v="227"/>
    <d v="2023-08-23T00:00:00"/>
    <n v="39"/>
    <s v="month"/>
    <s v="Yes"/>
    <d v="2023-08-23T00:00:00"/>
    <n v="4"/>
    <x v="1"/>
    <x v="0"/>
  </r>
  <r>
    <n v="213689187"/>
    <x v="227"/>
    <d v="2023-04-20T00:00:00"/>
    <n v="39"/>
    <s v="month"/>
    <s v="No"/>
    <d v="2023-04-20T00:00:00"/>
    <n v="0"/>
    <x v="1"/>
    <x v="1"/>
  </r>
  <r>
    <n v="213413298"/>
    <x v="227"/>
    <d v="2023-04-19T00:00:00"/>
    <n v="39"/>
    <s v="month"/>
    <s v="No"/>
    <d v="2023-04-19T00:00:00"/>
    <n v="0"/>
    <x v="1"/>
    <x v="1"/>
  </r>
  <r>
    <n v="184458429"/>
    <x v="227"/>
    <d v="2023-06-08T00:00:00"/>
    <n v="39"/>
    <s v="month"/>
    <s v="Yes"/>
    <d v="2023-06-08T00:00:00"/>
    <n v="2"/>
    <x v="1"/>
    <x v="0"/>
  </r>
  <r>
    <n v="212190070"/>
    <x v="227"/>
    <d v="2023-06-19T00:00:00"/>
    <n v="39"/>
    <s v="month"/>
    <s v="Yes"/>
    <d v="2023-06-19T00:00:00"/>
    <n v="2"/>
    <x v="1"/>
    <x v="0"/>
  </r>
  <r>
    <n v="212737739"/>
    <x v="227"/>
    <d v="2023-05-31T00:00:00"/>
    <n v="39"/>
    <s v="month"/>
    <s v="Yes"/>
    <d v="2023-05-31T00:00:00"/>
    <n v="1"/>
    <x v="1"/>
    <x v="0"/>
  </r>
  <r>
    <n v="211904660"/>
    <x v="228"/>
    <m/>
    <n v="39"/>
    <s v="month"/>
    <s v="Yes"/>
    <d v="2023-09-30T00:00:00"/>
    <n v="5"/>
    <x v="0"/>
    <x v="0"/>
  </r>
  <r>
    <n v="112792926"/>
    <x v="228"/>
    <m/>
    <n v="39"/>
    <s v="month"/>
    <s v="Yes"/>
    <d v="2023-09-30T00:00:00"/>
    <n v="5"/>
    <x v="0"/>
    <x v="0"/>
  </r>
  <r>
    <n v="213914942"/>
    <x v="228"/>
    <m/>
    <n v="39"/>
    <s v="month"/>
    <s v="Yes"/>
    <d v="2023-09-30T00:00:00"/>
    <n v="5"/>
    <x v="0"/>
    <x v="0"/>
  </r>
  <r>
    <n v="189220435"/>
    <x v="228"/>
    <d v="2023-04-30T00:00:00"/>
    <n v="39"/>
    <s v="month"/>
    <s v="Yes"/>
    <d v="2023-04-30T00:00:00"/>
    <n v="0"/>
    <x v="1"/>
    <x v="1"/>
  </r>
  <r>
    <n v="203237584"/>
    <x v="228"/>
    <d v="2023-04-25T00:00:00"/>
    <n v="39"/>
    <s v="month"/>
    <s v="Yes"/>
    <d v="2023-04-25T00:00:00"/>
    <n v="0"/>
    <x v="1"/>
    <x v="1"/>
  </r>
  <r>
    <n v="213179140"/>
    <x v="228"/>
    <d v="2023-05-17T00:00:00"/>
    <n v="39"/>
    <s v="month"/>
    <s v="Yes"/>
    <d v="2023-05-17T00:00:00"/>
    <n v="1"/>
    <x v="1"/>
    <x v="0"/>
  </r>
  <r>
    <n v="211629536"/>
    <x v="228"/>
    <d v="2023-05-27T00:00:00"/>
    <n v="39"/>
    <s v="month"/>
    <s v="Yes"/>
    <d v="2023-05-27T00:00:00"/>
    <n v="1"/>
    <x v="1"/>
    <x v="0"/>
  </r>
  <r>
    <n v="204953211"/>
    <x v="228"/>
    <d v="2023-05-27T00:00:00"/>
    <n v="39"/>
    <s v="month"/>
    <s v="Yes"/>
    <d v="2023-05-27T00:00:00"/>
    <n v="1"/>
    <x v="1"/>
    <x v="0"/>
  </r>
  <r>
    <n v="111394466"/>
    <x v="228"/>
    <d v="2023-06-22T00:00:00"/>
    <n v="39"/>
    <s v="month"/>
    <s v="Yes"/>
    <d v="2023-06-22T00:00:00"/>
    <n v="2"/>
    <x v="1"/>
    <x v="0"/>
  </r>
  <r>
    <n v="214107134"/>
    <x v="229"/>
    <m/>
    <n v="39"/>
    <s v="month"/>
    <s v="Yes"/>
    <d v="2023-09-30T00:00:00"/>
    <n v="5"/>
    <x v="0"/>
    <x v="0"/>
  </r>
  <r>
    <n v="214105034"/>
    <x v="229"/>
    <m/>
    <n v="39"/>
    <s v="month"/>
    <s v="Yes"/>
    <d v="2023-09-30T00:00:00"/>
    <n v="5"/>
    <x v="0"/>
    <x v="0"/>
  </r>
  <r>
    <n v="214124745"/>
    <x v="229"/>
    <d v="2023-09-07T00:00:00"/>
    <n v="39"/>
    <s v="month"/>
    <s v="Yes"/>
    <d v="2023-09-07T00:00:00"/>
    <n v="5"/>
    <x v="0"/>
    <x v="0"/>
  </r>
  <r>
    <n v="214107426"/>
    <x v="229"/>
    <d v="2023-04-22T00:00:00"/>
    <n v="39"/>
    <s v="month"/>
    <s v="No"/>
    <d v="2023-04-22T00:00:00"/>
    <n v="0"/>
    <x v="1"/>
    <x v="1"/>
  </r>
  <r>
    <n v="213980322"/>
    <x v="229"/>
    <d v="2023-06-20T00:00:00"/>
    <n v="39"/>
    <s v="month"/>
    <s v="Yes"/>
    <d v="2023-06-20T00:00:00"/>
    <n v="2"/>
    <x v="1"/>
    <x v="0"/>
  </r>
  <r>
    <n v="213434919"/>
    <x v="229"/>
    <d v="2023-04-21T00:00:00"/>
    <n v="39"/>
    <s v="month"/>
    <s v="Yes"/>
    <d v="2023-04-21T00:00:00"/>
    <n v="0"/>
    <x v="1"/>
    <x v="1"/>
  </r>
  <r>
    <n v="214129448"/>
    <x v="229"/>
    <d v="2023-07-28T00:00:00"/>
    <n v="39"/>
    <s v="month"/>
    <s v="Yes"/>
    <d v="2023-07-28T00:00:00"/>
    <n v="3"/>
    <x v="1"/>
    <x v="0"/>
  </r>
  <r>
    <n v="213944536"/>
    <x v="229"/>
    <d v="2023-06-21T00:00:00"/>
    <n v="39"/>
    <s v="month"/>
    <s v="Yes"/>
    <d v="2023-06-21T00:00:00"/>
    <n v="2"/>
    <x v="1"/>
    <x v="0"/>
  </r>
  <r>
    <n v="214052531"/>
    <x v="229"/>
    <d v="2023-08-28T00:00:00"/>
    <n v="39"/>
    <s v="month"/>
    <s v="Yes"/>
    <d v="2023-08-28T00:00:00"/>
    <n v="4"/>
    <x v="1"/>
    <x v="0"/>
  </r>
  <r>
    <n v="214196608"/>
    <x v="230"/>
    <m/>
    <n v="39"/>
    <s v="month"/>
    <s v="Yes"/>
    <d v="2023-09-30T00:00:00"/>
    <n v="5"/>
    <x v="0"/>
    <x v="0"/>
  </r>
  <r>
    <n v="125299295"/>
    <x v="230"/>
    <d v="2023-06-19T00:00:00"/>
    <n v="39"/>
    <s v="month"/>
    <s v="Yes"/>
    <d v="2023-06-19T00:00:00"/>
    <n v="2"/>
    <x v="1"/>
    <x v="0"/>
  </r>
  <r>
    <n v="214199386"/>
    <x v="230"/>
    <d v="2023-05-07T00:00:00"/>
    <n v="39"/>
    <s v="month"/>
    <s v="Yes"/>
    <d v="2023-05-07T00:00:00"/>
    <n v="1"/>
    <x v="1"/>
    <x v="0"/>
  </r>
  <r>
    <n v="214191851"/>
    <x v="230"/>
    <d v="2023-05-12T00:00:00"/>
    <n v="39"/>
    <s v="month"/>
    <s v="Yes"/>
    <d v="2023-05-12T00:00:00"/>
    <n v="1"/>
    <x v="1"/>
    <x v="0"/>
  </r>
  <r>
    <n v="214174478"/>
    <x v="230"/>
    <d v="2023-05-22T00:00:00"/>
    <n v="39"/>
    <s v="month"/>
    <s v="Yes"/>
    <d v="2023-05-22T00:00:00"/>
    <n v="1"/>
    <x v="1"/>
    <x v="0"/>
  </r>
  <r>
    <n v="214264465"/>
    <x v="231"/>
    <m/>
    <n v="39"/>
    <s v="month"/>
    <s v="Yes"/>
    <d v="2023-09-30T00:00:00"/>
    <n v="5"/>
    <x v="0"/>
    <x v="0"/>
  </r>
  <r>
    <n v="214261616"/>
    <x v="231"/>
    <m/>
    <n v="39"/>
    <s v="month"/>
    <s v="Yes"/>
    <d v="2023-09-30T00:00:00"/>
    <n v="5"/>
    <x v="0"/>
    <x v="0"/>
  </r>
  <r>
    <n v="214178644"/>
    <x v="231"/>
    <m/>
    <n v="39"/>
    <s v="month"/>
    <s v="Yes"/>
    <d v="2023-09-30T00:00:00"/>
    <n v="5"/>
    <x v="0"/>
    <x v="0"/>
  </r>
  <r>
    <n v="214202809"/>
    <x v="231"/>
    <d v="2023-05-22T00:00:00"/>
    <n v="39"/>
    <s v="month"/>
    <s v="Yes"/>
    <d v="2023-05-22T00:00:00"/>
    <n v="1"/>
    <x v="1"/>
    <x v="0"/>
  </r>
  <r>
    <n v="214220188"/>
    <x v="232"/>
    <m/>
    <n v="39"/>
    <s v="month"/>
    <s v="Yes"/>
    <d v="2023-09-30T00:00:00"/>
    <n v="5"/>
    <x v="0"/>
    <x v="0"/>
  </r>
  <r>
    <n v="212113435"/>
    <x v="232"/>
    <m/>
    <n v="39"/>
    <s v="month"/>
    <s v="Yes"/>
    <d v="2023-09-30T00:00:00"/>
    <n v="5"/>
    <x v="0"/>
    <x v="0"/>
  </r>
  <r>
    <n v="213431638"/>
    <x v="232"/>
    <m/>
    <n v="39"/>
    <s v="month"/>
    <s v="Yes"/>
    <d v="2023-09-30T00:00:00"/>
    <n v="5"/>
    <x v="0"/>
    <x v="0"/>
  </r>
  <r>
    <n v="214102994"/>
    <x v="232"/>
    <m/>
    <n v="39"/>
    <s v="month"/>
    <s v="Yes"/>
    <d v="2023-09-30T00:00:00"/>
    <n v="5"/>
    <x v="0"/>
    <x v="0"/>
  </r>
  <r>
    <n v="177266058"/>
    <x v="232"/>
    <m/>
    <n v="39"/>
    <s v="month"/>
    <s v="Yes"/>
    <d v="2023-09-30T00:00:00"/>
    <n v="5"/>
    <x v="0"/>
    <x v="0"/>
  </r>
  <r>
    <n v="116060198"/>
    <x v="232"/>
    <m/>
    <n v="39"/>
    <s v="month"/>
    <s v="Yes"/>
    <d v="2023-09-30T00:00:00"/>
    <n v="5"/>
    <x v="0"/>
    <x v="0"/>
  </r>
  <r>
    <n v="214312843"/>
    <x v="232"/>
    <m/>
    <n v="39"/>
    <s v="month"/>
    <s v="Yes"/>
    <d v="2023-09-30T00:00:00"/>
    <n v="5"/>
    <x v="0"/>
    <x v="0"/>
  </r>
  <r>
    <n v="156245288"/>
    <x v="232"/>
    <d v="2023-05-11T00:00:00"/>
    <n v="39"/>
    <s v="month"/>
    <s v="Yes"/>
    <d v="2023-05-11T00:00:00"/>
    <n v="1"/>
    <x v="1"/>
    <x v="0"/>
  </r>
  <r>
    <n v="148869972"/>
    <x v="232"/>
    <d v="2023-05-10T00:00:00"/>
    <n v="39"/>
    <s v="month"/>
    <s v="Yes"/>
    <d v="2023-05-10T00:00:00"/>
    <n v="1"/>
    <x v="1"/>
    <x v="0"/>
  </r>
  <r>
    <n v="156186115"/>
    <x v="232"/>
    <d v="2023-05-17T00:00:00"/>
    <n v="39"/>
    <s v="month"/>
    <s v="Yes"/>
    <d v="2023-05-17T00:00:00"/>
    <n v="1"/>
    <x v="1"/>
    <x v="0"/>
  </r>
  <r>
    <n v="207235755"/>
    <x v="232"/>
    <d v="2023-05-22T00:00:00"/>
    <n v="39"/>
    <s v="month"/>
    <s v="Yes"/>
    <d v="2023-05-22T00:00:00"/>
    <n v="1"/>
    <x v="1"/>
    <x v="0"/>
  </r>
  <r>
    <n v="169235213"/>
    <x v="232"/>
    <d v="2023-05-31T00:00:00"/>
    <n v="39"/>
    <s v="month"/>
    <s v="Yes"/>
    <d v="2023-05-31T00:00:00"/>
    <n v="1"/>
    <x v="1"/>
    <x v="0"/>
  </r>
  <r>
    <n v="213692152"/>
    <x v="232"/>
    <d v="2023-05-25T00:00:00"/>
    <n v="39"/>
    <s v="month"/>
    <s v="Yes"/>
    <d v="2023-05-25T00:00:00"/>
    <n v="1"/>
    <x v="1"/>
    <x v="0"/>
  </r>
  <r>
    <n v="214352003"/>
    <x v="232"/>
    <d v="2023-08-23T00:00:00"/>
    <n v="39"/>
    <s v="month"/>
    <s v="Yes"/>
    <d v="2023-08-23T00:00:00"/>
    <n v="4"/>
    <x v="1"/>
    <x v="0"/>
  </r>
  <r>
    <n v="139691790"/>
    <x v="233"/>
    <d v="2023-06-25T00:00:00"/>
    <n v="39"/>
    <s v="month"/>
    <s v="Yes"/>
    <d v="2023-06-25T00:00:00"/>
    <n v="2"/>
    <x v="1"/>
    <x v="0"/>
  </r>
  <r>
    <n v="210646453"/>
    <x v="233"/>
    <d v="2023-06-24T00:00:00"/>
    <n v="39"/>
    <s v="month"/>
    <s v="Yes"/>
    <d v="2023-06-24T00:00:00"/>
    <n v="2"/>
    <x v="1"/>
    <x v="0"/>
  </r>
  <r>
    <n v="206891005"/>
    <x v="233"/>
    <d v="2023-05-17T00:00:00"/>
    <n v="39"/>
    <s v="month"/>
    <s v="Yes"/>
    <d v="2023-05-17T00:00:00"/>
    <n v="1"/>
    <x v="1"/>
    <x v="0"/>
  </r>
  <r>
    <n v="212293354"/>
    <x v="233"/>
    <d v="2023-04-25T00:00:00"/>
    <n v="39"/>
    <s v="month"/>
    <s v="Yes"/>
    <d v="2023-04-25T00:00:00"/>
    <n v="0"/>
    <x v="1"/>
    <x v="1"/>
  </r>
  <r>
    <n v="214464069"/>
    <x v="234"/>
    <m/>
    <n v="39"/>
    <s v="month"/>
    <s v="Yes"/>
    <d v="2023-09-30T00:00:00"/>
    <n v="5"/>
    <x v="0"/>
    <x v="0"/>
  </r>
  <r>
    <n v="214446543"/>
    <x v="234"/>
    <m/>
    <n v="39"/>
    <s v="month"/>
    <s v="Yes"/>
    <d v="2023-09-30T00:00:00"/>
    <n v="5"/>
    <x v="0"/>
    <x v="0"/>
  </r>
  <r>
    <n v="212376935"/>
    <x v="234"/>
    <d v="2023-06-12T00:00:00"/>
    <n v="39"/>
    <s v="month"/>
    <s v="Yes"/>
    <d v="2023-06-12T00:00:00"/>
    <n v="2"/>
    <x v="1"/>
    <x v="0"/>
  </r>
  <r>
    <n v="173118928"/>
    <x v="234"/>
    <d v="2023-06-02T00:00:00"/>
    <n v="39"/>
    <s v="month"/>
    <s v="Yes"/>
    <d v="2023-06-02T00:00:00"/>
    <n v="2"/>
    <x v="1"/>
    <x v="0"/>
  </r>
  <r>
    <n v="214410106"/>
    <x v="234"/>
    <d v="2023-05-17T00:00:00"/>
    <n v="39"/>
    <s v="month"/>
    <s v="Yes"/>
    <d v="2023-05-17T00:00:00"/>
    <n v="1"/>
    <x v="1"/>
    <x v="0"/>
  </r>
  <r>
    <n v="214093520"/>
    <x v="234"/>
    <d v="2023-05-24T00:00:00"/>
    <n v="39"/>
    <s v="month"/>
    <s v="Yes"/>
    <d v="2023-05-24T00:00:00"/>
    <n v="1"/>
    <x v="1"/>
    <x v="0"/>
  </r>
  <r>
    <n v="214441521"/>
    <x v="234"/>
    <d v="2023-05-24T00:00:00"/>
    <n v="39"/>
    <s v="month"/>
    <s v="Yes"/>
    <d v="2023-05-24T00:00:00"/>
    <n v="1"/>
    <x v="1"/>
    <x v="0"/>
  </r>
  <r>
    <n v="214519787"/>
    <x v="235"/>
    <m/>
    <n v="39"/>
    <s v="month"/>
    <s v="Yes"/>
    <d v="2023-09-30T00:00:00"/>
    <n v="5"/>
    <x v="0"/>
    <x v="0"/>
  </r>
  <r>
    <n v="213177724"/>
    <x v="235"/>
    <m/>
    <n v="39"/>
    <s v="month"/>
    <s v="Yes"/>
    <d v="2023-09-30T00:00:00"/>
    <n v="5"/>
    <x v="0"/>
    <x v="0"/>
  </r>
  <r>
    <n v="213421956"/>
    <x v="235"/>
    <d v="2023-04-28T00:00:00"/>
    <n v="39"/>
    <s v="month"/>
    <s v="No"/>
    <d v="2023-04-28T00:00:00"/>
    <n v="0"/>
    <x v="1"/>
    <x v="1"/>
  </r>
  <r>
    <n v="151094649"/>
    <x v="235"/>
    <d v="2023-05-27T00:00:00"/>
    <n v="39"/>
    <s v="month"/>
    <s v="Yes"/>
    <d v="2023-05-27T00:00:00"/>
    <n v="1"/>
    <x v="1"/>
    <x v="0"/>
  </r>
  <r>
    <n v="160056180"/>
    <x v="235"/>
    <d v="2023-05-28T00:00:00"/>
    <n v="39"/>
    <s v="month"/>
    <s v="Yes"/>
    <d v="2023-05-28T00:00:00"/>
    <n v="1"/>
    <x v="1"/>
    <x v="0"/>
  </r>
  <r>
    <n v="166480898"/>
    <x v="235"/>
    <d v="2023-05-25T00:00:00"/>
    <n v="39"/>
    <s v="month"/>
    <s v="Yes"/>
    <d v="2023-05-25T00:00:00"/>
    <n v="1"/>
    <x v="1"/>
    <x v="0"/>
  </r>
  <r>
    <n v="182085396"/>
    <x v="235"/>
    <d v="2023-06-03T00:00:00"/>
    <n v="39"/>
    <s v="month"/>
    <s v="Yes"/>
    <d v="2023-06-03T00:00:00"/>
    <n v="2"/>
    <x v="1"/>
    <x v="0"/>
  </r>
  <r>
    <n v="214519010"/>
    <x v="235"/>
    <d v="2023-05-28T00:00:00"/>
    <n v="39"/>
    <s v="month"/>
    <s v="Yes"/>
    <d v="2023-05-28T00:00:00"/>
    <n v="1"/>
    <x v="1"/>
    <x v="0"/>
  </r>
  <r>
    <n v="148657735"/>
    <x v="235"/>
    <d v="2023-05-26T00:00:00"/>
    <n v="39"/>
    <s v="month"/>
    <s v="Yes"/>
    <d v="2023-05-26T00:00:00"/>
    <n v="1"/>
    <x v="1"/>
    <x v="0"/>
  </r>
  <r>
    <n v="214555461"/>
    <x v="236"/>
    <m/>
    <n v="39"/>
    <s v="month"/>
    <s v="Yes"/>
    <d v="2023-09-30T00:00:00"/>
    <n v="5"/>
    <x v="0"/>
    <x v="0"/>
  </r>
  <r>
    <n v="148042512"/>
    <x v="236"/>
    <m/>
    <n v="39"/>
    <s v="month"/>
    <s v="Yes"/>
    <d v="2023-09-30T00:00:00"/>
    <n v="5"/>
    <x v="0"/>
    <x v="0"/>
  </r>
  <r>
    <n v="214534717"/>
    <x v="236"/>
    <m/>
    <n v="39"/>
    <s v="month"/>
    <s v="Yes"/>
    <d v="2023-09-30T00:00:00"/>
    <n v="5"/>
    <x v="0"/>
    <x v="0"/>
  </r>
  <r>
    <n v="211223610"/>
    <x v="236"/>
    <d v="2023-07-05T00:00:00"/>
    <n v="39"/>
    <s v="month"/>
    <s v="Yes"/>
    <d v="2023-07-05T00:00:00"/>
    <n v="3"/>
    <x v="1"/>
    <x v="0"/>
  </r>
  <r>
    <n v="214444866"/>
    <x v="236"/>
    <d v="2023-06-28T00:00:00"/>
    <n v="39"/>
    <s v="month"/>
    <s v="Yes"/>
    <d v="2023-06-28T00:00:00"/>
    <n v="2"/>
    <x v="1"/>
    <x v="0"/>
  </r>
  <r>
    <n v="206477826"/>
    <x v="236"/>
    <d v="2023-06-04T00:00:00"/>
    <n v="39"/>
    <s v="month"/>
    <s v="Yes"/>
    <d v="2023-06-04T00:00:00"/>
    <n v="2"/>
    <x v="1"/>
    <x v="0"/>
  </r>
  <r>
    <n v="214589440"/>
    <x v="236"/>
    <d v="2023-05-28T00:00:00"/>
    <n v="39"/>
    <s v="month"/>
    <s v="Yes"/>
    <d v="2023-05-28T00:00:00"/>
    <n v="1"/>
    <x v="1"/>
    <x v="0"/>
  </r>
  <r>
    <n v="214516527"/>
    <x v="236"/>
    <d v="2023-05-29T00:00:00"/>
    <n v="39"/>
    <s v="month"/>
    <s v="Yes"/>
    <d v="2023-05-29T00:00:00"/>
    <n v="1"/>
    <x v="1"/>
    <x v="0"/>
  </r>
  <r>
    <n v="158980862"/>
    <x v="236"/>
    <d v="2023-05-17T00:00:00"/>
    <n v="39"/>
    <s v="month"/>
    <s v="Yes"/>
    <d v="2023-05-17T00:00:00"/>
    <n v="1"/>
    <x v="1"/>
    <x v="0"/>
  </r>
  <r>
    <n v="144769275"/>
    <x v="236"/>
    <d v="2023-04-28T00:00:00"/>
    <n v="39"/>
    <s v="month"/>
    <s v="Yes"/>
    <d v="2023-04-28T00:00:00"/>
    <n v="0"/>
    <x v="1"/>
    <x v="1"/>
  </r>
  <r>
    <n v="214508205"/>
    <x v="236"/>
    <d v="2023-07-04T00:00:00"/>
    <n v="39"/>
    <s v="month"/>
    <s v="Yes"/>
    <d v="2023-07-04T00:00:00"/>
    <n v="3"/>
    <x v="1"/>
    <x v="0"/>
  </r>
  <r>
    <n v="156178486"/>
    <x v="237"/>
    <m/>
    <n v="39"/>
    <s v="month"/>
    <s v="Yes"/>
    <d v="2023-09-30T00:00:00"/>
    <n v="5"/>
    <x v="0"/>
    <x v="0"/>
  </r>
  <r>
    <n v="214584458"/>
    <x v="237"/>
    <d v="2023-07-20T00:00:00"/>
    <n v="39"/>
    <s v="month"/>
    <s v="Yes"/>
    <d v="2023-07-20T00:00:00"/>
    <n v="3"/>
    <x v="1"/>
    <x v="0"/>
  </r>
  <r>
    <n v="181935574"/>
    <x v="238"/>
    <m/>
    <n v="39"/>
    <s v="month"/>
    <s v="Yes"/>
    <d v="2023-09-30T00:00:00"/>
    <n v="5"/>
    <x v="0"/>
    <x v="0"/>
  </r>
  <r>
    <n v="153006404"/>
    <x v="238"/>
    <d v="2023-05-20T00:00:00"/>
    <n v="39"/>
    <s v="month"/>
    <s v="Yes"/>
    <d v="2023-05-20T00:00:00"/>
    <n v="1"/>
    <x v="1"/>
    <x v="0"/>
  </r>
  <r>
    <n v="214423891"/>
    <x v="238"/>
    <d v="2023-06-02T00:00:00"/>
    <n v="39"/>
    <s v="month"/>
    <s v="Yes"/>
    <d v="2023-06-02T00:00:00"/>
    <n v="2"/>
    <x v="1"/>
    <x v="0"/>
  </r>
  <r>
    <n v="214510838"/>
    <x v="238"/>
    <d v="2023-06-06T00:00:00"/>
    <n v="39"/>
    <s v="month"/>
    <s v="Yes"/>
    <d v="2023-06-06T00:00:00"/>
    <n v="2"/>
    <x v="1"/>
    <x v="0"/>
  </r>
  <r>
    <n v="211383216"/>
    <x v="238"/>
    <d v="2023-05-02T00:00:00"/>
    <n v="39"/>
    <s v="month"/>
    <s v="Yes"/>
    <d v="2023-05-02T00:00:00"/>
    <n v="1"/>
    <x v="1"/>
    <x v="0"/>
  </r>
  <r>
    <n v="214641741"/>
    <x v="238"/>
    <d v="2023-05-01T00:00:00"/>
    <n v="39"/>
    <s v="month"/>
    <s v="Yes"/>
    <d v="2023-05-01T00:00:00"/>
    <n v="1"/>
    <x v="1"/>
    <x v="0"/>
  </r>
  <r>
    <n v="214643362"/>
    <x v="238"/>
    <d v="2023-06-30T00:00:00"/>
    <n v="39"/>
    <s v="month"/>
    <s v="Yes"/>
    <d v="2023-06-30T00:00:00"/>
    <n v="2"/>
    <x v="1"/>
    <x v="0"/>
  </r>
  <r>
    <n v="214419772"/>
    <x v="239"/>
    <m/>
    <n v="39"/>
    <s v="month"/>
    <s v="Yes"/>
    <d v="2023-09-30T00:00:00"/>
    <n v="4"/>
    <x v="1"/>
    <x v="0"/>
  </r>
  <r>
    <n v="213227787"/>
    <x v="239"/>
    <m/>
    <n v="39"/>
    <s v="month"/>
    <s v="Yes"/>
    <d v="2023-09-30T00:00:00"/>
    <n v="4"/>
    <x v="1"/>
    <x v="0"/>
  </r>
  <r>
    <n v="214666572"/>
    <x v="239"/>
    <m/>
    <n v="39"/>
    <s v="month"/>
    <s v="Yes"/>
    <d v="2023-09-30T00:00:00"/>
    <n v="4"/>
    <x v="1"/>
    <x v="0"/>
  </r>
  <r>
    <n v="126780716"/>
    <x v="239"/>
    <d v="2023-06-01T00:00:00"/>
    <n v="39"/>
    <s v="month"/>
    <s v="Yes"/>
    <d v="2023-06-01T00:00:00"/>
    <n v="1"/>
    <x v="1"/>
    <x v="0"/>
  </r>
  <r>
    <n v="214682826"/>
    <x v="239"/>
    <d v="2023-06-01T00:00:00"/>
    <n v="39"/>
    <s v="month"/>
    <s v="Yes"/>
    <d v="2023-06-01T00:00:00"/>
    <n v="1"/>
    <x v="1"/>
    <x v="0"/>
  </r>
  <r>
    <n v="212392663"/>
    <x v="239"/>
    <d v="2023-05-24T00:00:00"/>
    <n v="39"/>
    <s v="month"/>
    <s v="Yes"/>
    <d v="2023-05-24T00:00:00"/>
    <n v="0"/>
    <x v="1"/>
    <x v="1"/>
  </r>
  <r>
    <n v="147118133"/>
    <x v="239"/>
    <d v="2023-08-08T00:00:00"/>
    <n v="39"/>
    <s v="month"/>
    <s v="Yes"/>
    <d v="2023-08-08T00:00:00"/>
    <n v="3"/>
    <x v="1"/>
    <x v="0"/>
  </r>
  <r>
    <n v="157031617"/>
    <x v="240"/>
    <m/>
    <n v="39"/>
    <s v="month"/>
    <s v="Yes"/>
    <d v="2023-09-30T00:00:00"/>
    <n v="4"/>
    <x v="1"/>
    <x v="0"/>
  </r>
  <r>
    <n v="211958379"/>
    <x v="240"/>
    <m/>
    <n v="39"/>
    <s v="month"/>
    <s v="Yes"/>
    <d v="2023-09-30T00:00:00"/>
    <n v="4"/>
    <x v="1"/>
    <x v="0"/>
  </r>
  <r>
    <n v="152310842"/>
    <x v="240"/>
    <m/>
    <n v="39"/>
    <s v="month"/>
    <s v="Yes"/>
    <d v="2023-09-30T00:00:00"/>
    <n v="4"/>
    <x v="1"/>
    <x v="0"/>
  </r>
  <r>
    <n v="214711907"/>
    <x v="240"/>
    <m/>
    <n v="39"/>
    <s v="month"/>
    <s v="Yes"/>
    <d v="2023-09-30T00:00:00"/>
    <n v="4"/>
    <x v="1"/>
    <x v="0"/>
  </r>
  <r>
    <n v="150342446"/>
    <x v="240"/>
    <d v="2023-05-03T00:00:00"/>
    <n v="39"/>
    <s v="month"/>
    <s v="Yes"/>
    <d v="2023-05-03T00:00:00"/>
    <n v="0"/>
    <x v="1"/>
    <x v="1"/>
  </r>
  <r>
    <n v="214741130"/>
    <x v="240"/>
    <d v="2023-07-09T00:00:00"/>
    <n v="39"/>
    <s v="month"/>
    <s v="Yes"/>
    <d v="2023-07-09T00:00:00"/>
    <n v="2"/>
    <x v="1"/>
    <x v="0"/>
  </r>
  <r>
    <n v="214734037"/>
    <x v="240"/>
    <d v="2023-06-19T00:00:00"/>
    <n v="39"/>
    <s v="month"/>
    <s v="Yes"/>
    <d v="2023-06-19T00:00:00"/>
    <n v="1"/>
    <x v="1"/>
    <x v="0"/>
  </r>
  <r>
    <n v="214500293"/>
    <x v="240"/>
    <d v="2023-06-06T00:00:00"/>
    <n v="39"/>
    <s v="month"/>
    <s v="Yes"/>
    <d v="2023-06-06T00:00:00"/>
    <n v="1"/>
    <x v="1"/>
    <x v="0"/>
  </r>
  <r>
    <n v="214587827"/>
    <x v="240"/>
    <d v="2023-08-01T00:00:00"/>
    <n v="39"/>
    <s v="month"/>
    <s v="Yes"/>
    <d v="2023-08-01T00:00:00"/>
    <n v="3"/>
    <x v="1"/>
    <x v="0"/>
  </r>
  <r>
    <n v="214739055"/>
    <x v="240"/>
    <d v="2023-08-09T00:00:00"/>
    <n v="39"/>
    <s v="month"/>
    <s v="Yes"/>
    <d v="2023-08-09T00:00:00"/>
    <n v="3"/>
    <x v="1"/>
    <x v="0"/>
  </r>
  <r>
    <n v="163103693"/>
    <x v="240"/>
    <d v="2023-08-22T00:00:00"/>
    <n v="39"/>
    <s v="month"/>
    <s v="Yes"/>
    <d v="2023-08-22T00:00:00"/>
    <n v="3"/>
    <x v="1"/>
    <x v="0"/>
  </r>
  <r>
    <n v="214483378"/>
    <x v="241"/>
    <m/>
    <n v="39"/>
    <s v="month"/>
    <s v="Yes"/>
    <d v="2023-09-30T00:00:00"/>
    <n v="4"/>
    <x v="1"/>
    <x v="0"/>
  </r>
  <r>
    <n v="157883110"/>
    <x v="241"/>
    <m/>
    <n v="39"/>
    <s v="month"/>
    <s v="Yes"/>
    <d v="2023-09-30T00:00:00"/>
    <n v="4"/>
    <x v="1"/>
    <x v="0"/>
  </r>
  <r>
    <n v="132424181"/>
    <x v="241"/>
    <d v="2023-07-15T00:00:00"/>
    <n v="39"/>
    <s v="month"/>
    <s v="Yes"/>
    <d v="2023-07-15T00:00:00"/>
    <n v="2"/>
    <x v="1"/>
    <x v="0"/>
  </r>
  <r>
    <n v="214805206"/>
    <x v="241"/>
    <d v="2023-06-20T00:00:00"/>
    <n v="39"/>
    <s v="month"/>
    <s v="Yes"/>
    <d v="2023-06-20T00:00:00"/>
    <n v="1"/>
    <x v="1"/>
    <x v="0"/>
  </r>
  <r>
    <n v="214641940"/>
    <x v="241"/>
    <d v="2023-06-10T00:00:00"/>
    <n v="39"/>
    <s v="month"/>
    <s v="Yes"/>
    <d v="2023-06-10T00:00:00"/>
    <n v="1"/>
    <x v="1"/>
    <x v="0"/>
  </r>
  <r>
    <n v="206112289"/>
    <x v="241"/>
    <d v="2023-06-12T00:00:00"/>
    <n v="39"/>
    <s v="month"/>
    <s v="Yes"/>
    <d v="2023-06-12T00:00:00"/>
    <n v="1"/>
    <x v="1"/>
    <x v="0"/>
  </r>
  <r>
    <n v="214781323"/>
    <x v="241"/>
    <d v="2023-05-24T00:00:00"/>
    <n v="39"/>
    <s v="month"/>
    <s v="Yes"/>
    <d v="2023-05-24T00:00:00"/>
    <n v="0"/>
    <x v="1"/>
    <x v="1"/>
  </r>
  <r>
    <n v="214767936"/>
    <x v="241"/>
    <d v="2023-05-03T00:00:00"/>
    <n v="39"/>
    <s v="month"/>
    <s v="Yes"/>
    <d v="2023-05-03T00:00:00"/>
    <n v="0"/>
    <x v="1"/>
    <x v="1"/>
  </r>
  <r>
    <n v="182023209"/>
    <x v="241"/>
    <d v="2023-05-14T00:00:00"/>
    <n v="39"/>
    <s v="month"/>
    <s v="Yes"/>
    <d v="2023-05-14T00:00:00"/>
    <n v="0"/>
    <x v="1"/>
    <x v="1"/>
  </r>
  <r>
    <n v="148513036"/>
    <x v="242"/>
    <m/>
    <n v="39"/>
    <s v="month"/>
    <s v="Yes"/>
    <d v="2023-09-30T00:00:00"/>
    <n v="4"/>
    <x v="1"/>
    <x v="0"/>
  </r>
  <r>
    <n v="157910445"/>
    <x v="242"/>
    <m/>
    <n v="39"/>
    <s v="month"/>
    <s v="Yes"/>
    <d v="2023-09-30T00:00:00"/>
    <n v="4"/>
    <x v="1"/>
    <x v="0"/>
  </r>
  <r>
    <n v="213810773"/>
    <x v="242"/>
    <d v="2023-09-05T00:00:00"/>
    <n v="39"/>
    <s v="month"/>
    <s v="Yes"/>
    <d v="2023-09-05T00:00:00"/>
    <n v="4"/>
    <x v="1"/>
    <x v="0"/>
  </r>
  <r>
    <n v="154820233"/>
    <x v="242"/>
    <d v="2023-07-05T00:00:00"/>
    <n v="39"/>
    <s v="month"/>
    <s v="Yes"/>
    <d v="2023-07-05T00:00:00"/>
    <n v="2"/>
    <x v="1"/>
    <x v="0"/>
  </r>
  <r>
    <n v="214248197"/>
    <x v="242"/>
    <d v="2023-06-02T00:00:00"/>
    <n v="39"/>
    <s v="month"/>
    <s v="Yes"/>
    <d v="2023-06-02T00:00:00"/>
    <n v="1"/>
    <x v="1"/>
    <x v="0"/>
  </r>
  <r>
    <n v="214818730"/>
    <x v="242"/>
    <d v="2023-06-01T00:00:00"/>
    <n v="39"/>
    <s v="month"/>
    <s v="Yes"/>
    <d v="2023-06-01T00:00:00"/>
    <n v="1"/>
    <x v="1"/>
    <x v="0"/>
  </r>
  <r>
    <n v="186667733"/>
    <x v="242"/>
    <d v="2023-06-01T00:00:00"/>
    <n v="39"/>
    <s v="month"/>
    <s v="Yes"/>
    <d v="2023-06-01T00:00:00"/>
    <n v="1"/>
    <x v="1"/>
    <x v="0"/>
  </r>
  <r>
    <n v="214901781"/>
    <x v="243"/>
    <m/>
    <n v="39"/>
    <s v="month"/>
    <s v="Yes"/>
    <d v="2023-09-30T00:00:00"/>
    <n v="4"/>
    <x v="1"/>
    <x v="0"/>
  </r>
  <r>
    <n v="214884589"/>
    <x v="243"/>
    <m/>
    <n v="39"/>
    <s v="month"/>
    <s v="Yes"/>
    <d v="2023-09-30T00:00:00"/>
    <n v="4"/>
    <x v="1"/>
    <x v="0"/>
  </r>
  <r>
    <n v="210344586"/>
    <x v="243"/>
    <m/>
    <n v="39"/>
    <s v="month"/>
    <s v="Yes"/>
    <d v="2023-09-30T00:00:00"/>
    <n v="4"/>
    <x v="1"/>
    <x v="0"/>
  </r>
  <r>
    <n v="214813191"/>
    <x v="243"/>
    <m/>
    <n v="39"/>
    <s v="month"/>
    <s v="Yes"/>
    <d v="2023-09-30T00:00:00"/>
    <n v="4"/>
    <x v="1"/>
    <x v="0"/>
  </r>
  <r>
    <n v="214880602"/>
    <x v="243"/>
    <m/>
    <n v="39"/>
    <s v="month"/>
    <s v="Yes"/>
    <d v="2023-09-30T00:00:00"/>
    <n v="4"/>
    <x v="1"/>
    <x v="0"/>
  </r>
  <r>
    <n v="186140999"/>
    <x v="243"/>
    <d v="2023-06-03T00:00:00"/>
    <n v="39"/>
    <s v="month"/>
    <s v="Yes"/>
    <d v="2023-06-03T00:00:00"/>
    <n v="1"/>
    <x v="1"/>
    <x v="0"/>
  </r>
  <r>
    <n v="214860336"/>
    <x v="243"/>
    <d v="2023-07-03T00:00:00"/>
    <n v="39"/>
    <s v="month"/>
    <s v="Yes"/>
    <d v="2023-07-03T00:00:00"/>
    <n v="2"/>
    <x v="1"/>
    <x v="0"/>
  </r>
  <r>
    <n v="138725699"/>
    <x v="243"/>
    <d v="2023-06-12T00:00:00"/>
    <n v="39"/>
    <s v="month"/>
    <s v="Yes"/>
    <d v="2023-06-12T00:00:00"/>
    <n v="1"/>
    <x v="1"/>
    <x v="0"/>
  </r>
  <r>
    <n v="132315255"/>
    <x v="243"/>
    <d v="2023-05-05T00:00:00"/>
    <n v="39"/>
    <s v="month"/>
    <s v="Yes"/>
    <d v="2023-05-05T00:00:00"/>
    <n v="0"/>
    <x v="1"/>
    <x v="1"/>
  </r>
  <r>
    <n v="208202304"/>
    <x v="243"/>
    <d v="2023-05-05T00:00:00"/>
    <n v="39"/>
    <s v="month"/>
    <s v="Yes"/>
    <d v="2023-05-05T00:00:00"/>
    <n v="0"/>
    <x v="1"/>
    <x v="1"/>
  </r>
  <r>
    <n v="214869362"/>
    <x v="243"/>
    <d v="2023-05-31T00:00:00"/>
    <n v="39"/>
    <s v="month"/>
    <s v="Yes"/>
    <d v="2023-05-31T00:00:00"/>
    <n v="0"/>
    <x v="1"/>
    <x v="1"/>
  </r>
  <r>
    <n v="207118054"/>
    <x v="244"/>
    <m/>
    <n v="39"/>
    <s v="month"/>
    <s v="Yes"/>
    <d v="2023-09-30T00:00:00"/>
    <n v="4"/>
    <x v="1"/>
    <x v="0"/>
  </r>
  <r>
    <n v="214856586"/>
    <x v="244"/>
    <m/>
    <n v="39"/>
    <s v="month"/>
    <s v="Yes"/>
    <d v="2023-09-30T00:00:00"/>
    <n v="4"/>
    <x v="1"/>
    <x v="0"/>
  </r>
  <r>
    <n v="201945254"/>
    <x v="244"/>
    <d v="2023-06-02T00:00:00"/>
    <n v="39"/>
    <s v="month"/>
    <s v="Yes"/>
    <d v="2023-06-02T00:00:00"/>
    <n v="1"/>
    <x v="1"/>
    <x v="0"/>
  </r>
  <r>
    <n v="134531651"/>
    <x v="245"/>
    <m/>
    <n v="39"/>
    <s v="month"/>
    <s v="Yes"/>
    <d v="2023-09-30T00:00:00"/>
    <n v="4"/>
    <x v="1"/>
    <x v="0"/>
  </r>
  <r>
    <n v="204865394"/>
    <x v="245"/>
    <m/>
    <n v="39"/>
    <s v="month"/>
    <s v="Yes"/>
    <d v="2023-09-30T00:00:00"/>
    <n v="4"/>
    <x v="1"/>
    <x v="0"/>
  </r>
  <r>
    <n v="158906669"/>
    <x v="245"/>
    <m/>
    <n v="39"/>
    <s v="month"/>
    <s v="Yes"/>
    <d v="2023-09-30T00:00:00"/>
    <n v="4"/>
    <x v="1"/>
    <x v="0"/>
  </r>
  <r>
    <n v="125591366"/>
    <x v="245"/>
    <d v="2023-08-06T00:00:00"/>
    <n v="39"/>
    <s v="month"/>
    <s v="Yes"/>
    <d v="2023-08-06T00:00:00"/>
    <n v="3"/>
    <x v="1"/>
    <x v="0"/>
  </r>
  <r>
    <n v="214839844"/>
    <x v="245"/>
    <d v="2023-07-07T00:00:00"/>
    <n v="39"/>
    <s v="month"/>
    <s v="Yes"/>
    <d v="2023-07-07T00:00:00"/>
    <n v="2"/>
    <x v="1"/>
    <x v="0"/>
  </r>
  <r>
    <n v="214939612"/>
    <x v="245"/>
    <d v="2023-07-03T00:00:00"/>
    <n v="39"/>
    <s v="month"/>
    <s v="Yes"/>
    <d v="2023-07-03T00:00:00"/>
    <n v="2"/>
    <x v="1"/>
    <x v="0"/>
  </r>
  <r>
    <n v="204670100"/>
    <x v="245"/>
    <d v="2023-07-14T00:00:00"/>
    <n v="39"/>
    <s v="month"/>
    <s v="Yes"/>
    <d v="2023-07-14T00:00:00"/>
    <n v="2"/>
    <x v="1"/>
    <x v="0"/>
  </r>
  <r>
    <n v="214830539"/>
    <x v="245"/>
    <d v="2023-06-14T00:00:00"/>
    <n v="39"/>
    <s v="month"/>
    <s v="Yes"/>
    <d v="2023-06-14T00:00:00"/>
    <n v="1"/>
    <x v="1"/>
    <x v="0"/>
  </r>
  <r>
    <n v="185952990"/>
    <x v="245"/>
    <d v="2023-06-10T00:00:00"/>
    <n v="39"/>
    <s v="month"/>
    <s v="Yes"/>
    <d v="2023-06-10T00:00:00"/>
    <n v="1"/>
    <x v="1"/>
    <x v="0"/>
  </r>
  <r>
    <n v="214936311"/>
    <x v="245"/>
    <d v="2023-05-07T00:00:00"/>
    <n v="39"/>
    <s v="month"/>
    <s v="Yes"/>
    <d v="2023-05-07T00:00:00"/>
    <n v="0"/>
    <x v="1"/>
    <x v="1"/>
  </r>
  <r>
    <n v="214620392"/>
    <x v="245"/>
    <d v="2023-07-07T00:00:00"/>
    <n v="39"/>
    <s v="month"/>
    <s v="Yes"/>
    <d v="2023-07-07T00:00:00"/>
    <n v="2"/>
    <x v="1"/>
    <x v="0"/>
  </r>
  <r>
    <n v="157935884"/>
    <x v="246"/>
    <m/>
    <n v="39"/>
    <s v="month"/>
    <s v="Yes"/>
    <d v="2023-09-30T00:00:00"/>
    <n v="4"/>
    <x v="1"/>
    <x v="0"/>
  </r>
  <r>
    <n v="214945706"/>
    <x v="246"/>
    <m/>
    <n v="39"/>
    <s v="month"/>
    <s v="Yes"/>
    <d v="2023-09-30T00:00:00"/>
    <n v="4"/>
    <x v="1"/>
    <x v="0"/>
  </r>
  <r>
    <n v="214999374"/>
    <x v="246"/>
    <m/>
    <n v="39"/>
    <s v="month"/>
    <s v="Yes"/>
    <d v="2023-09-30T00:00:00"/>
    <n v="4"/>
    <x v="1"/>
    <x v="0"/>
  </r>
  <r>
    <n v="214986467"/>
    <x v="246"/>
    <m/>
    <n v="39"/>
    <s v="month"/>
    <s v="Yes"/>
    <d v="2023-09-30T00:00:00"/>
    <n v="4"/>
    <x v="1"/>
    <x v="0"/>
  </r>
  <r>
    <n v="214984741"/>
    <x v="246"/>
    <m/>
    <n v="39"/>
    <s v="month"/>
    <s v="Yes"/>
    <d v="2023-09-30T00:00:00"/>
    <n v="4"/>
    <x v="1"/>
    <x v="0"/>
  </r>
  <r>
    <n v="214993166"/>
    <x v="246"/>
    <m/>
    <n v="39"/>
    <s v="month"/>
    <s v="Yes"/>
    <d v="2023-09-30T00:00:00"/>
    <n v="4"/>
    <x v="1"/>
    <x v="0"/>
  </r>
  <r>
    <n v="203116697"/>
    <x v="246"/>
    <m/>
    <n v="39"/>
    <s v="month"/>
    <s v="Yes"/>
    <d v="2023-09-30T00:00:00"/>
    <n v="4"/>
    <x v="1"/>
    <x v="0"/>
  </r>
  <r>
    <n v="214906741"/>
    <x v="246"/>
    <m/>
    <n v="39"/>
    <s v="month"/>
    <s v="Yes"/>
    <d v="2023-09-30T00:00:00"/>
    <n v="4"/>
    <x v="1"/>
    <x v="0"/>
  </r>
  <r>
    <n v="128977818"/>
    <x v="246"/>
    <d v="2023-09-06T00:00:00"/>
    <n v="39"/>
    <s v="month"/>
    <s v="Yes"/>
    <d v="2023-09-06T00:00:00"/>
    <n v="4"/>
    <x v="1"/>
    <x v="0"/>
  </r>
  <r>
    <n v="209743418"/>
    <x v="246"/>
    <d v="2023-05-09T00:00:00"/>
    <n v="39"/>
    <s v="month"/>
    <s v="Yes"/>
    <d v="2023-05-09T00:00:00"/>
    <n v="0"/>
    <x v="1"/>
    <x v="1"/>
  </r>
  <r>
    <n v="209743418"/>
    <x v="246"/>
    <d v="2023-07-08T00:00:00"/>
    <n v="39"/>
    <s v="month"/>
    <s v="Yes"/>
    <d v="2023-07-08T00:00:00"/>
    <n v="2"/>
    <x v="1"/>
    <x v="0"/>
  </r>
  <r>
    <n v="130868671"/>
    <x v="246"/>
    <d v="2023-06-14T00:00:00"/>
    <n v="39"/>
    <s v="month"/>
    <s v="Yes"/>
    <d v="2023-06-14T00:00:00"/>
    <n v="1"/>
    <x v="1"/>
    <x v="0"/>
  </r>
  <r>
    <n v="146963394"/>
    <x v="246"/>
    <d v="2023-07-04T00:00:00"/>
    <n v="39"/>
    <s v="month"/>
    <s v="Yes"/>
    <d v="2023-07-04T00:00:00"/>
    <n v="2"/>
    <x v="1"/>
    <x v="0"/>
  </r>
  <r>
    <n v="214960770"/>
    <x v="246"/>
    <d v="2023-07-03T00:00:00"/>
    <n v="39"/>
    <s v="month"/>
    <s v="Yes"/>
    <d v="2023-07-03T00:00:00"/>
    <n v="2"/>
    <x v="1"/>
    <x v="0"/>
  </r>
  <r>
    <n v="207344872"/>
    <x v="246"/>
    <d v="2023-06-07T00:00:00"/>
    <n v="39"/>
    <s v="month"/>
    <s v="Yes"/>
    <d v="2023-06-07T00:00:00"/>
    <n v="1"/>
    <x v="1"/>
    <x v="0"/>
  </r>
  <r>
    <n v="202925989"/>
    <x v="246"/>
    <d v="2023-06-15T00:00:00"/>
    <n v="39"/>
    <s v="month"/>
    <s v="Yes"/>
    <d v="2023-06-15T00:00:00"/>
    <n v="1"/>
    <x v="1"/>
    <x v="0"/>
  </r>
  <r>
    <n v="214991976"/>
    <x v="246"/>
    <d v="2023-06-22T00:00:00"/>
    <n v="39"/>
    <s v="month"/>
    <s v="Yes"/>
    <d v="2023-06-22T00:00:00"/>
    <n v="1"/>
    <x v="1"/>
    <x v="0"/>
  </r>
  <r>
    <n v="211917633"/>
    <x v="246"/>
    <d v="2023-05-25T00:00:00"/>
    <n v="39"/>
    <s v="month"/>
    <s v="Yes"/>
    <d v="2023-05-25T00:00:00"/>
    <n v="0"/>
    <x v="1"/>
    <x v="1"/>
  </r>
  <r>
    <n v="214623264"/>
    <x v="246"/>
    <d v="2023-07-15T00:00:00"/>
    <n v="39"/>
    <s v="month"/>
    <s v="Yes"/>
    <d v="2023-07-15T00:00:00"/>
    <n v="2"/>
    <x v="1"/>
    <x v="0"/>
  </r>
  <r>
    <n v="205339362"/>
    <x v="246"/>
    <d v="2023-07-08T00:00:00"/>
    <n v="39"/>
    <s v="month"/>
    <s v="Yes"/>
    <d v="2023-07-08T00:00:00"/>
    <n v="2"/>
    <x v="1"/>
    <x v="0"/>
  </r>
  <r>
    <n v="214956352"/>
    <x v="247"/>
    <m/>
    <n v="39"/>
    <s v="month"/>
    <s v="Yes"/>
    <d v="2023-09-30T00:00:00"/>
    <n v="4"/>
    <x v="1"/>
    <x v="0"/>
  </r>
  <r>
    <n v="196061402"/>
    <x v="247"/>
    <m/>
    <n v="39"/>
    <s v="month"/>
    <s v="Yes"/>
    <d v="2023-09-30T00:00:00"/>
    <n v="4"/>
    <x v="1"/>
    <x v="0"/>
  </r>
  <r>
    <n v="215019022"/>
    <x v="247"/>
    <m/>
    <n v="39"/>
    <s v="month"/>
    <s v="Yes"/>
    <d v="2023-09-30T00:00:00"/>
    <n v="4"/>
    <x v="1"/>
    <x v="0"/>
  </r>
  <r>
    <n v="185517087"/>
    <x v="247"/>
    <m/>
    <n v="39"/>
    <s v="month"/>
    <s v="Yes"/>
    <d v="2023-09-30T00:00:00"/>
    <n v="4"/>
    <x v="1"/>
    <x v="0"/>
  </r>
  <r>
    <n v="151513254"/>
    <x v="247"/>
    <d v="2023-05-09T00:00:00"/>
    <n v="39"/>
    <s v="month"/>
    <s v="Yes"/>
    <d v="2023-05-09T00:00:00"/>
    <n v="0"/>
    <x v="1"/>
    <x v="1"/>
  </r>
  <r>
    <n v="214952558"/>
    <x v="247"/>
    <d v="2023-05-10T00:00:00"/>
    <n v="39"/>
    <s v="month"/>
    <s v="No"/>
    <d v="2023-05-10T00:00:00"/>
    <n v="0"/>
    <x v="1"/>
    <x v="1"/>
  </r>
  <r>
    <n v="139339380"/>
    <x v="247"/>
    <d v="2023-06-18T00:00:00"/>
    <n v="39"/>
    <s v="month"/>
    <s v="Yes"/>
    <d v="2023-06-18T00:00:00"/>
    <n v="1"/>
    <x v="1"/>
    <x v="0"/>
  </r>
  <r>
    <n v="208188866"/>
    <x v="247"/>
    <d v="2023-06-09T00:00:00"/>
    <n v="39"/>
    <s v="month"/>
    <s v="Yes"/>
    <d v="2023-06-09T00:00:00"/>
    <n v="1"/>
    <x v="1"/>
    <x v="0"/>
  </r>
  <r>
    <n v="150342446"/>
    <x v="247"/>
    <d v="2023-06-16T00:00:00"/>
    <n v="39"/>
    <s v="month"/>
    <s v="Yes"/>
    <d v="2023-06-16T00:00:00"/>
    <n v="1"/>
    <x v="1"/>
    <x v="0"/>
  </r>
  <r>
    <n v="188748372"/>
    <x v="247"/>
    <d v="2023-06-16T00:00:00"/>
    <n v="39"/>
    <s v="month"/>
    <s v="Yes"/>
    <d v="2023-06-16T00:00:00"/>
    <n v="1"/>
    <x v="1"/>
    <x v="0"/>
  </r>
  <r>
    <n v="215034356"/>
    <x v="247"/>
    <d v="2023-05-09T00:00:00"/>
    <n v="39"/>
    <s v="month"/>
    <s v="Yes"/>
    <d v="2023-05-09T00:00:00"/>
    <n v="0"/>
    <x v="1"/>
    <x v="1"/>
  </r>
  <r>
    <n v="145013444"/>
    <x v="247"/>
    <d v="2023-05-29T00:00:00"/>
    <n v="39"/>
    <s v="month"/>
    <s v="Yes"/>
    <d v="2023-05-29T00:00:00"/>
    <n v="0"/>
    <x v="1"/>
    <x v="1"/>
  </r>
  <r>
    <n v="164548755"/>
    <x v="247"/>
    <d v="2023-07-16T00:00:00"/>
    <n v="39"/>
    <s v="month"/>
    <s v="Yes"/>
    <d v="2023-07-16T00:00:00"/>
    <n v="2"/>
    <x v="1"/>
    <x v="0"/>
  </r>
  <r>
    <n v="193315330"/>
    <x v="247"/>
    <d v="2023-08-16T00:00:00"/>
    <n v="39"/>
    <s v="month"/>
    <s v="Yes"/>
    <d v="2023-08-16T00:00:00"/>
    <n v="3"/>
    <x v="1"/>
    <x v="0"/>
  </r>
  <r>
    <n v="147592201"/>
    <x v="248"/>
    <m/>
    <n v="39"/>
    <s v="month"/>
    <s v="Yes"/>
    <d v="2023-09-30T00:00:00"/>
    <n v="4"/>
    <x v="1"/>
    <x v="0"/>
  </r>
  <r>
    <n v="192068317"/>
    <x v="248"/>
    <m/>
    <n v="39"/>
    <s v="month"/>
    <s v="Yes"/>
    <d v="2023-09-30T00:00:00"/>
    <n v="4"/>
    <x v="1"/>
    <x v="0"/>
  </r>
  <r>
    <n v="214396083"/>
    <x v="248"/>
    <m/>
    <n v="39"/>
    <s v="month"/>
    <s v="Yes"/>
    <d v="2023-09-30T00:00:00"/>
    <n v="4"/>
    <x v="1"/>
    <x v="0"/>
  </r>
  <r>
    <n v="214698924"/>
    <x v="248"/>
    <d v="2023-05-10T00:00:00"/>
    <n v="39"/>
    <s v="month"/>
    <s v="Yes"/>
    <d v="2023-05-10T00:00:00"/>
    <n v="0"/>
    <x v="1"/>
    <x v="1"/>
  </r>
  <r>
    <n v="153402484"/>
    <x v="248"/>
    <d v="2023-06-09T00:00:00"/>
    <n v="39"/>
    <s v="month"/>
    <s v="Yes"/>
    <d v="2023-06-09T00:00:00"/>
    <n v="1"/>
    <x v="1"/>
    <x v="0"/>
  </r>
  <r>
    <n v="214809412"/>
    <x v="248"/>
    <d v="2023-08-09T00:00:00"/>
    <n v="39"/>
    <s v="month"/>
    <s v="Yes"/>
    <d v="2023-08-09T00:00:00"/>
    <n v="3"/>
    <x v="1"/>
    <x v="0"/>
  </r>
  <r>
    <n v="215062365"/>
    <x v="248"/>
    <d v="2023-08-03T00:00:00"/>
    <n v="39"/>
    <s v="month"/>
    <s v="Yes"/>
    <d v="2023-08-03T00:00:00"/>
    <n v="3"/>
    <x v="1"/>
    <x v="0"/>
  </r>
  <r>
    <n v="135185873"/>
    <x v="249"/>
    <m/>
    <n v="39"/>
    <s v="month"/>
    <s v="Yes"/>
    <d v="2023-09-30T00:00:00"/>
    <n v="4"/>
    <x v="1"/>
    <x v="0"/>
  </r>
  <r>
    <n v="144898968"/>
    <x v="249"/>
    <m/>
    <n v="39"/>
    <s v="month"/>
    <s v="Yes"/>
    <d v="2023-09-30T00:00:00"/>
    <n v="4"/>
    <x v="1"/>
    <x v="0"/>
  </r>
  <r>
    <n v="214973231"/>
    <x v="249"/>
    <m/>
    <n v="39"/>
    <s v="month"/>
    <s v="Yes"/>
    <d v="2023-09-30T00:00:00"/>
    <n v="4"/>
    <x v="1"/>
    <x v="0"/>
  </r>
  <r>
    <n v="214971897"/>
    <x v="249"/>
    <m/>
    <n v="39"/>
    <s v="month"/>
    <s v="Yes"/>
    <d v="2023-09-30T00:00:00"/>
    <n v="4"/>
    <x v="1"/>
    <x v="0"/>
  </r>
  <r>
    <n v="134919488"/>
    <x v="249"/>
    <d v="2023-08-07T00:00:00"/>
    <n v="39"/>
    <s v="month"/>
    <s v="Yes"/>
    <d v="2023-08-07T00:00:00"/>
    <n v="3"/>
    <x v="1"/>
    <x v="0"/>
  </r>
  <r>
    <n v="214912916"/>
    <x v="249"/>
    <d v="2023-06-11T00:00:00"/>
    <n v="39"/>
    <s v="month"/>
    <s v="Yes"/>
    <d v="2023-06-11T00:00:00"/>
    <n v="1"/>
    <x v="1"/>
    <x v="0"/>
  </r>
  <r>
    <n v="215138344"/>
    <x v="249"/>
    <d v="2023-06-02T00:00:00"/>
    <n v="39"/>
    <s v="month"/>
    <s v="Yes"/>
    <d v="2023-06-02T00:00:00"/>
    <n v="1"/>
    <x v="1"/>
    <x v="0"/>
  </r>
  <r>
    <n v="215132378"/>
    <x v="249"/>
    <d v="2023-06-05T00:00:00"/>
    <n v="39"/>
    <s v="month"/>
    <s v="Yes"/>
    <d v="2023-06-05T00:00:00"/>
    <n v="1"/>
    <x v="1"/>
    <x v="0"/>
  </r>
  <r>
    <n v="206145911"/>
    <x v="249"/>
    <d v="2023-05-11T00:00:00"/>
    <n v="39"/>
    <s v="month"/>
    <s v="Yes"/>
    <d v="2023-05-11T00:00:00"/>
    <n v="0"/>
    <x v="1"/>
    <x v="1"/>
  </r>
  <r>
    <n v="215146368"/>
    <x v="249"/>
    <d v="2023-05-19T00:00:00"/>
    <n v="39"/>
    <s v="month"/>
    <s v="Yes"/>
    <d v="2023-05-19T00:00:00"/>
    <n v="0"/>
    <x v="1"/>
    <x v="1"/>
  </r>
  <r>
    <n v="133199506"/>
    <x v="250"/>
    <m/>
    <n v="39"/>
    <s v="month"/>
    <s v="Yes"/>
    <d v="2023-09-30T00:00:00"/>
    <n v="4"/>
    <x v="1"/>
    <x v="0"/>
  </r>
  <r>
    <n v="202763494"/>
    <x v="250"/>
    <m/>
    <n v="39"/>
    <s v="month"/>
    <s v="Yes"/>
    <d v="2023-09-30T00:00:00"/>
    <n v="4"/>
    <x v="1"/>
    <x v="0"/>
  </r>
  <r>
    <n v="215113205"/>
    <x v="250"/>
    <m/>
    <n v="39"/>
    <s v="month"/>
    <s v="Yes"/>
    <d v="2023-09-30T00:00:00"/>
    <n v="4"/>
    <x v="1"/>
    <x v="0"/>
  </r>
  <r>
    <n v="147097108"/>
    <x v="250"/>
    <m/>
    <n v="39"/>
    <s v="month"/>
    <s v="Yes"/>
    <d v="2023-09-30T00:00:00"/>
    <n v="4"/>
    <x v="1"/>
    <x v="0"/>
  </r>
  <r>
    <n v="186692270"/>
    <x v="250"/>
    <m/>
    <n v="39"/>
    <s v="month"/>
    <s v="Yes"/>
    <d v="2023-09-30T00:00:00"/>
    <n v="4"/>
    <x v="1"/>
    <x v="0"/>
  </r>
  <r>
    <n v="215169444"/>
    <x v="250"/>
    <m/>
    <n v="39"/>
    <s v="month"/>
    <s v="Yes"/>
    <d v="2023-09-30T00:00:00"/>
    <n v="4"/>
    <x v="1"/>
    <x v="0"/>
  </r>
  <r>
    <n v="114992353"/>
    <x v="250"/>
    <d v="2023-08-14T00:00:00"/>
    <n v="39"/>
    <s v="month"/>
    <s v="Yes"/>
    <d v="2023-08-14T00:00:00"/>
    <n v="3"/>
    <x v="1"/>
    <x v="0"/>
  </r>
  <r>
    <n v="212339137"/>
    <x v="250"/>
    <d v="2023-05-13T00:00:00"/>
    <n v="39"/>
    <s v="month"/>
    <s v="Yes"/>
    <d v="2023-05-13T00:00:00"/>
    <n v="0"/>
    <x v="1"/>
    <x v="1"/>
  </r>
  <r>
    <n v="175564124"/>
    <x v="250"/>
    <d v="2023-06-04T00:00:00"/>
    <n v="39"/>
    <s v="month"/>
    <s v="Yes"/>
    <d v="2023-06-04T00:00:00"/>
    <n v="1"/>
    <x v="1"/>
    <x v="0"/>
  </r>
  <r>
    <n v="174646950"/>
    <x v="250"/>
    <d v="2023-06-19T00:00:00"/>
    <n v="39"/>
    <s v="month"/>
    <s v="Yes"/>
    <d v="2023-06-19T00:00:00"/>
    <n v="1"/>
    <x v="1"/>
    <x v="0"/>
  </r>
  <r>
    <n v="215075697"/>
    <x v="250"/>
    <d v="2023-06-11T00:00:00"/>
    <n v="39"/>
    <s v="month"/>
    <s v="Yes"/>
    <d v="2023-06-11T00:00:00"/>
    <n v="1"/>
    <x v="1"/>
    <x v="0"/>
  </r>
  <r>
    <n v="215149530"/>
    <x v="250"/>
    <d v="2023-06-30T00:00:00"/>
    <n v="39"/>
    <s v="month"/>
    <s v="Yes"/>
    <d v="2023-06-30T00:00:00"/>
    <n v="1"/>
    <x v="1"/>
    <x v="0"/>
  </r>
  <r>
    <n v="215226464"/>
    <x v="251"/>
    <m/>
    <n v="39"/>
    <s v="month"/>
    <s v="Yes"/>
    <d v="2023-09-30T00:00:00"/>
    <n v="4"/>
    <x v="1"/>
    <x v="0"/>
  </r>
  <r>
    <n v="215221354"/>
    <x v="251"/>
    <m/>
    <n v="39"/>
    <s v="month"/>
    <s v="Yes"/>
    <d v="2023-09-30T00:00:00"/>
    <n v="4"/>
    <x v="1"/>
    <x v="0"/>
  </r>
  <r>
    <n v="215031638"/>
    <x v="251"/>
    <m/>
    <n v="39"/>
    <s v="month"/>
    <s v="Yes"/>
    <d v="2023-09-30T00:00:00"/>
    <n v="4"/>
    <x v="1"/>
    <x v="0"/>
  </r>
  <r>
    <n v="182019861"/>
    <x v="252"/>
    <m/>
    <n v="39"/>
    <s v="month"/>
    <s v="Yes"/>
    <d v="2023-09-30T00:00:00"/>
    <n v="4"/>
    <x v="1"/>
    <x v="0"/>
  </r>
  <r>
    <n v="210072231"/>
    <x v="252"/>
    <m/>
    <n v="39"/>
    <s v="month"/>
    <s v="Yes"/>
    <d v="2023-09-30T00:00:00"/>
    <n v="4"/>
    <x v="1"/>
    <x v="0"/>
  </r>
  <r>
    <n v="127328847"/>
    <x v="252"/>
    <d v="2023-05-15T00:00:00"/>
    <n v="39"/>
    <s v="month"/>
    <s v="Yes"/>
    <d v="2023-05-15T00:00:00"/>
    <n v="0"/>
    <x v="1"/>
    <x v="1"/>
  </r>
  <r>
    <n v="155566052"/>
    <x v="252"/>
    <d v="2023-06-12T00:00:00"/>
    <n v="39"/>
    <s v="month"/>
    <s v="Yes"/>
    <d v="2023-06-12T00:00:00"/>
    <n v="1"/>
    <x v="1"/>
    <x v="0"/>
  </r>
  <r>
    <n v="151513254"/>
    <x v="252"/>
    <d v="2023-06-20T00:00:00"/>
    <n v="39"/>
    <s v="month"/>
    <s v="Yes"/>
    <d v="2023-06-20T00:00:00"/>
    <n v="1"/>
    <x v="1"/>
    <x v="0"/>
  </r>
  <r>
    <n v="152236400"/>
    <x v="252"/>
    <d v="2023-07-06T00:00:00"/>
    <n v="39"/>
    <s v="month"/>
    <s v="Yes"/>
    <d v="2023-07-06T00:00:00"/>
    <n v="2"/>
    <x v="1"/>
    <x v="0"/>
  </r>
  <r>
    <n v="215030324"/>
    <x v="252"/>
    <d v="2023-08-14T00:00:00"/>
    <n v="39"/>
    <s v="month"/>
    <s v="Yes"/>
    <d v="2023-08-14T00:00:00"/>
    <n v="3"/>
    <x v="1"/>
    <x v="0"/>
  </r>
  <r>
    <n v="206087650"/>
    <x v="252"/>
    <d v="2023-07-21T00:00:00"/>
    <n v="39"/>
    <s v="month"/>
    <s v="Yes"/>
    <d v="2023-07-21T00:00:00"/>
    <n v="2"/>
    <x v="1"/>
    <x v="0"/>
  </r>
  <r>
    <n v="136252657"/>
    <x v="253"/>
    <d v="2023-07-05T00:00:00"/>
    <n v="39"/>
    <s v="month"/>
    <s v="Yes"/>
    <d v="2023-07-05T00:00:00"/>
    <n v="2"/>
    <x v="1"/>
    <x v="0"/>
  </r>
  <r>
    <n v="134753801"/>
    <x v="253"/>
    <d v="2023-07-12T00:00:00"/>
    <n v="39"/>
    <s v="month"/>
    <s v="Yes"/>
    <d v="2023-07-12T00:00:00"/>
    <n v="2"/>
    <x v="1"/>
    <x v="0"/>
  </r>
  <r>
    <n v="155245092"/>
    <x v="253"/>
    <d v="2023-06-16T00:00:00"/>
    <n v="39"/>
    <s v="month"/>
    <s v="Yes"/>
    <d v="2023-06-16T00:00:00"/>
    <n v="1"/>
    <x v="1"/>
    <x v="0"/>
  </r>
  <r>
    <n v="214905500"/>
    <x v="253"/>
    <d v="2023-08-22T00:00:00"/>
    <n v="39"/>
    <s v="month"/>
    <s v="Yes"/>
    <d v="2023-08-22T00:00:00"/>
    <n v="3"/>
    <x v="1"/>
    <x v="0"/>
  </r>
  <r>
    <n v="215152504"/>
    <x v="254"/>
    <m/>
    <n v="39"/>
    <s v="month"/>
    <s v="Yes"/>
    <d v="2023-09-30T00:00:00"/>
    <n v="4"/>
    <x v="1"/>
    <x v="0"/>
  </r>
  <r>
    <n v="215336639"/>
    <x v="254"/>
    <m/>
    <n v="39"/>
    <s v="month"/>
    <s v="Yes"/>
    <d v="2023-09-30T00:00:00"/>
    <n v="4"/>
    <x v="1"/>
    <x v="0"/>
  </r>
  <r>
    <n v="215220026"/>
    <x v="254"/>
    <m/>
    <n v="39"/>
    <s v="month"/>
    <s v="Yes"/>
    <d v="2023-09-30T00:00:00"/>
    <n v="4"/>
    <x v="1"/>
    <x v="0"/>
  </r>
  <r>
    <n v="202395800"/>
    <x v="254"/>
    <m/>
    <n v="39"/>
    <s v="month"/>
    <s v="Yes"/>
    <d v="2023-09-30T00:00:00"/>
    <n v="4"/>
    <x v="1"/>
    <x v="0"/>
  </r>
  <r>
    <n v="215289431"/>
    <x v="254"/>
    <d v="2023-08-22T00:00:00"/>
    <n v="39"/>
    <s v="month"/>
    <s v="Yes"/>
    <d v="2023-08-22T00:00:00"/>
    <n v="3"/>
    <x v="1"/>
    <x v="0"/>
  </r>
  <r>
    <n v="182102820"/>
    <x v="254"/>
    <d v="2023-05-17T00:00:00"/>
    <n v="39"/>
    <s v="month"/>
    <s v="Yes"/>
    <d v="2023-05-17T00:00:00"/>
    <n v="0"/>
    <x v="1"/>
    <x v="1"/>
  </r>
  <r>
    <n v="215322558"/>
    <x v="254"/>
    <d v="2023-06-23T00:00:00"/>
    <n v="39"/>
    <s v="month"/>
    <s v="Yes"/>
    <d v="2023-06-23T00:00:00"/>
    <n v="1"/>
    <x v="1"/>
    <x v="0"/>
  </r>
  <r>
    <n v="215347417"/>
    <x v="254"/>
    <d v="2023-05-25T00:00:00"/>
    <n v="39"/>
    <s v="month"/>
    <s v="Yes"/>
    <d v="2023-05-25T00:00:00"/>
    <n v="0"/>
    <x v="1"/>
    <x v="1"/>
  </r>
  <r>
    <n v="215203944"/>
    <x v="254"/>
    <d v="2023-07-11T00:00:00"/>
    <n v="39"/>
    <s v="month"/>
    <s v="Yes"/>
    <d v="2023-07-11T00:00:00"/>
    <n v="2"/>
    <x v="1"/>
    <x v="0"/>
  </r>
  <r>
    <n v="215350747"/>
    <x v="254"/>
    <d v="2023-08-03T00:00:00"/>
    <n v="39"/>
    <s v="month"/>
    <s v="Yes"/>
    <d v="2023-08-03T00:00:00"/>
    <n v="3"/>
    <x v="1"/>
    <x v="0"/>
  </r>
  <r>
    <n v="215254830"/>
    <x v="254"/>
    <d v="2023-08-02T00:00:00"/>
    <n v="39"/>
    <s v="month"/>
    <s v="Yes"/>
    <d v="2023-08-02T00:00:00"/>
    <n v="3"/>
    <x v="1"/>
    <x v="0"/>
  </r>
  <r>
    <n v="192908537"/>
    <x v="254"/>
    <d v="2023-06-16T00:00:00"/>
    <n v="39"/>
    <s v="month"/>
    <s v="Yes"/>
    <d v="2023-06-16T00:00:00"/>
    <n v="1"/>
    <x v="1"/>
    <x v="0"/>
  </r>
  <r>
    <n v="123007965"/>
    <x v="255"/>
    <m/>
    <n v="39"/>
    <s v="month"/>
    <s v="Yes"/>
    <d v="2023-09-30T00:00:00"/>
    <n v="4"/>
    <x v="1"/>
    <x v="0"/>
  </r>
  <r>
    <n v="151711223"/>
    <x v="255"/>
    <m/>
    <n v="39"/>
    <s v="month"/>
    <s v="Yes"/>
    <d v="2023-09-30T00:00:00"/>
    <n v="4"/>
    <x v="1"/>
    <x v="0"/>
  </r>
  <r>
    <n v="130751382"/>
    <x v="255"/>
    <m/>
    <n v="39"/>
    <s v="month"/>
    <s v="Yes"/>
    <d v="2023-09-30T00:00:00"/>
    <n v="4"/>
    <x v="1"/>
    <x v="0"/>
  </r>
  <r>
    <n v="126037254"/>
    <x v="255"/>
    <m/>
    <n v="39"/>
    <s v="month"/>
    <s v="Yes"/>
    <d v="2023-09-30T00:00:00"/>
    <n v="4"/>
    <x v="1"/>
    <x v="0"/>
  </r>
  <r>
    <n v="133469770"/>
    <x v="255"/>
    <m/>
    <n v="39"/>
    <s v="month"/>
    <s v="Yes"/>
    <d v="2023-09-30T00:00:00"/>
    <n v="4"/>
    <x v="1"/>
    <x v="0"/>
  </r>
  <r>
    <n v="133565657"/>
    <x v="255"/>
    <d v="2023-08-10T00:00:00"/>
    <n v="39"/>
    <s v="month"/>
    <s v="Yes"/>
    <d v="2023-08-10T00:00:00"/>
    <n v="3"/>
    <x v="1"/>
    <x v="0"/>
  </r>
  <r>
    <n v="215307979"/>
    <x v="255"/>
    <d v="2023-06-24T00:00:00"/>
    <n v="39"/>
    <s v="month"/>
    <s v="Yes"/>
    <d v="2023-06-24T00:00:00"/>
    <n v="1"/>
    <x v="1"/>
    <x v="0"/>
  </r>
  <r>
    <n v="174289942"/>
    <x v="255"/>
    <d v="2023-07-21T00:00:00"/>
    <n v="39"/>
    <s v="month"/>
    <s v="Yes"/>
    <d v="2023-07-21T00:00:00"/>
    <n v="2"/>
    <x v="1"/>
    <x v="0"/>
  </r>
  <r>
    <n v="215366550"/>
    <x v="255"/>
    <d v="2023-08-01T00:00:00"/>
    <n v="39"/>
    <s v="month"/>
    <s v="Yes"/>
    <d v="2023-08-01T00:00:00"/>
    <n v="3"/>
    <x v="1"/>
    <x v="0"/>
  </r>
  <r>
    <n v="210361390"/>
    <x v="256"/>
    <m/>
    <n v="39"/>
    <s v="month"/>
    <s v="Yes"/>
    <d v="2023-09-30T00:00:00"/>
    <n v="4"/>
    <x v="1"/>
    <x v="0"/>
  </r>
  <r>
    <n v="120738319"/>
    <x v="256"/>
    <m/>
    <n v="39"/>
    <s v="month"/>
    <s v="Yes"/>
    <d v="2023-09-30T00:00:00"/>
    <n v="4"/>
    <x v="1"/>
    <x v="0"/>
  </r>
  <r>
    <n v="214122861"/>
    <x v="256"/>
    <m/>
    <n v="39"/>
    <s v="month"/>
    <s v="Yes"/>
    <d v="2023-09-30T00:00:00"/>
    <n v="4"/>
    <x v="1"/>
    <x v="0"/>
  </r>
  <r>
    <n v="214793162"/>
    <x v="256"/>
    <m/>
    <n v="39"/>
    <s v="month"/>
    <s v="Yes"/>
    <d v="2023-09-30T00:00:00"/>
    <n v="4"/>
    <x v="1"/>
    <x v="0"/>
  </r>
  <r>
    <n v="215420480"/>
    <x v="256"/>
    <d v="2023-09-06T00:00:00"/>
    <n v="39"/>
    <s v="month"/>
    <s v="Yes"/>
    <d v="2023-09-06T00:00:00"/>
    <n v="4"/>
    <x v="1"/>
    <x v="0"/>
  </r>
  <r>
    <n v="215415792"/>
    <x v="256"/>
    <d v="2023-05-19T00:00:00"/>
    <n v="39"/>
    <s v="month"/>
    <s v="No"/>
    <d v="2023-05-19T00:00:00"/>
    <n v="0"/>
    <x v="1"/>
    <x v="1"/>
  </r>
  <r>
    <n v="152705871"/>
    <x v="256"/>
    <d v="2023-05-25T00:00:00"/>
    <n v="39"/>
    <s v="month"/>
    <s v="Yes"/>
    <d v="2023-05-25T00:00:00"/>
    <n v="0"/>
    <x v="1"/>
    <x v="1"/>
  </r>
  <r>
    <n v="168265029"/>
    <x v="256"/>
    <d v="2023-05-31T00:00:00"/>
    <n v="39"/>
    <s v="month"/>
    <s v="Yes"/>
    <d v="2023-05-31T00:00:00"/>
    <n v="0"/>
    <x v="1"/>
    <x v="1"/>
  </r>
  <r>
    <n v="215428908"/>
    <x v="256"/>
    <d v="2023-06-19T00:00:00"/>
    <n v="39"/>
    <s v="month"/>
    <s v="Yes"/>
    <d v="2023-06-19T00:00:00"/>
    <n v="1"/>
    <x v="1"/>
    <x v="0"/>
  </r>
  <r>
    <n v="215189952"/>
    <x v="256"/>
    <d v="2023-06-29T00:00:00"/>
    <n v="39"/>
    <s v="month"/>
    <s v="Yes"/>
    <d v="2023-06-29T00:00:00"/>
    <n v="1"/>
    <x v="1"/>
    <x v="0"/>
  </r>
  <r>
    <n v="208168256"/>
    <x v="256"/>
    <d v="2023-06-18T00:00:00"/>
    <n v="39"/>
    <s v="month"/>
    <s v="Yes"/>
    <d v="2023-06-18T00:00:00"/>
    <n v="1"/>
    <x v="1"/>
    <x v="0"/>
  </r>
  <r>
    <n v="163193072"/>
    <x v="257"/>
    <m/>
    <n v="39"/>
    <s v="month"/>
    <s v="Yes"/>
    <d v="2023-09-30T00:00:00"/>
    <n v="4"/>
    <x v="1"/>
    <x v="0"/>
  </r>
  <r>
    <n v="153449481"/>
    <x v="257"/>
    <d v="2023-05-20T00:00:00"/>
    <n v="39"/>
    <s v="month"/>
    <s v="Yes"/>
    <d v="2023-05-20T00:00:00"/>
    <n v="0"/>
    <x v="1"/>
    <x v="1"/>
  </r>
  <r>
    <n v="215384745"/>
    <x v="257"/>
    <d v="2023-06-18T00:00:00"/>
    <n v="39"/>
    <s v="month"/>
    <s v="Yes"/>
    <d v="2023-06-18T00:00:00"/>
    <n v="1"/>
    <x v="1"/>
    <x v="0"/>
  </r>
  <r>
    <n v="160904253"/>
    <x v="257"/>
    <d v="2023-06-26T00:00:00"/>
    <n v="39"/>
    <s v="month"/>
    <s v="Yes"/>
    <d v="2023-06-26T00:00:00"/>
    <n v="1"/>
    <x v="1"/>
    <x v="0"/>
  </r>
  <r>
    <n v="215476119"/>
    <x v="257"/>
    <d v="2023-06-26T00:00:00"/>
    <n v="39"/>
    <s v="month"/>
    <s v="Yes"/>
    <d v="2023-06-26T00:00:00"/>
    <n v="1"/>
    <x v="1"/>
    <x v="0"/>
  </r>
  <r>
    <n v="214624328"/>
    <x v="257"/>
    <d v="2023-06-14T00:00:00"/>
    <n v="39"/>
    <s v="month"/>
    <s v="Yes"/>
    <d v="2023-06-14T00:00:00"/>
    <n v="1"/>
    <x v="1"/>
    <x v="0"/>
  </r>
  <r>
    <n v="215463105"/>
    <x v="257"/>
    <d v="2023-05-27T00:00:00"/>
    <n v="39"/>
    <s v="month"/>
    <s v="Yes"/>
    <d v="2023-05-27T00:00:00"/>
    <n v="0"/>
    <x v="1"/>
    <x v="1"/>
  </r>
  <r>
    <n v="187368519"/>
    <x v="257"/>
    <d v="2023-08-26T00:00:00"/>
    <n v="39"/>
    <s v="month"/>
    <s v="Yes"/>
    <d v="2023-08-26T00:00:00"/>
    <n v="3"/>
    <x v="1"/>
    <x v="0"/>
  </r>
  <r>
    <n v="206139986"/>
    <x v="257"/>
    <d v="2023-07-18T00:00:00"/>
    <n v="39"/>
    <s v="month"/>
    <s v="Yes"/>
    <d v="2023-07-18T00:00:00"/>
    <n v="2"/>
    <x v="1"/>
    <x v="0"/>
  </r>
  <r>
    <n v="215473481"/>
    <x v="257"/>
    <d v="2023-07-14T00:00:00"/>
    <n v="39"/>
    <s v="month"/>
    <s v="Yes"/>
    <d v="2023-07-14T00:00:00"/>
    <n v="2"/>
    <x v="1"/>
    <x v="0"/>
  </r>
  <r>
    <n v="214967111"/>
    <x v="258"/>
    <m/>
    <n v="39"/>
    <s v="month"/>
    <s v="Yes"/>
    <d v="2023-09-30T00:00:00"/>
    <n v="4"/>
    <x v="1"/>
    <x v="0"/>
  </r>
  <r>
    <n v="215472324"/>
    <x v="258"/>
    <d v="2023-06-27T00:00:00"/>
    <n v="39"/>
    <s v="month"/>
    <s v="Yes"/>
    <d v="2023-06-27T00:00:00"/>
    <n v="1"/>
    <x v="1"/>
    <x v="0"/>
  </r>
  <r>
    <n v="146557284"/>
    <x v="258"/>
    <d v="2023-06-21T00:00:00"/>
    <n v="39"/>
    <s v="month"/>
    <s v="Yes"/>
    <d v="2023-06-21T00:00:00"/>
    <n v="1"/>
    <x v="1"/>
    <x v="0"/>
  </r>
  <r>
    <n v="215486098"/>
    <x v="259"/>
    <m/>
    <n v="39"/>
    <s v="month"/>
    <s v="Yes"/>
    <d v="2023-09-30T00:00:00"/>
    <n v="4"/>
    <x v="1"/>
    <x v="0"/>
  </r>
  <r>
    <n v="119436804"/>
    <x v="259"/>
    <m/>
    <n v="39"/>
    <s v="month"/>
    <s v="Yes"/>
    <d v="2023-09-30T00:00:00"/>
    <n v="4"/>
    <x v="1"/>
    <x v="0"/>
  </r>
  <r>
    <n v="127100688"/>
    <x v="259"/>
    <d v="2023-05-22T00:00:00"/>
    <n v="39"/>
    <s v="month"/>
    <s v="Yes"/>
    <d v="2023-05-22T00:00:00"/>
    <n v="0"/>
    <x v="1"/>
    <x v="1"/>
  </r>
  <r>
    <n v="134524378"/>
    <x v="259"/>
    <d v="2023-05-22T00:00:00"/>
    <n v="39"/>
    <s v="month"/>
    <s v="Yes"/>
    <d v="2023-05-22T00:00:00"/>
    <n v="0"/>
    <x v="1"/>
    <x v="1"/>
  </r>
  <r>
    <n v="134652589"/>
    <x v="259"/>
    <d v="2023-05-21T00:00:00"/>
    <n v="39"/>
    <s v="month"/>
    <s v="Yes"/>
    <d v="2023-05-21T00:00:00"/>
    <n v="0"/>
    <x v="1"/>
    <x v="1"/>
  </r>
  <r>
    <n v="214134251"/>
    <x v="259"/>
    <d v="2023-05-22T00:00:00"/>
    <n v="39"/>
    <s v="month"/>
    <s v="No"/>
    <d v="2023-05-22T00:00:00"/>
    <n v="0"/>
    <x v="1"/>
    <x v="1"/>
  </r>
  <r>
    <n v="215565049"/>
    <x v="259"/>
    <d v="2023-05-21T00:00:00"/>
    <n v="39"/>
    <s v="month"/>
    <s v="Yes"/>
    <d v="2023-05-21T00:00:00"/>
    <n v="0"/>
    <x v="1"/>
    <x v="1"/>
  </r>
  <r>
    <n v="215606026"/>
    <x v="259"/>
    <d v="2023-07-20T00:00:00"/>
    <n v="39"/>
    <s v="month"/>
    <s v="Yes"/>
    <d v="2023-07-20T00:00:00"/>
    <n v="2"/>
    <x v="1"/>
    <x v="0"/>
  </r>
  <r>
    <n v="215678881"/>
    <x v="260"/>
    <m/>
    <n v="39"/>
    <s v="month"/>
    <s v="Yes"/>
    <d v="2023-09-30T00:00:00"/>
    <n v="4"/>
    <x v="1"/>
    <x v="0"/>
  </r>
  <r>
    <n v="212356610"/>
    <x v="260"/>
    <m/>
    <n v="39"/>
    <s v="month"/>
    <s v="Yes"/>
    <d v="2023-09-30T00:00:00"/>
    <n v="4"/>
    <x v="1"/>
    <x v="0"/>
  </r>
  <r>
    <n v="215336118"/>
    <x v="260"/>
    <m/>
    <n v="39"/>
    <s v="month"/>
    <s v="Yes"/>
    <d v="2023-09-30T00:00:00"/>
    <n v="4"/>
    <x v="1"/>
    <x v="0"/>
  </r>
  <r>
    <n v="215664306"/>
    <x v="260"/>
    <m/>
    <n v="39"/>
    <s v="month"/>
    <s v="Yes"/>
    <d v="2023-09-30T00:00:00"/>
    <n v="4"/>
    <x v="1"/>
    <x v="0"/>
  </r>
  <r>
    <n v="215643802"/>
    <x v="260"/>
    <m/>
    <n v="39"/>
    <s v="month"/>
    <s v="Yes"/>
    <d v="2023-09-30T00:00:00"/>
    <n v="4"/>
    <x v="1"/>
    <x v="0"/>
  </r>
  <r>
    <n v="206177720"/>
    <x v="260"/>
    <d v="2023-05-23T00:00:00"/>
    <n v="39"/>
    <s v="month"/>
    <s v="No"/>
    <d v="2023-05-23T00:00:00"/>
    <n v="0"/>
    <x v="1"/>
    <x v="1"/>
  </r>
  <r>
    <n v="215691994"/>
    <x v="260"/>
    <d v="2023-08-21T00:00:00"/>
    <n v="39"/>
    <s v="month"/>
    <s v="Yes"/>
    <d v="2023-08-21T00:00:00"/>
    <n v="3"/>
    <x v="1"/>
    <x v="0"/>
  </r>
  <r>
    <n v="215653406"/>
    <x v="261"/>
    <m/>
    <n v="39"/>
    <s v="month"/>
    <s v="Yes"/>
    <d v="2023-09-30T00:00:00"/>
    <n v="4"/>
    <x v="1"/>
    <x v="0"/>
  </r>
  <r>
    <n v="215534470"/>
    <x v="261"/>
    <d v="2023-05-24T00:00:00"/>
    <n v="39"/>
    <s v="month"/>
    <s v="Yes"/>
    <d v="2023-05-24T00:00:00"/>
    <n v="0"/>
    <x v="1"/>
    <x v="1"/>
  </r>
  <r>
    <n v="150751482"/>
    <x v="261"/>
    <d v="2023-07-20T00:00:00"/>
    <n v="39"/>
    <s v="month"/>
    <s v="Yes"/>
    <d v="2023-07-20T00:00:00"/>
    <n v="2"/>
    <x v="1"/>
    <x v="0"/>
  </r>
  <r>
    <n v="208601341"/>
    <x v="261"/>
    <d v="2023-07-08T00:00:00"/>
    <n v="39"/>
    <s v="month"/>
    <s v="Yes"/>
    <d v="2023-07-08T00:00:00"/>
    <n v="2"/>
    <x v="1"/>
    <x v="0"/>
  </r>
  <r>
    <n v="215473479"/>
    <x v="261"/>
    <d v="2023-06-26T00:00:00"/>
    <n v="39"/>
    <s v="month"/>
    <s v="Yes"/>
    <d v="2023-06-26T00:00:00"/>
    <n v="1"/>
    <x v="1"/>
    <x v="0"/>
  </r>
  <r>
    <n v="215646044"/>
    <x v="261"/>
    <d v="2023-06-21T00:00:00"/>
    <n v="39"/>
    <s v="month"/>
    <s v="Yes"/>
    <d v="2023-06-21T00:00:00"/>
    <n v="1"/>
    <x v="1"/>
    <x v="0"/>
  </r>
  <r>
    <n v="215686983"/>
    <x v="261"/>
    <d v="2023-06-26T00:00:00"/>
    <n v="39"/>
    <s v="month"/>
    <s v="Yes"/>
    <d v="2023-06-26T00:00:00"/>
    <n v="1"/>
    <x v="1"/>
    <x v="0"/>
  </r>
  <r>
    <n v="215704655"/>
    <x v="262"/>
    <m/>
    <n v="39"/>
    <s v="month"/>
    <s v="Yes"/>
    <d v="2023-09-30T00:00:00"/>
    <n v="4"/>
    <x v="1"/>
    <x v="0"/>
  </r>
  <r>
    <n v="131984682"/>
    <x v="262"/>
    <d v="2023-07-09T00:00:00"/>
    <n v="39"/>
    <s v="month"/>
    <s v="Yes"/>
    <d v="2023-07-09T00:00:00"/>
    <n v="2"/>
    <x v="1"/>
    <x v="0"/>
  </r>
  <r>
    <n v="214698924"/>
    <x v="262"/>
    <d v="2023-06-27T00:00:00"/>
    <n v="39"/>
    <s v="month"/>
    <s v="Yes"/>
    <d v="2023-06-27T00:00:00"/>
    <n v="1"/>
    <x v="1"/>
    <x v="0"/>
  </r>
  <r>
    <n v="183886863"/>
    <x v="262"/>
    <d v="2023-05-24T00:00:00"/>
    <n v="39"/>
    <s v="month"/>
    <s v="Yes"/>
    <d v="2023-05-24T00:00:00"/>
    <n v="0"/>
    <x v="1"/>
    <x v="1"/>
  </r>
  <r>
    <n v="215869320"/>
    <x v="263"/>
    <m/>
    <n v="39"/>
    <s v="month"/>
    <s v="Yes"/>
    <d v="2023-09-30T00:00:00"/>
    <n v="4"/>
    <x v="1"/>
    <x v="0"/>
  </r>
  <r>
    <n v="215616284"/>
    <x v="263"/>
    <m/>
    <n v="39"/>
    <s v="month"/>
    <s v="Yes"/>
    <d v="2023-09-30T00:00:00"/>
    <n v="4"/>
    <x v="1"/>
    <x v="0"/>
  </r>
  <r>
    <n v="215896078"/>
    <x v="263"/>
    <m/>
    <n v="39"/>
    <s v="month"/>
    <s v="Yes"/>
    <d v="2023-09-30T00:00:00"/>
    <n v="4"/>
    <x v="1"/>
    <x v="0"/>
  </r>
  <r>
    <n v="215910170"/>
    <x v="263"/>
    <m/>
    <n v="39"/>
    <s v="month"/>
    <s v="Yes"/>
    <d v="2023-09-30T00:00:00"/>
    <n v="4"/>
    <x v="1"/>
    <x v="0"/>
  </r>
  <r>
    <n v="211754109"/>
    <x v="263"/>
    <d v="2023-05-26T00:00:00"/>
    <n v="39"/>
    <s v="month"/>
    <s v="No"/>
    <d v="2023-05-26T00:00:00"/>
    <n v="0"/>
    <x v="1"/>
    <x v="1"/>
  </r>
  <r>
    <n v="205682690"/>
    <x v="263"/>
    <d v="2023-05-26T00:00:00"/>
    <n v="39"/>
    <s v="month"/>
    <s v="Yes"/>
    <d v="2023-05-26T00:00:00"/>
    <n v="0"/>
    <x v="1"/>
    <x v="1"/>
  </r>
  <r>
    <n v="151412112"/>
    <x v="263"/>
    <d v="2023-06-19T00:00:00"/>
    <n v="39"/>
    <s v="month"/>
    <s v="Yes"/>
    <d v="2023-06-19T00:00:00"/>
    <n v="1"/>
    <x v="1"/>
    <x v="0"/>
  </r>
  <r>
    <n v="154467458"/>
    <x v="263"/>
    <d v="2023-06-29T00:00:00"/>
    <n v="39"/>
    <s v="month"/>
    <s v="Yes"/>
    <d v="2023-06-29T00:00:00"/>
    <n v="1"/>
    <x v="1"/>
    <x v="0"/>
  </r>
  <r>
    <n v="212339137"/>
    <x v="263"/>
    <d v="2023-07-02T00:00:00"/>
    <n v="39"/>
    <s v="month"/>
    <s v="Yes"/>
    <d v="2023-07-02T00:00:00"/>
    <n v="2"/>
    <x v="1"/>
    <x v="0"/>
  </r>
  <r>
    <n v="215894271"/>
    <x v="263"/>
    <d v="2023-06-15T00:00:00"/>
    <n v="39"/>
    <s v="month"/>
    <s v="Yes"/>
    <d v="2023-06-15T00:00:00"/>
    <n v="1"/>
    <x v="1"/>
    <x v="0"/>
  </r>
  <r>
    <n v="215908442"/>
    <x v="263"/>
    <d v="2023-08-17T00:00:00"/>
    <n v="39"/>
    <s v="month"/>
    <s v="Yes"/>
    <d v="2023-08-17T00:00:00"/>
    <n v="3"/>
    <x v="1"/>
    <x v="0"/>
  </r>
  <r>
    <n v="136032360"/>
    <x v="263"/>
    <d v="2023-08-25T00:00:00"/>
    <n v="39"/>
    <s v="month"/>
    <s v="Yes"/>
    <d v="2023-08-25T00:00:00"/>
    <n v="3"/>
    <x v="1"/>
    <x v="0"/>
  </r>
  <r>
    <n v="215956542"/>
    <x v="264"/>
    <m/>
    <n v="39"/>
    <s v="month"/>
    <s v="Yes"/>
    <d v="2023-09-30T00:00:00"/>
    <n v="4"/>
    <x v="1"/>
    <x v="0"/>
  </r>
  <r>
    <n v="215947247"/>
    <x v="264"/>
    <m/>
    <n v="39"/>
    <s v="month"/>
    <s v="Yes"/>
    <d v="2023-09-30T00:00:00"/>
    <n v="4"/>
    <x v="1"/>
    <x v="0"/>
  </r>
  <r>
    <n v="122830574"/>
    <x v="264"/>
    <m/>
    <n v="39"/>
    <s v="month"/>
    <s v="Yes"/>
    <d v="2023-09-30T00:00:00"/>
    <n v="4"/>
    <x v="1"/>
    <x v="0"/>
  </r>
  <r>
    <n v="206904025"/>
    <x v="264"/>
    <d v="2023-05-27T00:00:00"/>
    <n v="39"/>
    <s v="month"/>
    <s v="No"/>
    <d v="2023-05-27T00:00:00"/>
    <n v="0"/>
    <x v="1"/>
    <x v="1"/>
  </r>
  <r>
    <n v="153396366"/>
    <x v="264"/>
    <d v="2023-06-27T00:00:00"/>
    <n v="39"/>
    <s v="month"/>
    <s v="Yes"/>
    <d v="2023-06-27T00:00:00"/>
    <n v="1"/>
    <x v="1"/>
    <x v="0"/>
  </r>
  <r>
    <n v="200304509"/>
    <x v="264"/>
    <d v="2023-06-17T00:00:00"/>
    <n v="39"/>
    <s v="month"/>
    <s v="Yes"/>
    <d v="2023-06-17T00:00:00"/>
    <n v="1"/>
    <x v="1"/>
    <x v="0"/>
  </r>
  <r>
    <n v="215867874"/>
    <x v="264"/>
    <d v="2023-06-18T00:00:00"/>
    <n v="39"/>
    <s v="month"/>
    <s v="Yes"/>
    <d v="2023-06-18T00:00:00"/>
    <n v="1"/>
    <x v="1"/>
    <x v="0"/>
  </r>
  <r>
    <n v="215869887"/>
    <x v="264"/>
    <d v="2023-06-11T00:00:00"/>
    <n v="39"/>
    <s v="month"/>
    <s v="Yes"/>
    <d v="2023-06-11T00:00:00"/>
    <n v="1"/>
    <x v="1"/>
    <x v="0"/>
  </r>
  <r>
    <n v="134652589"/>
    <x v="264"/>
    <d v="2023-06-10T00:00:00"/>
    <n v="39"/>
    <s v="month"/>
    <s v="Yes"/>
    <d v="2023-06-10T00:00:00"/>
    <n v="1"/>
    <x v="1"/>
    <x v="0"/>
  </r>
  <r>
    <n v="215759517"/>
    <x v="264"/>
    <d v="2023-09-02T00:00:00"/>
    <n v="39"/>
    <s v="month"/>
    <s v="Yes"/>
    <d v="2023-09-02T00:00:00"/>
    <n v="4"/>
    <x v="1"/>
    <x v="0"/>
  </r>
  <r>
    <n v="152004313"/>
    <x v="264"/>
    <d v="2023-07-04T00:00:00"/>
    <n v="39"/>
    <s v="month"/>
    <s v="Yes"/>
    <d v="2023-07-04T00:00:00"/>
    <n v="2"/>
    <x v="1"/>
    <x v="0"/>
  </r>
  <r>
    <n v="215931788"/>
    <x v="264"/>
    <d v="2023-06-27T00:00:00"/>
    <n v="39"/>
    <s v="month"/>
    <s v="Yes"/>
    <d v="2023-06-27T00:00:00"/>
    <n v="1"/>
    <x v="1"/>
    <x v="0"/>
  </r>
  <r>
    <n v="215792692"/>
    <x v="264"/>
    <d v="2023-07-25T00:00:00"/>
    <n v="39"/>
    <s v="month"/>
    <s v="Yes"/>
    <d v="2023-07-25T00:00:00"/>
    <n v="2"/>
    <x v="1"/>
    <x v="0"/>
  </r>
  <r>
    <n v="205507364"/>
    <x v="264"/>
    <d v="2023-07-26T00:00:00"/>
    <n v="39"/>
    <s v="month"/>
    <s v="Yes"/>
    <d v="2023-07-26T00:00:00"/>
    <n v="2"/>
    <x v="1"/>
    <x v="0"/>
  </r>
  <r>
    <n v="130016916"/>
    <x v="264"/>
    <d v="2023-07-26T00:00:00"/>
    <n v="39"/>
    <s v="month"/>
    <s v="Yes"/>
    <d v="2023-07-26T00:00:00"/>
    <n v="2"/>
    <x v="1"/>
    <x v="0"/>
  </r>
  <r>
    <n v="174991614"/>
    <x v="265"/>
    <m/>
    <n v="39"/>
    <s v="month"/>
    <s v="Yes"/>
    <d v="2023-09-30T00:00:00"/>
    <n v="4"/>
    <x v="1"/>
    <x v="0"/>
  </r>
  <r>
    <n v="118197872"/>
    <x v="265"/>
    <m/>
    <n v="39"/>
    <s v="month"/>
    <s v="Yes"/>
    <d v="2023-09-30T00:00:00"/>
    <n v="4"/>
    <x v="1"/>
    <x v="0"/>
  </r>
  <r>
    <n v="215906516"/>
    <x v="265"/>
    <m/>
    <n v="39"/>
    <s v="month"/>
    <s v="Yes"/>
    <d v="2023-09-30T00:00:00"/>
    <n v="4"/>
    <x v="1"/>
    <x v="0"/>
  </r>
  <r>
    <n v="116197941"/>
    <x v="265"/>
    <d v="2023-08-03T00:00:00"/>
    <n v="39"/>
    <s v="month"/>
    <s v="Yes"/>
    <d v="2023-08-03T00:00:00"/>
    <n v="3"/>
    <x v="1"/>
    <x v="0"/>
  </r>
  <r>
    <n v="215973039"/>
    <x v="265"/>
    <d v="2023-06-03T00:00:00"/>
    <n v="39"/>
    <s v="month"/>
    <s v="Yes"/>
    <d v="2023-06-03T00:00:00"/>
    <n v="1"/>
    <x v="1"/>
    <x v="0"/>
  </r>
  <r>
    <n v="147761700"/>
    <x v="265"/>
    <d v="2023-06-08T00:00:00"/>
    <n v="39"/>
    <s v="month"/>
    <s v="Yes"/>
    <d v="2023-06-08T00:00:00"/>
    <n v="1"/>
    <x v="1"/>
    <x v="0"/>
  </r>
  <r>
    <n v="215943650"/>
    <x v="265"/>
    <d v="2023-07-04T00:00:00"/>
    <n v="39"/>
    <s v="month"/>
    <s v="Yes"/>
    <d v="2023-07-04T00:00:00"/>
    <n v="2"/>
    <x v="1"/>
    <x v="0"/>
  </r>
  <r>
    <n v="157259062"/>
    <x v="265"/>
    <d v="2023-07-04T00:00:00"/>
    <n v="39"/>
    <s v="month"/>
    <s v="Yes"/>
    <d v="2023-07-04T00:00:00"/>
    <n v="2"/>
    <x v="1"/>
    <x v="0"/>
  </r>
  <r>
    <n v="216001506"/>
    <x v="265"/>
    <d v="2023-07-26T00:00:00"/>
    <n v="39"/>
    <s v="month"/>
    <s v="Yes"/>
    <d v="2023-07-26T00:00:00"/>
    <n v="2"/>
    <x v="1"/>
    <x v="0"/>
  </r>
  <r>
    <n v="199306900"/>
    <x v="265"/>
    <d v="2023-09-03T00:00:00"/>
    <n v="39"/>
    <s v="month"/>
    <s v="Yes"/>
    <d v="2023-09-03T00:00:00"/>
    <n v="4"/>
    <x v="1"/>
    <x v="0"/>
  </r>
  <r>
    <n v="156245288"/>
    <x v="266"/>
    <m/>
    <n v="39"/>
    <s v="month"/>
    <s v="Yes"/>
    <d v="2023-09-30T00:00:00"/>
    <n v="4"/>
    <x v="1"/>
    <x v="0"/>
  </r>
  <r>
    <n v="211904765"/>
    <x v="266"/>
    <m/>
    <n v="39"/>
    <s v="month"/>
    <s v="Yes"/>
    <d v="2023-09-30T00:00:00"/>
    <n v="4"/>
    <x v="1"/>
    <x v="0"/>
  </r>
  <r>
    <n v="215832805"/>
    <x v="266"/>
    <m/>
    <n v="39"/>
    <s v="month"/>
    <s v="Yes"/>
    <d v="2023-09-30T00:00:00"/>
    <n v="4"/>
    <x v="1"/>
    <x v="0"/>
  </r>
  <r>
    <n v="156403612"/>
    <x v="267"/>
    <m/>
    <n v="39"/>
    <s v="month"/>
    <s v="Yes"/>
    <d v="2023-09-30T00:00:00"/>
    <n v="4"/>
    <x v="1"/>
    <x v="0"/>
  </r>
  <r>
    <n v="216062001"/>
    <x v="267"/>
    <m/>
    <n v="39"/>
    <s v="month"/>
    <s v="Yes"/>
    <d v="2023-09-30T00:00:00"/>
    <n v="4"/>
    <x v="1"/>
    <x v="0"/>
  </r>
  <r>
    <n v="216083936"/>
    <x v="267"/>
    <m/>
    <n v="39"/>
    <s v="month"/>
    <s v="Yes"/>
    <d v="2023-09-30T00:00:00"/>
    <n v="4"/>
    <x v="1"/>
    <x v="0"/>
  </r>
  <r>
    <n v="215568210"/>
    <x v="267"/>
    <d v="2023-08-28T00:00:00"/>
    <n v="39"/>
    <s v="month"/>
    <s v="Yes"/>
    <d v="2023-08-28T00:00:00"/>
    <n v="3"/>
    <x v="1"/>
    <x v="0"/>
  </r>
  <r>
    <n v="181480437"/>
    <x v="267"/>
    <d v="2023-07-03T00:00:00"/>
    <n v="39"/>
    <s v="month"/>
    <s v="Yes"/>
    <d v="2023-07-03T00:00:00"/>
    <n v="2"/>
    <x v="1"/>
    <x v="0"/>
  </r>
  <r>
    <n v="147197398"/>
    <x v="268"/>
    <m/>
    <n v="39"/>
    <s v="month"/>
    <s v="Yes"/>
    <d v="2023-09-30T00:00:00"/>
    <n v="4"/>
    <x v="1"/>
    <x v="0"/>
  </r>
  <r>
    <n v="212051648"/>
    <x v="268"/>
    <m/>
    <n v="39"/>
    <s v="month"/>
    <s v="Yes"/>
    <d v="2023-09-30T00:00:00"/>
    <n v="4"/>
    <x v="1"/>
    <x v="0"/>
  </r>
  <r>
    <n v="216141502"/>
    <x v="268"/>
    <m/>
    <n v="39"/>
    <s v="month"/>
    <s v="Yes"/>
    <d v="2023-09-30T00:00:00"/>
    <n v="4"/>
    <x v="1"/>
    <x v="0"/>
  </r>
  <r>
    <n v="216136975"/>
    <x v="268"/>
    <m/>
    <n v="39"/>
    <s v="month"/>
    <s v="Yes"/>
    <d v="2023-09-30T00:00:00"/>
    <n v="4"/>
    <x v="1"/>
    <x v="0"/>
  </r>
  <r>
    <n v="213240907"/>
    <x v="268"/>
    <m/>
    <n v="39"/>
    <s v="month"/>
    <s v="Yes"/>
    <d v="2023-09-30T00:00:00"/>
    <n v="4"/>
    <x v="1"/>
    <x v="0"/>
  </r>
  <r>
    <n v="204739496"/>
    <x v="268"/>
    <d v="2023-09-03T00:00:00"/>
    <n v="39"/>
    <s v="month"/>
    <s v="Yes"/>
    <d v="2023-09-03T00:00:00"/>
    <n v="4"/>
    <x v="1"/>
    <x v="0"/>
  </r>
  <r>
    <n v="203366396"/>
    <x v="268"/>
    <d v="2023-05-31T00:00:00"/>
    <n v="39"/>
    <s v="month"/>
    <s v="Yes"/>
    <d v="2023-05-31T00:00:00"/>
    <n v="0"/>
    <x v="1"/>
    <x v="1"/>
  </r>
  <r>
    <n v="216136446"/>
    <x v="268"/>
    <d v="2023-06-28T00:00:00"/>
    <n v="39"/>
    <s v="month"/>
    <s v="Yes"/>
    <d v="2023-06-28T00:00:00"/>
    <n v="1"/>
    <x v="1"/>
    <x v="0"/>
  </r>
  <r>
    <n v="216139586"/>
    <x v="268"/>
    <d v="2023-06-30T00:00:00"/>
    <n v="39"/>
    <s v="month"/>
    <s v="Yes"/>
    <d v="2023-06-30T00:00:00"/>
    <n v="1"/>
    <x v="1"/>
    <x v="0"/>
  </r>
  <r>
    <n v="216126416"/>
    <x v="268"/>
    <d v="2023-06-04T00:00:00"/>
    <n v="39"/>
    <s v="month"/>
    <s v="Yes"/>
    <d v="2023-06-04T00:00:00"/>
    <n v="1"/>
    <x v="1"/>
    <x v="0"/>
  </r>
  <r>
    <n v="216181144"/>
    <x v="268"/>
    <d v="2023-07-07T00:00:00"/>
    <n v="39"/>
    <s v="month"/>
    <s v="Yes"/>
    <d v="2023-07-07T00:00:00"/>
    <n v="2"/>
    <x v="1"/>
    <x v="0"/>
  </r>
  <r>
    <n v="216100714"/>
    <x v="268"/>
    <d v="2023-08-02T00:00:00"/>
    <n v="39"/>
    <s v="month"/>
    <s v="Yes"/>
    <d v="2023-08-02T00:00:00"/>
    <n v="3"/>
    <x v="1"/>
    <x v="0"/>
  </r>
  <r>
    <n v="216155144"/>
    <x v="268"/>
    <d v="2023-07-30T00:00:00"/>
    <n v="39"/>
    <s v="month"/>
    <s v="Yes"/>
    <d v="2023-07-30T00:00:00"/>
    <n v="2"/>
    <x v="1"/>
    <x v="0"/>
  </r>
  <r>
    <n v="190978347"/>
    <x v="268"/>
    <d v="2023-08-08T00:00:00"/>
    <n v="39"/>
    <s v="month"/>
    <s v="Yes"/>
    <d v="2023-08-08T00:00:00"/>
    <n v="3"/>
    <x v="1"/>
    <x v="0"/>
  </r>
  <r>
    <n v="215653713"/>
    <x v="268"/>
    <d v="2023-07-11T00:00:00"/>
    <n v="39"/>
    <s v="month"/>
    <s v="Yes"/>
    <d v="2023-07-11T00:00:00"/>
    <n v="2"/>
    <x v="1"/>
    <x v="0"/>
  </r>
  <r>
    <n v="215185569"/>
    <x v="268"/>
    <d v="2023-08-29T00:00:00"/>
    <n v="39"/>
    <s v="month"/>
    <s v="Yes"/>
    <d v="2023-08-29T00:00:00"/>
    <n v="3"/>
    <x v="1"/>
    <x v="0"/>
  </r>
  <r>
    <n v="215488799"/>
    <x v="269"/>
    <m/>
    <n v="39"/>
    <s v="month"/>
    <s v="Yes"/>
    <d v="2023-09-30T00:00:00"/>
    <n v="4"/>
    <x v="1"/>
    <x v="0"/>
  </r>
  <r>
    <n v="216170130"/>
    <x v="269"/>
    <m/>
    <n v="39"/>
    <s v="month"/>
    <s v="Yes"/>
    <d v="2023-09-30T00:00:00"/>
    <n v="4"/>
    <x v="1"/>
    <x v="0"/>
  </r>
  <r>
    <n v="215723337"/>
    <x v="269"/>
    <m/>
    <n v="39"/>
    <s v="month"/>
    <s v="Yes"/>
    <d v="2023-09-30T00:00:00"/>
    <n v="4"/>
    <x v="1"/>
    <x v="0"/>
  </r>
  <r>
    <n v="148568942"/>
    <x v="269"/>
    <m/>
    <n v="39"/>
    <s v="month"/>
    <s v="Yes"/>
    <d v="2023-09-30T00:00:00"/>
    <n v="4"/>
    <x v="1"/>
    <x v="0"/>
  </r>
  <r>
    <n v="215102456"/>
    <x v="269"/>
    <m/>
    <n v="39"/>
    <s v="month"/>
    <s v="Yes"/>
    <d v="2023-09-30T00:00:00"/>
    <n v="4"/>
    <x v="1"/>
    <x v="0"/>
  </r>
  <r>
    <n v="216017581"/>
    <x v="269"/>
    <m/>
    <n v="39"/>
    <s v="month"/>
    <s v="Yes"/>
    <d v="2023-09-30T00:00:00"/>
    <n v="4"/>
    <x v="1"/>
    <x v="0"/>
  </r>
  <r>
    <n v="153438676"/>
    <x v="269"/>
    <m/>
    <n v="39"/>
    <s v="month"/>
    <s v="Yes"/>
    <d v="2023-09-30T00:00:00"/>
    <n v="4"/>
    <x v="1"/>
    <x v="0"/>
  </r>
  <r>
    <n v="213190132"/>
    <x v="269"/>
    <m/>
    <n v="39"/>
    <s v="month"/>
    <s v="Yes"/>
    <d v="2023-09-30T00:00:00"/>
    <n v="4"/>
    <x v="1"/>
    <x v="0"/>
  </r>
  <r>
    <n v="216218992"/>
    <x v="269"/>
    <d v="2023-08-31T00:00:00"/>
    <n v="39"/>
    <s v="month"/>
    <s v="Yes"/>
    <d v="2023-08-31T00:00:00"/>
    <n v="3"/>
    <x v="1"/>
    <x v="0"/>
  </r>
  <r>
    <n v="216210442"/>
    <x v="269"/>
    <d v="2023-06-15T00:00:00"/>
    <n v="39"/>
    <s v="month"/>
    <s v="Yes"/>
    <d v="2023-06-15T00:00:00"/>
    <n v="1"/>
    <x v="1"/>
    <x v="0"/>
  </r>
  <r>
    <n v="129447970"/>
    <x v="269"/>
    <d v="2023-09-03T00:00:00"/>
    <n v="39"/>
    <s v="month"/>
    <s v="Yes"/>
    <d v="2023-09-03T00:00:00"/>
    <n v="4"/>
    <x v="1"/>
    <x v="0"/>
  </r>
  <r>
    <n v="216221115"/>
    <x v="269"/>
    <d v="2023-07-02T00:00:00"/>
    <n v="39"/>
    <s v="month"/>
    <s v="Yes"/>
    <d v="2023-07-02T00:00:00"/>
    <n v="2"/>
    <x v="1"/>
    <x v="0"/>
  </r>
  <r>
    <n v="215911675"/>
    <x v="269"/>
    <d v="2023-07-07T00:00:00"/>
    <n v="39"/>
    <s v="month"/>
    <s v="Yes"/>
    <d v="2023-07-07T00:00:00"/>
    <n v="2"/>
    <x v="1"/>
    <x v="0"/>
  </r>
  <r>
    <n v="215908254"/>
    <x v="269"/>
    <d v="2023-06-21T00:00:00"/>
    <n v="39"/>
    <s v="month"/>
    <s v="Yes"/>
    <d v="2023-06-21T00:00:00"/>
    <n v="1"/>
    <x v="1"/>
    <x v="0"/>
  </r>
  <r>
    <n v="214610994"/>
    <x v="269"/>
    <d v="2023-06-29T00:00:00"/>
    <n v="39"/>
    <s v="month"/>
    <s v="Yes"/>
    <d v="2023-06-29T00:00:00"/>
    <n v="1"/>
    <x v="1"/>
    <x v="0"/>
  </r>
  <r>
    <n v="143272167"/>
    <x v="269"/>
    <d v="2023-09-07T00:00:00"/>
    <n v="39"/>
    <s v="month"/>
    <s v="Yes"/>
    <d v="2023-09-07T00:00:00"/>
    <n v="4"/>
    <x v="1"/>
    <x v="0"/>
  </r>
  <r>
    <n v="216340651"/>
    <x v="270"/>
    <m/>
    <n v="39"/>
    <s v="month"/>
    <s v="Yes"/>
    <d v="2023-09-30T00:00:00"/>
    <n v="3"/>
    <x v="1"/>
    <x v="0"/>
  </r>
  <r>
    <n v="153573832"/>
    <x v="270"/>
    <m/>
    <n v="39"/>
    <s v="month"/>
    <s v="Yes"/>
    <d v="2023-09-30T00:00:00"/>
    <n v="3"/>
    <x v="1"/>
    <x v="0"/>
  </r>
  <r>
    <n v="138312982"/>
    <x v="270"/>
    <m/>
    <n v="39"/>
    <s v="month"/>
    <s v="Yes"/>
    <d v="2023-09-30T00:00:00"/>
    <n v="3"/>
    <x v="1"/>
    <x v="0"/>
  </r>
  <r>
    <n v="216365777"/>
    <x v="270"/>
    <m/>
    <n v="39"/>
    <s v="month"/>
    <s v="Yes"/>
    <d v="2023-09-30T00:00:00"/>
    <n v="3"/>
    <x v="1"/>
    <x v="0"/>
  </r>
  <r>
    <n v="216272792"/>
    <x v="270"/>
    <d v="2023-09-06T00:00:00"/>
    <n v="39"/>
    <s v="month"/>
    <s v="Yes"/>
    <d v="2023-09-06T00:00:00"/>
    <n v="3"/>
    <x v="1"/>
    <x v="0"/>
  </r>
  <r>
    <n v="167174814"/>
    <x v="270"/>
    <d v="2023-06-11T00:00:00"/>
    <n v="39"/>
    <s v="month"/>
    <s v="Yes"/>
    <d v="2023-06-11T00:00:00"/>
    <n v="0"/>
    <x v="1"/>
    <x v="1"/>
  </r>
  <r>
    <n v="216329176"/>
    <x v="270"/>
    <d v="2023-07-08T00:00:00"/>
    <n v="39"/>
    <s v="month"/>
    <s v="Yes"/>
    <d v="2023-07-08T00:00:00"/>
    <n v="1"/>
    <x v="1"/>
    <x v="0"/>
  </r>
  <r>
    <n v="147320092"/>
    <x v="270"/>
    <d v="2023-07-04T00:00:00"/>
    <n v="39"/>
    <s v="month"/>
    <s v="Yes"/>
    <d v="2023-07-04T00:00:00"/>
    <n v="1"/>
    <x v="1"/>
    <x v="0"/>
  </r>
  <r>
    <n v="157974600"/>
    <x v="270"/>
    <d v="2023-06-14T00:00:00"/>
    <n v="39"/>
    <s v="month"/>
    <s v="Yes"/>
    <d v="2023-06-14T00:00:00"/>
    <n v="0"/>
    <x v="1"/>
    <x v="1"/>
  </r>
  <r>
    <n v="200955808"/>
    <x v="270"/>
    <d v="2023-07-01T00:00:00"/>
    <n v="39"/>
    <s v="month"/>
    <s v="Yes"/>
    <d v="2023-07-01T00:00:00"/>
    <n v="1"/>
    <x v="1"/>
    <x v="0"/>
  </r>
  <r>
    <n v="216332850"/>
    <x v="270"/>
    <d v="2023-08-01T00:00:00"/>
    <n v="39"/>
    <s v="month"/>
    <s v="Yes"/>
    <d v="2023-08-01T00:00:00"/>
    <n v="2"/>
    <x v="1"/>
    <x v="0"/>
  </r>
  <r>
    <n v="149986818"/>
    <x v="271"/>
    <m/>
    <n v="39"/>
    <s v="month"/>
    <s v="Yes"/>
    <d v="2023-09-30T00:00:00"/>
    <n v="3"/>
    <x v="1"/>
    <x v="0"/>
  </r>
  <r>
    <n v="132579012"/>
    <x v="271"/>
    <m/>
    <n v="39"/>
    <s v="month"/>
    <s v="Yes"/>
    <d v="2023-09-30T00:00:00"/>
    <n v="3"/>
    <x v="1"/>
    <x v="0"/>
  </r>
  <r>
    <n v="155529346"/>
    <x v="271"/>
    <d v="2023-09-04T00:00:00"/>
    <n v="39"/>
    <s v="month"/>
    <s v="Yes"/>
    <d v="2023-09-04T00:00:00"/>
    <n v="3"/>
    <x v="1"/>
    <x v="0"/>
  </r>
  <r>
    <n v="153085868"/>
    <x v="271"/>
    <d v="2023-06-29T00:00:00"/>
    <n v="39"/>
    <s v="month"/>
    <s v="Yes"/>
    <d v="2023-06-29T00:00:00"/>
    <n v="0"/>
    <x v="1"/>
    <x v="1"/>
  </r>
  <r>
    <n v="156702204"/>
    <x v="271"/>
    <d v="2023-07-02T00:00:00"/>
    <n v="39"/>
    <s v="month"/>
    <s v="Yes"/>
    <d v="2023-07-02T00:00:00"/>
    <n v="1"/>
    <x v="1"/>
    <x v="0"/>
  </r>
  <r>
    <n v="158177676"/>
    <x v="271"/>
    <d v="2023-06-27T00:00:00"/>
    <n v="39"/>
    <s v="month"/>
    <s v="Yes"/>
    <d v="2023-06-27T00:00:00"/>
    <n v="0"/>
    <x v="1"/>
    <x v="1"/>
  </r>
  <r>
    <n v="216423972"/>
    <x v="271"/>
    <d v="2023-07-14T00:00:00"/>
    <n v="39"/>
    <s v="month"/>
    <s v="Yes"/>
    <d v="2023-07-14T00:00:00"/>
    <n v="1"/>
    <x v="1"/>
    <x v="0"/>
  </r>
  <r>
    <n v="216533259"/>
    <x v="272"/>
    <m/>
    <n v="39"/>
    <s v="month"/>
    <s v="Yes"/>
    <d v="2023-09-30T00:00:00"/>
    <n v="3"/>
    <x v="1"/>
    <x v="0"/>
  </r>
  <r>
    <n v="204953211"/>
    <x v="272"/>
    <m/>
    <n v="39"/>
    <s v="month"/>
    <s v="Yes"/>
    <d v="2023-09-30T00:00:00"/>
    <n v="3"/>
    <x v="1"/>
    <x v="0"/>
  </r>
  <r>
    <n v="149112756"/>
    <x v="272"/>
    <m/>
    <n v="39"/>
    <s v="month"/>
    <s v="Yes"/>
    <d v="2023-09-30T00:00:00"/>
    <n v="3"/>
    <x v="1"/>
    <x v="0"/>
  </r>
  <r>
    <n v="216674420"/>
    <x v="272"/>
    <d v="2023-06-04T00:00:00"/>
    <n v="39"/>
    <s v="month"/>
    <s v="No"/>
    <d v="2023-06-04T00:00:00"/>
    <n v="0"/>
    <x v="1"/>
    <x v="1"/>
  </r>
  <r>
    <n v="148225450"/>
    <x v="272"/>
    <d v="2023-06-29T00:00:00"/>
    <n v="39"/>
    <s v="month"/>
    <s v="Yes"/>
    <d v="2023-06-29T00:00:00"/>
    <n v="0"/>
    <x v="1"/>
    <x v="1"/>
  </r>
  <r>
    <n v="216720172"/>
    <x v="272"/>
    <d v="2023-06-20T00:00:00"/>
    <n v="39"/>
    <s v="month"/>
    <s v="Yes"/>
    <d v="2023-06-20T00:00:00"/>
    <n v="0"/>
    <x v="1"/>
    <x v="1"/>
  </r>
  <r>
    <n v="204750804"/>
    <x v="272"/>
    <d v="2023-06-27T00:00:00"/>
    <n v="39"/>
    <s v="month"/>
    <s v="Yes"/>
    <d v="2023-06-27T00:00:00"/>
    <n v="0"/>
    <x v="1"/>
    <x v="1"/>
  </r>
  <r>
    <n v="147798395"/>
    <x v="273"/>
    <m/>
    <n v="39"/>
    <s v="month"/>
    <s v="Yes"/>
    <d v="2023-09-30T00:00:00"/>
    <n v="3"/>
    <x v="1"/>
    <x v="0"/>
  </r>
  <r>
    <n v="216560949"/>
    <x v="273"/>
    <d v="2023-07-05T00:00:00"/>
    <n v="39"/>
    <s v="month"/>
    <s v="Yes"/>
    <d v="2023-07-05T00:00:00"/>
    <n v="1"/>
    <x v="1"/>
    <x v="0"/>
  </r>
  <r>
    <n v="216743053"/>
    <x v="273"/>
    <d v="2023-07-14T00:00:00"/>
    <n v="39"/>
    <s v="month"/>
    <s v="Yes"/>
    <d v="2023-07-14T00:00:00"/>
    <n v="1"/>
    <x v="1"/>
    <x v="0"/>
  </r>
  <r>
    <n v="149040748"/>
    <x v="274"/>
    <m/>
    <n v="39"/>
    <s v="month"/>
    <s v="Yes"/>
    <d v="2023-09-30T00:00:00"/>
    <n v="3"/>
    <x v="1"/>
    <x v="0"/>
  </r>
  <r>
    <n v="206939746"/>
    <x v="274"/>
    <m/>
    <n v="39"/>
    <s v="month"/>
    <s v="Yes"/>
    <d v="2023-09-30T00:00:00"/>
    <n v="3"/>
    <x v="1"/>
    <x v="0"/>
  </r>
  <r>
    <n v="216845223"/>
    <x v="274"/>
    <m/>
    <n v="39"/>
    <s v="month"/>
    <s v="Yes"/>
    <d v="2023-09-30T00:00:00"/>
    <n v="3"/>
    <x v="1"/>
    <x v="0"/>
  </r>
  <r>
    <n v="124876382"/>
    <x v="274"/>
    <d v="2023-08-12T00:00:00"/>
    <n v="39"/>
    <s v="month"/>
    <s v="Yes"/>
    <d v="2023-08-12T00:00:00"/>
    <n v="2"/>
    <x v="1"/>
    <x v="0"/>
  </r>
  <r>
    <n v="168485609"/>
    <x v="274"/>
    <d v="2023-08-20T00:00:00"/>
    <n v="39"/>
    <s v="month"/>
    <s v="Yes"/>
    <d v="2023-08-20T00:00:00"/>
    <n v="2"/>
    <x v="1"/>
    <x v="0"/>
  </r>
  <r>
    <n v="216888206"/>
    <x v="274"/>
    <d v="2023-09-03T00:00:00"/>
    <n v="39"/>
    <s v="month"/>
    <s v="Yes"/>
    <d v="2023-09-03T00:00:00"/>
    <n v="3"/>
    <x v="1"/>
    <x v="0"/>
  </r>
  <r>
    <n v="216957502"/>
    <x v="275"/>
    <m/>
    <n v="39"/>
    <s v="month"/>
    <s v="Yes"/>
    <d v="2023-09-30T00:00:00"/>
    <n v="3"/>
    <x v="1"/>
    <x v="0"/>
  </r>
  <r>
    <n v="215840282"/>
    <x v="275"/>
    <m/>
    <n v="39"/>
    <s v="month"/>
    <s v="Yes"/>
    <d v="2023-09-30T00:00:00"/>
    <n v="3"/>
    <x v="1"/>
    <x v="0"/>
  </r>
  <r>
    <n v="216311456"/>
    <x v="275"/>
    <m/>
    <n v="39"/>
    <s v="month"/>
    <s v="Yes"/>
    <d v="2023-09-30T00:00:00"/>
    <n v="3"/>
    <x v="1"/>
    <x v="0"/>
  </r>
  <r>
    <n v="155088727"/>
    <x v="275"/>
    <m/>
    <n v="39"/>
    <s v="month"/>
    <s v="Yes"/>
    <d v="2023-09-30T00:00:00"/>
    <n v="3"/>
    <x v="1"/>
    <x v="0"/>
  </r>
  <r>
    <n v="216925191"/>
    <x v="275"/>
    <d v="2023-06-13T00:00:00"/>
    <n v="39"/>
    <s v="month"/>
    <s v="Yes"/>
    <d v="2023-06-13T00:00:00"/>
    <n v="0"/>
    <x v="1"/>
    <x v="1"/>
  </r>
  <r>
    <n v="216924741"/>
    <x v="275"/>
    <d v="2023-08-22T00:00:00"/>
    <n v="39"/>
    <s v="month"/>
    <s v="Yes"/>
    <d v="2023-08-22T00:00:00"/>
    <n v="2"/>
    <x v="1"/>
    <x v="0"/>
  </r>
  <r>
    <n v="194347007"/>
    <x v="275"/>
    <d v="2023-07-13T00:00:00"/>
    <n v="39"/>
    <s v="month"/>
    <s v="Yes"/>
    <d v="2023-07-13T00:00:00"/>
    <n v="1"/>
    <x v="1"/>
    <x v="0"/>
  </r>
  <r>
    <n v="217067696"/>
    <x v="276"/>
    <m/>
    <n v="39"/>
    <s v="month"/>
    <s v="Yes"/>
    <d v="2023-09-30T00:00:00"/>
    <n v="3"/>
    <x v="1"/>
    <x v="0"/>
  </r>
  <r>
    <n v="217012406"/>
    <x v="276"/>
    <m/>
    <n v="39"/>
    <s v="month"/>
    <s v="Yes"/>
    <d v="2023-09-30T00:00:00"/>
    <n v="3"/>
    <x v="1"/>
    <x v="0"/>
  </r>
  <r>
    <n v="216345770"/>
    <x v="276"/>
    <m/>
    <n v="39"/>
    <s v="month"/>
    <s v="Yes"/>
    <d v="2023-09-30T00:00:00"/>
    <n v="3"/>
    <x v="1"/>
    <x v="0"/>
  </r>
  <r>
    <n v="215654770"/>
    <x v="276"/>
    <m/>
    <n v="39"/>
    <s v="month"/>
    <s v="Yes"/>
    <d v="2023-09-30T00:00:00"/>
    <n v="3"/>
    <x v="1"/>
    <x v="0"/>
  </r>
  <r>
    <n v="217044528"/>
    <x v="276"/>
    <m/>
    <n v="39"/>
    <s v="month"/>
    <s v="Yes"/>
    <d v="2023-09-30T00:00:00"/>
    <n v="3"/>
    <x v="1"/>
    <x v="0"/>
  </r>
  <r>
    <n v="217031352"/>
    <x v="276"/>
    <m/>
    <n v="39"/>
    <s v="month"/>
    <s v="Yes"/>
    <d v="2023-09-30T00:00:00"/>
    <n v="3"/>
    <x v="1"/>
    <x v="0"/>
  </r>
  <r>
    <n v="146450388"/>
    <x v="276"/>
    <m/>
    <n v="39"/>
    <s v="month"/>
    <s v="Yes"/>
    <d v="2023-09-30T00:00:00"/>
    <n v="3"/>
    <x v="1"/>
    <x v="0"/>
  </r>
  <r>
    <n v="153374748"/>
    <x v="276"/>
    <d v="2023-08-31T00:00:00"/>
    <n v="39"/>
    <s v="month"/>
    <s v="Yes"/>
    <d v="2023-08-31T00:00:00"/>
    <n v="2"/>
    <x v="1"/>
    <x v="0"/>
  </r>
  <r>
    <n v="217065874"/>
    <x v="276"/>
    <d v="2023-06-29T00:00:00"/>
    <n v="39"/>
    <s v="month"/>
    <s v="Yes"/>
    <d v="2023-06-29T00:00:00"/>
    <n v="0"/>
    <x v="1"/>
    <x v="1"/>
  </r>
  <r>
    <n v="216622895"/>
    <x v="276"/>
    <d v="2023-08-14T00:00:00"/>
    <n v="39"/>
    <s v="month"/>
    <s v="Yes"/>
    <d v="2023-08-14T00:00:00"/>
    <n v="2"/>
    <x v="1"/>
    <x v="0"/>
  </r>
  <r>
    <n v="216907852"/>
    <x v="276"/>
    <d v="2023-07-09T00:00:00"/>
    <n v="39"/>
    <s v="month"/>
    <s v="Yes"/>
    <d v="2023-07-09T00:00:00"/>
    <n v="1"/>
    <x v="1"/>
    <x v="0"/>
  </r>
  <r>
    <n v="217054126"/>
    <x v="277"/>
    <m/>
    <n v="39"/>
    <s v="month"/>
    <s v="Yes"/>
    <d v="2023-09-30T00:00:00"/>
    <n v="3"/>
    <x v="1"/>
    <x v="0"/>
  </r>
  <r>
    <n v="206001231"/>
    <x v="277"/>
    <m/>
    <n v="39"/>
    <s v="month"/>
    <s v="Yes"/>
    <d v="2023-09-30T00:00:00"/>
    <n v="3"/>
    <x v="1"/>
    <x v="0"/>
  </r>
  <r>
    <n v="216925136"/>
    <x v="277"/>
    <m/>
    <n v="39"/>
    <s v="month"/>
    <s v="Yes"/>
    <d v="2023-09-30T00:00:00"/>
    <n v="3"/>
    <x v="1"/>
    <x v="0"/>
  </r>
  <r>
    <n v="217094352"/>
    <x v="277"/>
    <d v="2023-07-02T00:00:00"/>
    <n v="39"/>
    <s v="month"/>
    <s v="Yes"/>
    <d v="2023-07-02T00:00:00"/>
    <n v="1"/>
    <x v="1"/>
    <x v="0"/>
  </r>
  <r>
    <n v="206891818"/>
    <x v="277"/>
    <d v="2023-06-28T00:00:00"/>
    <n v="39"/>
    <s v="month"/>
    <s v="Yes"/>
    <d v="2023-06-28T00:00:00"/>
    <n v="0"/>
    <x v="1"/>
    <x v="1"/>
  </r>
  <r>
    <n v="217084888"/>
    <x v="277"/>
    <d v="2023-06-08T00:00:00"/>
    <n v="39"/>
    <s v="month"/>
    <s v="Yes"/>
    <d v="2023-06-08T00:00:00"/>
    <n v="0"/>
    <x v="1"/>
    <x v="1"/>
  </r>
  <r>
    <n v="216624401"/>
    <x v="277"/>
    <d v="2023-06-28T00:00:00"/>
    <n v="39"/>
    <s v="month"/>
    <s v="Yes"/>
    <d v="2023-06-28T00:00:00"/>
    <n v="0"/>
    <x v="1"/>
    <x v="1"/>
  </r>
  <r>
    <n v="216795282"/>
    <x v="277"/>
    <d v="2023-07-23T00:00:00"/>
    <n v="39"/>
    <s v="month"/>
    <s v="Yes"/>
    <d v="2023-07-23T00:00:00"/>
    <n v="1"/>
    <x v="1"/>
    <x v="0"/>
  </r>
  <r>
    <n v="174646924"/>
    <x v="278"/>
    <m/>
    <n v="39"/>
    <s v="month"/>
    <s v="Yes"/>
    <d v="2023-09-30T00:00:00"/>
    <n v="3"/>
    <x v="1"/>
    <x v="0"/>
  </r>
  <r>
    <n v="217123644"/>
    <x v="278"/>
    <m/>
    <n v="39"/>
    <s v="month"/>
    <s v="Yes"/>
    <d v="2023-09-30T00:00:00"/>
    <n v="3"/>
    <x v="1"/>
    <x v="0"/>
  </r>
  <r>
    <n v="217104490"/>
    <x v="278"/>
    <m/>
    <n v="39"/>
    <s v="month"/>
    <s v="Yes"/>
    <d v="2023-09-30T00:00:00"/>
    <n v="3"/>
    <x v="1"/>
    <x v="0"/>
  </r>
  <r>
    <n v="153349708"/>
    <x v="278"/>
    <m/>
    <n v="39"/>
    <s v="month"/>
    <s v="Yes"/>
    <d v="2023-09-30T00:00:00"/>
    <n v="3"/>
    <x v="1"/>
    <x v="0"/>
  </r>
  <r>
    <n v="153876204"/>
    <x v="278"/>
    <d v="2023-06-10T00:00:00"/>
    <n v="39"/>
    <s v="month"/>
    <s v="Yes"/>
    <d v="2023-06-10T00:00:00"/>
    <n v="0"/>
    <x v="1"/>
    <x v="1"/>
  </r>
  <r>
    <n v="132442956"/>
    <x v="278"/>
    <d v="2023-07-28T00:00:00"/>
    <n v="39"/>
    <s v="month"/>
    <s v="Yes"/>
    <d v="2023-07-28T00:00:00"/>
    <n v="1"/>
    <x v="1"/>
    <x v="0"/>
  </r>
  <r>
    <n v="130331160"/>
    <x v="278"/>
    <d v="2023-07-02T00:00:00"/>
    <n v="39"/>
    <s v="month"/>
    <s v="Yes"/>
    <d v="2023-07-02T00:00:00"/>
    <n v="1"/>
    <x v="1"/>
    <x v="0"/>
  </r>
  <r>
    <n v="216225148"/>
    <x v="278"/>
    <d v="2023-06-09T00:00:00"/>
    <n v="39"/>
    <s v="month"/>
    <s v="Yes"/>
    <d v="2023-06-09T00:00:00"/>
    <n v="0"/>
    <x v="1"/>
    <x v="1"/>
  </r>
  <r>
    <n v="161187748"/>
    <x v="278"/>
    <d v="2023-07-24T00:00:00"/>
    <n v="39"/>
    <s v="month"/>
    <s v="Yes"/>
    <d v="2023-07-24T00:00:00"/>
    <n v="1"/>
    <x v="1"/>
    <x v="0"/>
  </r>
  <r>
    <n v="217137211"/>
    <x v="278"/>
    <d v="2023-07-16T00:00:00"/>
    <n v="39"/>
    <s v="month"/>
    <s v="Yes"/>
    <d v="2023-07-16T00:00:00"/>
    <n v="1"/>
    <x v="1"/>
    <x v="0"/>
  </r>
  <r>
    <n v="180796559"/>
    <x v="278"/>
    <d v="2023-07-16T00:00:00"/>
    <n v="39"/>
    <s v="month"/>
    <s v="Yes"/>
    <d v="2023-07-16T00:00:00"/>
    <n v="1"/>
    <x v="1"/>
    <x v="0"/>
  </r>
  <r>
    <n v="168200039"/>
    <x v="279"/>
    <d v="2023-06-11T00:00:00"/>
    <n v="39"/>
    <s v="month"/>
    <s v="Yes"/>
    <d v="2023-06-11T00:00:00"/>
    <n v="0"/>
    <x v="1"/>
    <x v="1"/>
  </r>
  <r>
    <n v="217110396"/>
    <x v="279"/>
    <d v="2023-06-24T00:00:00"/>
    <n v="39"/>
    <s v="month"/>
    <s v="Yes"/>
    <d v="2023-06-24T00:00:00"/>
    <n v="0"/>
    <x v="1"/>
    <x v="1"/>
  </r>
  <r>
    <n v="217159016"/>
    <x v="279"/>
    <d v="2023-08-11T00:00:00"/>
    <n v="39"/>
    <s v="month"/>
    <s v="Yes"/>
    <d v="2023-08-11T00:00:00"/>
    <n v="2"/>
    <x v="1"/>
    <x v="0"/>
  </r>
  <r>
    <n v="217215106"/>
    <x v="280"/>
    <m/>
    <n v="39"/>
    <s v="month"/>
    <s v="Yes"/>
    <d v="2023-09-30T00:00:00"/>
    <n v="3"/>
    <x v="1"/>
    <x v="0"/>
  </r>
  <r>
    <n v="129819604"/>
    <x v="280"/>
    <d v="2023-07-18T00:00:00"/>
    <n v="39"/>
    <s v="month"/>
    <s v="Yes"/>
    <d v="2023-07-18T00:00:00"/>
    <n v="1"/>
    <x v="1"/>
    <x v="0"/>
  </r>
  <r>
    <n v="217208086"/>
    <x v="280"/>
    <d v="2023-07-26T00:00:00"/>
    <n v="39"/>
    <s v="month"/>
    <s v="Yes"/>
    <d v="2023-07-26T00:00:00"/>
    <n v="1"/>
    <x v="1"/>
    <x v="0"/>
  </r>
  <r>
    <n v="215534470"/>
    <x v="280"/>
    <d v="2023-07-18T00:00:00"/>
    <n v="39"/>
    <s v="month"/>
    <s v="Yes"/>
    <d v="2023-07-18T00:00:00"/>
    <n v="1"/>
    <x v="1"/>
    <x v="0"/>
  </r>
  <r>
    <n v="217277033"/>
    <x v="281"/>
    <m/>
    <n v="39"/>
    <s v="month"/>
    <s v="Yes"/>
    <d v="2023-09-30T00:00:00"/>
    <n v="3"/>
    <x v="1"/>
    <x v="0"/>
  </r>
  <r>
    <n v="136199071"/>
    <x v="281"/>
    <m/>
    <n v="39"/>
    <s v="month"/>
    <s v="Yes"/>
    <d v="2023-09-30T00:00:00"/>
    <n v="3"/>
    <x v="1"/>
    <x v="0"/>
  </r>
  <r>
    <n v="217102618"/>
    <x v="281"/>
    <m/>
    <n v="39"/>
    <s v="month"/>
    <s v="Yes"/>
    <d v="2023-09-30T00:00:00"/>
    <n v="3"/>
    <x v="1"/>
    <x v="0"/>
  </r>
  <r>
    <n v="217252136"/>
    <x v="281"/>
    <m/>
    <n v="39"/>
    <s v="month"/>
    <s v="Yes"/>
    <d v="2023-09-30T00:00:00"/>
    <n v="3"/>
    <x v="1"/>
    <x v="0"/>
  </r>
  <r>
    <n v="215856743"/>
    <x v="281"/>
    <m/>
    <n v="39"/>
    <s v="month"/>
    <s v="Yes"/>
    <d v="2023-09-30T00:00:00"/>
    <n v="3"/>
    <x v="1"/>
    <x v="0"/>
  </r>
  <r>
    <n v="217260184"/>
    <x v="281"/>
    <d v="2023-06-13T00:00:00"/>
    <n v="39"/>
    <s v="month"/>
    <s v="No"/>
    <d v="2023-06-13T00:00:00"/>
    <n v="0"/>
    <x v="1"/>
    <x v="1"/>
  </r>
  <r>
    <n v="140371292"/>
    <x v="281"/>
    <d v="2023-07-10T00:00:00"/>
    <n v="39"/>
    <s v="month"/>
    <s v="Yes"/>
    <d v="2023-07-10T00:00:00"/>
    <n v="1"/>
    <x v="1"/>
    <x v="0"/>
  </r>
  <r>
    <n v="164903790"/>
    <x v="281"/>
    <d v="2023-07-20T00:00:00"/>
    <n v="39"/>
    <s v="month"/>
    <s v="Yes"/>
    <d v="2023-07-20T00:00:00"/>
    <n v="1"/>
    <x v="1"/>
    <x v="0"/>
  </r>
  <r>
    <n v="217206158"/>
    <x v="281"/>
    <d v="2023-08-11T00:00:00"/>
    <n v="39"/>
    <s v="month"/>
    <s v="Yes"/>
    <d v="2023-08-11T00:00:00"/>
    <n v="2"/>
    <x v="1"/>
    <x v="0"/>
  </r>
  <r>
    <n v="215180470"/>
    <x v="281"/>
    <d v="2023-08-06T00:00:00"/>
    <n v="39"/>
    <s v="month"/>
    <s v="Yes"/>
    <d v="2023-08-06T00:00:00"/>
    <n v="2"/>
    <x v="1"/>
    <x v="0"/>
  </r>
  <r>
    <n v="217246611"/>
    <x v="281"/>
    <d v="2023-07-06T00:00:00"/>
    <n v="39"/>
    <s v="month"/>
    <s v="Yes"/>
    <d v="2023-07-06T00:00:00"/>
    <n v="1"/>
    <x v="1"/>
    <x v="0"/>
  </r>
  <r>
    <n v="217080066"/>
    <x v="281"/>
    <d v="2023-07-12T00:00:00"/>
    <n v="39"/>
    <s v="month"/>
    <s v="Yes"/>
    <d v="2023-07-12T00:00:00"/>
    <n v="1"/>
    <x v="1"/>
    <x v="0"/>
  </r>
  <r>
    <n v="214510838"/>
    <x v="282"/>
    <m/>
    <n v="39"/>
    <s v="month"/>
    <s v="Yes"/>
    <d v="2023-09-30T00:00:00"/>
    <n v="3"/>
    <x v="1"/>
    <x v="0"/>
  </r>
  <r>
    <n v="217241338"/>
    <x v="282"/>
    <m/>
    <n v="39"/>
    <s v="month"/>
    <s v="Yes"/>
    <d v="2023-09-30T00:00:00"/>
    <n v="3"/>
    <x v="1"/>
    <x v="0"/>
  </r>
  <r>
    <n v="215447681"/>
    <x v="282"/>
    <m/>
    <n v="39"/>
    <s v="month"/>
    <s v="Yes"/>
    <d v="2023-09-30T00:00:00"/>
    <n v="3"/>
    <x v="1"/>
    <x v="0"/>
  </r>
  <r>
    <n v="214746385"/>
    <x v="282"/>
    <m/>
    <n v="39"/>
    <s v="month"/>
    <s v="Yes"/>
    <d v="2023-09-30T00:00:00"/>
    <n v="3"/>
    <x v="1"/>
    <x v="0"/>
  </r>
  <r>
    <n v="217279595"/>
    <x v="282"/>
    <m/>
    <n v="39"/>
    <s v="month"/>
    <s v="Yes"/>
    <d v="2023-09-30T00:00:00"/>
    <n v="3"/>
    <x v="1"/>
    <x v="0"/>
  </r>
  <r>
    <n v="138725699"/>
    <x v="282"/>
    <d v="2023-06-14T00:00:00"/>
    <n v="39"/>
    <s v="month"/>
    <s v="Yes"/>
    <d v="2023-06-14T00:00:00"/>
    <n v="0"/>
    <x v="1"/>
    <x v="1"/>
  </r>
  <r>
    <n v="199464176"/>
    <x v="282"/>
    <d v="2023-07-31T00:00:00"/>
    <n v="39"/>
    <s v="month"/>
    <s v="Yes"/>
    <d v="2023-07-31T00:00:00"/>
    <n v="1"/>
    <x v="1"/>
    <x v="0"/>
  </r>
  <r>
    <n v="217269788"/>
    <x v="282"/>
    <d v="2023-07-21T00:00:00"/>
    <n v="39"/>
    <s v="month"/>
    <s v="Yes"/>
    <d v="2023-07-21T00:00:00"/>
    <n v="1"/>
    <x v="1"/>
    <x v="0"/>
  </r>
  <r>
    <n v="217210206"/>
    <x v="282"/>
    <d v="2023-07-05T00:00:00"/>
    <n v="39"/>
    <s v="month"/>
    <s v="Yes"/>
    <d v="2023-07-05T00:00:00"/>
    <n v="1"/>
    <x v="1"/>
    <x v="0"/>
  </r>
  <r>
    <n v="217276264"/>
    <x v="283"/>
    <m/>
    <n v="39"/>
    <s v="month"/>
    <s v="Yes"/>
    <d v="2023-09-30T00:00:00"/>
    <n v="3"/>
    <x v="1"/>
    <x v="0"/>
  </r>
  <r>
    <n v="217242854"/>
    <x v="283"/>
    <m/>
    <n v="39"/>
    <s v="month"/>
    <s v="Yes"/>
    <d v="2023-09-30T00:00:00"/>
    <n v="3"/>
    <x v="1"/>
    <x v="0"/>
  </r>
  <r>
    <n v="140062581"/>
    <x v="283"/>
    <d v="2023-06-15T00:00:00"/>
    <n v="39"/>
    <s v="month"/>
    <s v="Yes"/>
    <d v="2023-06-15T00:00:00"/>
    <n v="0"/>
    <x v="1"/>
    <x v="1"/>
  </r>
  <r>
    <n v="217340338"/>
    <x v="283"/>
    <d v="2023-06-14T00:00:00"/>
    <n v="39"/>
    <s v="month"/>
    <s v="No"/>
    <d v="2023-06-14T00:00:00"/>
    <n v="0"/>
    <x v="1"/>
    <x v="1"/>
  </r>
  <r>
    <n v="157435806"/>
    <x v="283"/>
    <d v="2023-07-14T00:00:00"/>
    <n v="39"/>
    <s v="month"/>
    <s v="Yes"/>
    <d v="2023-07-14T00:00:00"/>
    <n v="1"/>
    <x v="1"/>
    <x v="0"/>
  </r>
  <r>
    <n v="217358299"/>
    <x v="283"/>
    <d v="2023-08-11T00:00:00"/>
    <n v="39"/>
    <s v="month"/>
    <s v="Yes"/>
    <d v="2023-08-11T00:00:00"/>
    <n v="2"/>
    <x v="1"/>
    <x v="0"/>
  </r>
  <r>
    <n v="217330046"/>
    <x v="283"/>
    <d v="2023-07-01T00:00:00"/>
    <n v="39"/>
    <s v="month"/>
    <s v="Yes"/>
    <d v="2023-07-01T00:00:00"/>
    <n v="1"/>
    <x v="1"/>
    <x v="0"/>
  </r>
  <r>
    <n v="216945894"/>
    <x v="284"/>
    <m/>
    <n v="39"/>
    <s v="month"/>
    <s v="Yes"/>
    <d v="2023-09-30T00:00:00"/>
    <n v="3"/>
    <x v="1"/>
    <x v="0"/>
  </r>
  <r>
    <n v="150178354"/>
    <x v="284"/>
    <m/>
    <n v="39"/>
    <s v="month"/>
    <s v="Yes"/>
    <d v="2023-09-30T00:00:00"/>
    <n v="3"/>
    <x v="1"/>
    <x v="0"/>
  </r>
  <r>
    <n v="153942818"/>
    <x v="284"/>
    <m/>
    <n v="39"/>
    <s v="month"/>
    <s v="Yes"/>
    <d v="2023-09-30T00:00:00"/>
    <n v="3"/>
    <x v="1"/>
    <x v="0"/>
  </r>
  <r>
    <n v="150728848"/>
    <x v="284"/>
    <m/>
    <n v="39"/>
    <s v="month"/>
    <s v="Yes"/>
    <d v="2023-09-30T00:00:00"/>
    <n v="3"/>
    <x v="1"/>
    <x v="0"/>
  </r>
  <r>
    <n v="138725699"/>
    <x v="284"/>
    <m/>
    <n v="39"/>
    <s v="month"/>
    <s v="Yes"/>
    <d v="2023-09-30T00:00:00"/>
    <n v="3"/>
    <x v="1"/>
    <x v="0"/>
  </r>
  <r>
    <n v="217207926"/>
    <x v="284"/>
    <m/>
    <n v="39"/>
    <s v="month"/>
    <s v="Yes"/>
    <d v="2023-09-30T00:00:00"/>
    <n v="3"/>
    <x v="1"/>
    <x v="0"/>
  </r>
  <r>
    <n v="217370233"/>
    <x v="284"/>
    <m/>
    <n v="39"/>
    <s v="month"/>
    <s v="Yes"/>
    <d v="2023-09-30T00:00:00"/>
    <n v="3"/>
    <x v="1"/>
    <x v="0"/>
  </r>
  <r>
    <n v="205464540"/>
    <x v="284"/>
    <d v="2023-07-22T00:00:00"/>
    <n v="39"/>
    <s v="month"/>
    <s v="Yes"/>
    <d v="2023-07-22T00:00:00"/>
    <n v="1"/>
    <x v="1"/>
    <x v="0"/>
  </r>
  <r>
    <n v="167403892"/>
    <x v="284"/>
    <d v="2023-08-22T00:00:00"/>
    <n v="39"/>
    <s v="month"/>
    <s v="Yes"/>
    <d v="2023-08-22T00:00:00"/>
    <n v="2"/>
    <x v="1"/>
    <x v="0"/>
  </r>
  <r>
    <n v="217326821"/>
    <x v="284"/>
    <d v="2023-08-22T00:00:00"/>
    <n v="39"/>
    <s v="month"/>
    <s v="Yes"/>
    <d v="2023-08-22T00:00:00"/>
    <n v="2"/>
    <x v="1"/>
    <x v="0"/>
  </r>
  <r>
    <n v="214918906"/>
    <x v="284"/>
    <d v="2023-07-22T00:00:00"/>
    <n v="39"/>
    <s v="month"/>
    <s v="Yes"/>
    <d v="2023-07-22T00:00:00"/>
    <n v="1"/>
    <x v="1"/>
    <x v="0"/>
  </r>
  <r>
    <n v="216983668"/>
    <x v="284"/>
    <d v="2023-07-15T00:00:00"/>
    <n v="39"/>
    <s v="month"/>
    <s v="Yes"/>
    <d v="2023-07-15T00:00:00"/>
    <n v="1"/>
    <x v="1"/>
    <x v="0"/>
  </r>
  <r>
    <n v="217454204"/>
    <x v="285"/>
    <m/>
    <n v="39"/>
    <s v="month"/>
    <s v="Yes"/>
    <d v="2023-09-30T00:00:00"/>
    <n v="3"/>
    <x v="1"/>
    <x v="0"/>
  </r>
  <r>
    <n v="206049284"/>
    <x v="285"/>
    <m/>
    <n v="39"/>
    <s v="month"/>
    <s v="Yes"/>
    <d v="2023-09-30T00:00:00"/>
    <n v="3"/>
    <x v="1"/>
    <x v="0"/>
  </r>
  <r>
    <n v="132852439"/>
    <x v="285"/>
    <m/>
    <n v="39"/>
    <s v="month"/>
    <s v="Yes"/>
    <d v="2023-09-30T00:00:00"/>
    <n v="3"/>
    <x v="1"/>
    <x v="0"/>
  </r>
  <r>
    <n v="217233198"/>
    <x v="285"/>
    <m/>
    <n v="39"/>
    <s v="month"/>
    <s v="Yes"/>
    <d v="2023-09-30T00:00:00"/>
    <n v="3"/>
    <x v="1"/>
    <x v="0"/>
  </r>
  <r>
    <n v="188197564"/>
    <x v="285"/>
    <d v="2023-06-17T00:00:00"/>
    <n v="39"/>
    <s v="month"/>
    <s v="Yes"/>
    <d v="2023-06-17T00:00:00"/>
    <n v="0"/>
    <x v="1"/>
    <x v="1"/>
  </r>
  <r>
    <n v="146952862"/>
    <x v="285"/>
    <d v="2023-07-12T00:00:00"/>
    <n v="39"/>
    <s v="month"/>
    <s v="Yes"/>
    <d v="2023-07-12T00:00:00"/>
    <n v="1"/>
    <x v="1"/>
    <x v="0"/>
  </r>
  <r>
    <n v="152846561"/>
    <x v="285"/>
    <d v="2023-07-23T00:00:00"/>
    <n v="39"/>
    <s v="month"/>
    <s v="Yes"/>
    <d v="2023-07-23T00:00:00"/>
    <n v="1"/>
    <x v="1"/>
    <x v="0"/>
  </r>
  <r>
    <n v="132867770"/>
    <x v="285"/>
    <d v="2023-07-24T00:00:00"/>
    <n v="39"/>
    <s v="month"/>
    <s v="Yes"/>
    <d v="2023-07-24T00:00:00"/>
    <n v="1"/>
    <x v="1"/>
    <x v="0"/>
  </r>
  <r>
    <n v="206370330"/>
    <x v="285"/>
    <d v="2023-08-15T00:00:00"/>
    <n v="39"/>
    <s v="month"/>
    <s v="Yes"/>
    <d v="2023-08-15T00:00:00"/>
    <n v="2"/>
    <x v="1"/>
    <x v="0"/>
  </r>
  <r>
    <n v="217438230"/>
    <x v="285"/>
    <d v="2023-07-13T00:00:00"/>
    <n v="39"/>
    <s v="month"/>
    <s v="Yes"/>
    <d v="2023-07-13T00:00:00"/>
    <n v="1"/>
    <x v="1"/>
    <x v="0"/>
  </r>
  <r>
    <n v="217426939"/>
    <x v="285"/>
    <d v="2023-07-16T00:00:00"/>
    <n v="39"/>
    <s v="month"/>
    <s v="Yes"/>
    <d v="2023-07-16T00:00:00"/>
    <n v="1"/>
    <x v="1"/>
    <x v="0"/>
  </r>
  <r>
    <n v="205785520"/>
    <x v="286"/>
    <m/>
    <n v="39"/>
    <s v="month"/>
    <s v="Yes"/>
    <d v="2023-09-30T00:00:00"/>
    <n v="3"/>
    <x v="1"/>
    <x v="0"/>
  </r>
  <r>
    <n v="154284527"/>
    <x v="286"/>
    <d v="2023-07-24T00:00:00"/>
    <n v="39"/>
    <s v="month"/>
    <s v="Yes"/>
    <d v="2023-07-24T00:00:00"/>
    <n v="1"/>
    <x v="1"/>
    <x v="0"/>
  </r>
  <r>
    <n v="214105912"/>
    <x v="286"/>
    <d v="2023-07-24T00:00:00"/>
    <n v="39"/>
    <s v="month"/>
    <s v="Yes"/>
    <d v="2023-07-24T00:00:00"/>
    <n v="1"/>
    <x v="1"/>
    <x v="0"/>
  </r>
  <r>
    <n v="200909190"/>
    <x v="286"/>
    <d v="2023-08-24T00:00:00"/>
    <n v="39"/>
    <s v="month"/>
    <s v="Yes"/>
    <d v="2023-08-24T00:00:00"/>
    <n v="2"/>
    <x v="1"/>
    <x v="0"/>
  </r>
  <r>
    <n v="151633468"/>
    <x v="286"/>
    <d v="2023-08-01T00:00:00"/>
    <n v="39"/>
    <s v="month"/>
    <s v="Yes"/>
    <d v="2023-08-01T00:00:00"/>
    <n v="2"/>
    <x v="1"/>
    <x v="0"/>
  </r>
  <r>
    <n v="207010976"/>
    <x v="286"/>
    <d v="2023-08-24T00:00:00"/>
    <n v="39"/>
    <s v="month"/>
    <s v="Yes"/>
    <d v="2023-08-24T00:00:00"/>
    <n v="2"/>
    <x v="1"/>
    <x v="0"/>
  </r>
  <r>
    <n v="217487776"/>
    <x v="286"/>
    <d v="2023-07-20T00:00:00"/>
    <n v="39"/>
    <s v="month"/>
    <s v="Yes"/>
    <d v="2023-07-20T00:00:00"/>
    <n v="1"/>
    <x v="1"/>
    <x v="0"/>
  </r>
  <r>
    <n v="217484551"/>
    <x v="286"/>
    <d v="2023-07-24T00:00:00"/>
    <n v="39"/>
    <s v="month"/>
    <s v="Yes"/>
    <d v="2023-07-24T00:00:00"/>
    <n v="1"/>
    <x v="1"/>
    <x v="0"/>
  </r>
  <r>
    <n v="217498202"/>
    <x v="287"/>
    <m/>
    <n v="39"/>
    <s v="month"/>
    <s v="Yes"/>
    <d v="2023-09-30T00:00:00"/>
    <n v="3"/>
    <x v="1"/>
    <x v="0"/>
  </r>
  <r>
    <n v="217234603"/>
    <x v="287"/>
    <m/>
    <n v="39"/>
    <s v="month"/>
    <s v="Yes"/>
    <d v="2023-09-30T00:00:00"/>
    <n v="3"/>
    <x v="1"/>
    <x v="0"/>
  </r>
  <r>
    <n v="217264148"/>
    <x v="287"/>
    <m/>
    <n v="39"/>
    <s v="month"/>
    <s v="Yes"/>
    <d v="2023-09-30T00:00:00"/>
    <n v="3"/>
    <x v="1"/>
    <x v="0"/>
  </r>
  <r>
    <n v="217513366"/>
    <x v="287"/>
    <m/>
    <n v="39"/>
    <s v="month"/>
    <s v="Yes"/>
    <d v="2023-09-30T00:00:00"/>
    <n v="3"/>
    <x v="1"/>
    <x v="0"/>
  </r>
  <r>
    <n v="217503737"/>
    <x v="287"/>
    <m/>
    <n v="39"/>
    <s v="month"/>
    <s v="Yes"/>
    <d v="2023-09-30T00:00:00"/>
    <n v="3"/>
    <x v="1"/>
    <x v="0"/>
  </r>
  <r>
    <n v="151540809"/>
    <x v="287"/>
    <m/>
    <n v="39"/>
    <s v="month"/>
    <s v="Yes"/>
    <d v="2023-09-30T00:00:00"/>
    <n v="3"/>
    <x v="1"/>
    <x v="0"/>
  </r>
  <r>
    <n v="217526421"/>
    <x v="287"/>
    <d v="2023-08-26T00:00:00"/>
    <n v="39"/>
    <s v="month"/>
    <s v="Yes"/>
    <d v="2023-08-26T00:00:00"/>
    <n v="2"/>
    <x v="1"/>
    <x v="0"/>
  </r>
  <r>
    <n v="217418580"/>
    <x v="287"/>
    <d v="2023-07-14T00:00:00"/>
    <n v="39"/>
    <s v="month"/>
    <s v="Yes"/>
    <d v="2023-07-14T00:00:00"/>
    <n v="1"/>
    <x v="1"/>
    <x v="0"/>
  </r>
  <r>
    <n v="217426015"/>
    <x v="288"/>
    <m/>
    <n v="39"/>
    <s v="month"/>
    <s v="Yes"/>
    <d v="2023-09-30T00:00:00"/>
    <n v="3"/>
    <x v="1"/>
    <x v="0"/>
  </r>
  <r>
    <n v="217557584"/>
    <x v="288"/>
    <m/>
    <n v="39"/>
    <s v="month"/>
    <s v="Yes"/>
    <d v="2023-09-30T00:00:00"/>
    <n v="3"/>
    <x v="1"/>
    <x v="0"/>
  </r>
  <r>
    <n v="217406489"/>
    <x v="288"/>
    <m/>
    <n v="39"/>
    <s v="month"/>
    <s v="Yes"/>
    <d v="2023-09-30T00:00:00"/>
    <n v="3"/>
    <x v="1"/>
    <x v="0"/>
  </r>
  <r>
    <n v="217536534"/>
    <x v="288"/>
    <m/>
    <n v="39"/>
    <s v="month"/>
    <s v="Yes"/>
    <d v="2023-09-30T00:00:00"/>
    <n v="3"/>
    <x v="1"/>
    <x v="0"/>
  </r>
  <r>
    <n v="217557082"/>
    <x v="288"/>
    <m/>
    <n v="39"/>
    <s v="month"/>
    <s v="Yes"/>
    <d v="2023-09-30T00:00:00"/>
    <n v="3"/>
    <x v="1"/>
    <x v="0"/>
  </r>
  <r>
    <n v="176024207"/>
    <x v="288"/>
    <d v="2023-08-07T00:00:00"/>
    <n v="39"/>
    <s v="month"/>
    <s v="Yes"/>
    <d v="2023-08-07T00:00:00"/>
    <n v="2"/>
    <x v="1"/>
    <x v="0"/>
  </r>
  <r>
    <n v="160598122"/>
    <x v="288"/>
    <d v="2023-07-26T00:00:00"/>
    <n v="39"/>
    <s v="month"/>
    <s v="Yes"/>
    <d v="2023-07-26T00:00:00"/>
    <n v="1"/>
    <x v="1"/>
    <x v="0"/>
  </r>
  <r>
    <n v="217378430"/>
    <x v="288"/>
    <d v="2023-08-06T00:00:00"/>
    <n v="39"/>
    <s v="month"/>
    <s v="Yes"/>
    <d v="2023-08-06T00:00:00"/>
    <n v="2"/>
    <x v="1"/>
    <x v="0"/>
  </r>
  <r>
    <n v="193680187"/>
    <x v="288"/>
    <d v="2023-06-20T00:00:00"/>
    <n v="39"/>
    <s v="month"/>
    <s v="Yes"/>
    <d v="2023-06-20T00:00:00"/>
    <n v="0"/>
    <x v="1"/>
    <x v="1"/>
  </r>
  <r>
    <n v="180424442"/>
    <x v="288"/>
    <d v="2023-07-26T00:00:00"/>
    <n v="39"/>
    <s v="month"/>
    <s v="Yes"/>
    <d v="2023-07-26T00:00:00"/>
    <n v="1"/>
    <x v="1"/>
    <x v="0"/>
  </r>
  <r>
    <n v="217612796"/>
    <x v="289"/>
    <m/>
    <n v="39"/>
    <s v="month"/>
    <s v="Yes"/>
    <d v="2023-09-30T00:00:00"/>
    <n v="3"/>
    <x v="1"/>
    <x v="0"/>
  </r>
  <r>
    <n v="217601263"/>
    <x v="289"/>
    <m/>
    <n v="39"/>
    <s v="month"/>
    <s v="Yes"/>
    <d v="2023-09-30T00:00:00"/>
    <n v="3"/>
    <x v="1"/>
    <x v="0"/>
  </r>
  <r>
    <n v="217594148"/>
    <x v="289"/>
    <m/>
    <n v="39"/>
    <s v="month"/>
    <s v="Yes"/>
    <d v="2023-09-30T00:00:00"/>
    <n v="3"/>
    <x v="1"/>
    <x v="0"/>
  </r>
  <r>
    <n v="217598396"/>
    <x v="289"/>
    <m/>
    <n v="39"/>
    <s v="month"/>
    <s v="Yes"/>
    <d v="2023-09-30T00:00:00"/>
    <n v="3"/>
    <x v="1"/>
    <x v="0"/>
  </r>
  <r>
    <n v="206647130"/>
    <x v="289"/>
    <m/>
    <n v="39"/>
    <s v="month"/>
    <s v="Yes"/>
    <d v="2023-09-30T00:00:00"/>
    <n v="3"/>
    <x v="1"/>
    <x v="0"/>
  </r>
  <r>
    <n v="207099222"/>
    <x v="289"/>
    <m/>
    <n v="39"/>
    <s v="month"/>
    <s v="Yes"/>
    <d v="2023-09-30T00:00:00"/>
    <n v="3"/>
    <x v="1"/>
    <x v="0"/>
  </r>
  <r>
    <n v="207079318"/>
    <x v="289"/>
    <m/>
    <n v="39"/>
    <s v="month"/>
    <s v="Yes"/>
    <d v="2023-09-30T00:00:00"/>
    <n v="3"/>
    <x v="1"/>
    <x v="0"/>
  </r>
  <r>
    <n v="217580362"/>
    <x v="289"/>
    <m/>
    <n v="39"/>
    <s v="month"/>
    <s v="Yes"/>
    <d v="2023-09-30T00:00:00"/>
    <n v="3"/>
    <x v="1"/>
    <x v="0"/>
  </r>
  <r>
    <n v="217438678"/>
    <x v="289"/>
    <m/>
    <n v="39"/>
    <s v="month"/>
    <s v="Yes"/>
    <d v="2023-09-30T00:00:00"/>
    <n v="3"/>
    <x v="1"/>
    <x v="0"/>
  </r>
  <r>
    <n v="215963364"/>
    <x v="289"/>
    <d v="2023-06-21T00:00:00"/>
    <n v="39"/>
    <s v="month"/>
    <s v="Yes"/>
    <d v="2023-06-21T00:00:00"/>
    <n v="0"/>
    <x v="1"/>
    <x v="1"/>
  </r>
  <r>
    <n v="153876204"/>
    <x v="289"/>
    <d v="2023-07-23T00:00:00"/>
    <n v="39"/>
    <s v="month"/>
    <s v="Yes"/>
    <d v="2023-07-23T00:00:00"/>
    <n v="1"/>
    <x v="1"/>
    <x v="0"/>
  </r>
  <r>
    <n v="153828803"/>
    <x v="289"/>
    <d v="2023-06-22T00:00:00"/>
    <n v="39"/>
    <s v="month"/>
    <s v="Yes"/>
    <d v="2023-06-22T00:00:00"/>
    <n v="0"/>
    <x v="1"/>
    <x v="1"/>
  </r>
  <r>
    <n v="217595865"/>
    <x v="289"/>
    <d v="2023-07-27T00:00:00"/>
    <n v="39"/>
    <s v="month"/>
    <s v="Yes"/>
    <d v="2023-07-27T00:00:00"/>
    <n v="1"/>
    <x v="1"/>
    <x v="0"/>
  </r>
  <r>
    <n v="216158153"/>
    <x v="289"/>
    <d v="2023-07-24T00:00:00"/>
    <n v="39"/>
    <s v="month"/>
    <s v="Yes"/>
    <d v="2023-07-24T00:00:00"/>
    <n v="1"/>
    <x v="1"/>
    <x v="0"/>
  </r>
  <r>
    <n v="217548173"/>
    <x v="289"/>
    <d v="2023-07-19T00:00:00"/>
    <n v="39"/>
    <s v="month"/>
    <s v="Yes"/>
    <d v="2023-07-19T00:00:00"/>
    <n v="1"/>
    <x v="1"/>
    <x v="0"/>
  </r>
  <r>
    <n v="217533118"/>
    <x v="290"/>
    <m/>
    <n v="39"/>
    <s v="month"/>
    <s v="Yes"/>
    <d v="2023-09-30T00:00:00"/>
    <n v="3"/>
    <x v="1"/>
    <x v="0"/>
  </r>
  <r>
    <n v="205128906"/>
    <x v="290"/>
    <m/>
    <n v="39"/>
    <s v="month"/>
    <s v="Yes"/>
    <d v="2023-09-30T00:00:00"/>
    <n v="3"/>
    <x v="1"/>
    <x v="0"/>
  </r>
  <r>
    <n v="205812132"/>
    <x v="290"/>
    <m/>
    <n v="39"/>
    <s v="month"/>
    <s v="Yes"/>
    <d v="2023-09-30T00:00:00"/>
    <n v="3"/>
    <x v="1"/>
    <x v="0"/>
  </r>
  <r>
    <n v="216907554"/>
    <x v="290"/>
    <m/>
    <n v="39"/>
    <s v="month"/>
    <s v="Yes"/>
    <d v="2023-09-30T00:00:00"/>
    <n v="3"/>
    <x v="1"/>
    <x v="0"/>
  </r>
  <r>
    <n v="215113542"/>
    <x v="290"/>
    <m/>
    <n v="39"/>
    <s v="month"/>
    <s v="Yes"/>
    <d v="2023-09-30T00:00:00"/>
    <n v="3"/>
    <x v="1"/>
    <x v="0"/>
  </r>
  <r>
    <n v="204772797"/>
    <x v="290"/>
    <m/>
    <n v="39"/>
    <s v="month"/>
    <s v="Yes"/>
    <d v="2023-09-30T00:00:00"/>
    <n v="3"/>
    <x v="1"/>
    <x v="0"/>
  </r>
  <r>
    <n v="217627630"/>
    <x v="290"/>
    <m/>
    <n v="39"/>
    <s v="month"/>
    <s v="Yes"/>
    <d v="2023-09-30T00:00:00"/>
    <n v="3"/>
    <x v="1"/>
    <x v="0"/>
  </r>
  <r>
    <n v="217635272"/>
    <x v="290"/>
    <m/>
    <n v="39"/>
    <s v="month"/>
    <s v="Yes"/>
    <d v="2023-09-30T00:00:00"/>
    <n v="3"/>
    <x v="1"/>
    <x v="0"/>
  </r>
  <r>
    <n v="217543308"/>
    <x v="290"/>
    <d v="2023-06-22T00:00:00"/>
    <n v="39"/>
    <s v="month"/>
    <s v="Yes"/>
    <d v="2023-06-22T00:00:00"/>
    <n v="0"/>
    <x v="1"/>
    <x v="1"/>
  </r>
  <r>
    <n v="217626870"/>
    <x v="290"/>
    <d v="2023-06-22T00:00:00"/>
    <n v="39"/>
    <s v="month"/>
    <s v="No"/>
    <d v="2023-06-22T00:00:00"/>
    <n v="0"/>
    <x v="1"/>
    <x v="1"/>
  </r>
  <r>
    <n v="217246912"/>
    <x v="290"/>
    <d v="2023-06-22T00:00:00"/>
    <n v="39"/>
    <s v="month"/>
    <s v="No"/>
    <d v="2023-06-22T00:00:00"/>
    <n v="0"/>
    <x v="1"/>
    <x v="1"/>
  </r>
  <r>
    <n v="217223132"/>
    <x v="290"/>
    <d v="2023-08-18T00:00:00"/>
    <n v="39"/>
    <s v="month"/>
    <s v="Yes"/>
    <d v="2023-08-18T00:00:00"/>
    <n v="2"/>
    <x v="1"/>
    <x v="0"/>
  </r>
  <r>
    <n v="217650160"/>
    <x v="290"/>
    <d v="2023-08-10T00:00:00"/>
    <n v="39"/>
    <s v="month"/>
    <s v="Yes"/>
    <d v="2023-08-10T00:00:00"/>
    <n v="2"/>
    <x v="1"/>
    <x v="0"/>
  </r>
  <r>
    <n v="149856123"/>
    <x v="290"/>
    <d v="2023-07-17T00:00:00"/>
    <n v="39"/>
    <s v="month"/>
    <s v="Yes"/>
    <d v="2023-07-17T00:00:00"/>
    <n v="1"/>
    <x v="1"/>
    <x v="0"/>
  </r>
  <r>
    <n v="217657148"/>
    <x v="290"/>
    <d v="2023-06-30T00:00:00"/>
    <n v="39"/>
    <s v="month"/>
    <s v="Yes"/>
    <d v="2023-06-30T00:00:00"/>
    <n v="0"/>
    <x v="1"/>
    <x v="1"/>
  </r>
  <r>
    <n v="217386658"/>
    <x v="290"/>
    <d v="2023-07-25T00:00:00"/>
    <n v="39"/>
    <s v="month"/>
    <s v="Yes"/>
    <d v="2023-07-25T00:00:00"/>
    <n v="1"/>
    <x v="1"/>
    <x v="0"/>
  </r>
  <r>
    <n v="202563999"/>
    <x v="291"/>
    <m/>
    <n v="39"/>
    <s v="month"/>
    <s v="Yes"/>
    <d v="2023-09-30T00:00:00"/>
    <n v="3"/>
    <x v="1"/>
    <x v="0"/>
  </r>
  <r>
    <n v="137195650"/>
    <x v="291"/>
    <m/>
    <n v="39"/>
    <s v="month"/>
    <s v="Yes"/>
    <d v="2023-09-30T00:00:00"/>
    <n v="3"/>
    <x v="1"/>
    <x v="0"/>
  </r>
  <r>
    <n v="138372112"/>
    <x v="291"/>
    <m/>
    <n v="39"/>
    <s v="month"/>
    <s v="Yes"/>
    <d v="2023-09-30T00:00:00"/>
    <n v="3"/>
    <x v="1"/>
    <x v="0"/>
  </r>
  <r>
    <n v="217692419"/>
    <x v="291"/>
    <m/>
    <n v="39"/>
    <s v="month"/>
    <s v="Yes"/>
    <d v="2023-09-30T00:00:00"/>
    <n v="3"/>
    <x v="1"/>
    <x v="0"/>
  </r>
  <r>
    <n v="217610905"/>
    <x v="291"/>
    <m/>
    <n v="39"/>
    <s v="month"/>
    <s v="Yes"/>
    <d v="2023-09-30T00:00:00"/>
    <n v="3"/>
    <x v="1"/>
    <x v="0"/>
  </r>
  <r>
    <n v="217618558"/>
    <x v="291"/>
    <m/>
    <n v="39"/>
    <s v="month"/>
    <s v="Yes"/>
    <d v="2023-09-30T00:00:00"/>
    <n v="3"/>
    <x v="1"/>
    <x v="0"/>
  </r>
  <r>
    <n v="190490555"/>
    <x v="291"/>
    <m/>
    <n v="39"/>
    <s v="month"/>
    <s v="Yes"/>
    <d v="2023-09-30T00:00:00"/>
    <n v="3"/>
    <x v="1"/>
    <x v="0"/>
  </r>
  <r>
    <n v="122169020"/>
    <x v="291"/>
    <d v="2023-06-23T00:00:00"/>
    <n v="39"/>
    <s v="month"/>
    <s v="Yes"/>
    <d v="2023-06-23T00:00:00"/>
    <n v="0"/>
    <x v="1"/>
    <x v="1"/>
  </r>
  <r>
    <n v="217628239"/>
    <x v="291"/>
    <d v="2023-06-23T00:00:00"/>
    <n v="39"/>
    <s v="month"/>
    <s v="No"/>
    <d v="2023-06-23T00:00:00"/>
    <n v="0"/>
    <x v="1"/>
    <x v="1"/>
  </r>
  <r>
    <n v="148062219"/>
    <x v="291"/>
    <d v="2023-07-19T00:00:00"/>
    <n v="39"/>
    <s v="month"/>
    <s v="Yes"/>
    <d v="2023-07-19T00:00:00"/>
    <n v="1"/>
    <x v="1"/>
    <x v="0"/>
  </r>
  <r>
    <n v="131505988"/>
    <x v="291"/>
    <d v="2023-07-06T00:00:00"/>
    <n v="39"/>
    <s v="month"/>
    <s v="Yes"/>
    <d v="2023-07-06T00:00:00"/>
    <n v="1"/>
    <x v="1"/>
    <x v="0"/>
  </r>
  <r>
    <n v="215489398"/>
    <x v="291"/>
    <d v="2023-06-22T00:00:00"/>
    <n v="39"/>
    <s v="month"/>
    <s v="Yes"/>
    <d v="2023-06-22T00:00:00"/>
    <n v="0"/>
    <x v="1"/>
    <x v="1"/>
  </r>
  <r>
    <n v="195285936"/>
    <x v="291"/>
    <d v="2023-08-18T00:00:00"/>
    <n v="39"/>
    <s v="month"/>
    <s v="Yes"/>
    <d v="2023-08-18T00:00:00"/>
    <n v="2"/>
    <x v="1"/>
    <x v="0"/>
  </r>
  <r>
    <n v="217725764"/>
    <x v="291"/>
    <d v="2023-06-27T00:00:00"/>
    <n v="39"/>
    <s v="month"/>
    <s v="Yes"/>
    <d v="2023-06-27T00:00:00"/>
    <n v="0"/>
    <x v="1"/>
    <x v="1"/>
  </r>
  <r>
    <n v="217730944"/>
    <x v="291"/>
    <d v="2023-07-06T00:00:00"/>
    <n v="39"/>
    <s v="month"/>
    <s v="Yes"/>
    <d v="2023-07-06T00:00:00"/>
    <n v="1"/>
    <x v="1"/>
    <x v="0"/>
  </r>
  <r>
    <n v="205548571"/>
    <x v="292"/>
    <m/>
    <n v="39"/>
    <s v="month"/>
    <s v="Yes"/>
    <d v="2023-09-30T00:00:00"/>
    <n v="3"/>
    <x v="1"/>
    <x v="0"/>
  </r>
  <r>
    <n v="188085249"/>
    <x v="292"/>
    <m/>
    <n v="39"/>
    <s v="month"/>
    <s v="Yes"/>
    <d v="2023-09-30T00:00:00"/>
    <n v="3"/>
    <x v="1"/>
    <x v="0"/>
  </r>
  <r>
    <n v="206697535"/>
    <x v="292"/>
    <m/>
    <n v="39"/>
    <s v="month"/>
    <s v="Yes"/>
    <d v="2023-09-30T00:00:00"/>
    <n v="3"/>
    <x v="1"/>
    <x v="0"/>
  </r>
  <r>
    <n v="152705871"/>
    <x v="292"/>
    <m/>
    <n v="39"/>
    <s v="month"/>
    <s v="Yes"/>
    <d v="2023-09-30T00:00:00"/>
    <n v="3"/>
    <x v="1"/>
    <x v="0"/>
  </r>
  <r>
    <n v="216139584"/>
    <x v="292"/>
    <m/>
    <n v="39"/>
    <s v="month"/>
    <s v="Yes"/>
    <d v="2023-09-30T00:00:00"/>
    <n v="3"/>
    <x v="1"/>
    <x v="0"/>
  </r>
  <r>
    <n v="127716285"/>
    <x v="292"/>
    <m/>
    <n v="39"/>
    <s v="month"/>
    <s v="Yes"/>
    <d v="2023-09-30T00:00:00"/>
    <n v="3"/>
    <x v="1"/>
    <x v="0"/>
  </r>
  <r>
    <n v="138535334"/>
    <x v="292"/>
    <d v="2023-08-23T00:00:00"/>
    <n v="39"/>
    <s v="month"/>
    <s v="Yes"/>
    <d v="2023-08-23T00:00:00"/>
    <n v="2"/>
    <x v="1"/>
    <x v="0"/>
  </r>
  <r>
    <n v="205869717"/>
    <x v="292"/>
    <d v="2023-08-30T00:00:00"/>
    <n v="39"/>
    <s v="month"/>
    <s v="Yes"/>
    <d v="2023-08-30T00:00:00"/>
    <n v="2"/>
    <x v="1"/>
    <x v="0"/>
  </r>
  <r>
    <n v="204985013"/>
    <x v="292"/>
    <d v="2023-08-12T00:00:00"/>
    <n v="39"/>
    <s v="month"/>
    <s v="Yes"/>
    <d v="2023-08-12T00:00:00"/>
    <n v="2"/>
    <x v="1"/>
    <x v="0"/>
  </r>
  <r>
    <n v="217763600"/>
    <x v="293"/>
    <m/>
    <n v="39"/>
    <s v="month"/>
    <s v="Yes"/>
    <d v="2023-09-30T00:00:00"/>
    <n v="3"/>
    <x v="1"/>
    <x v="0"/>
  </r>
  <r>
    <n v="217808731"/>
    <x v="293"/>
    <d v="2023-06-25T00:00:00"/>
    <n v="39"/>
    <s v="month"/>
    <s v="No"/>
    <d v="2023-06-25T00:00:00"/>
    <n v="0"/>
    <x v="1"/>
    <x v="1"/>
  </r>
  <r>
    <n v="217822232"/>
    <x v="293"/>
    <d v="2023-08-05T00:00:00"/>
    <n v="39"/>
    <s v="month"/>
    <s v="Yes"/>
    <d v="2023-08-05T00:00:00"/>
    <n v="2"/>
    <x v="1"/>
    <x v="0"/>
  </r>
  <r>
    <n v="217718093"/>
    <x v="294"/>
    <m/>
    <n v="39"/>
    <s v="month"/>
    <s v="Yes"/>
    <d v="2023-09-30T00:00:00"/>
    <n v="3"/>
    <x v="1"/>
    <x v="0"/>
  </r>
  <r>
    <n v="217555660"/>
    <x v="294"/>
    <m/>
    <n v="39"/>
    <s v="month"/>
    <s v="Yes"/>
    <d v="2023-09-30T00:00:00"/>
    <n v="3"/>
    <x v="1"/>
    <x v="0"/>
  </r>
  <r>
    <n v="154535908"/>
    <x v="294"/>
    <m/>
    <n v="39"/>
    <s v="month"/>
    <s v="Yes"/>
    <d v="2023-09-30T00:00:00"/>
    <n v="3"/>
    <x v="1"/>
    <x v="0"/>
  </r>
  <r>
    <n v="217554744"/>
    <x v="294"/>
    <d v="2023-08-01T00:00:00"/>
    <n v="39"/>
    <s v="month"/>
    <s v="Yes"/>
    <d v="2023-08-01T00:00:00"/>
    <n v="2"/>
    <x v="1"/>
    <x v="0"/>
  </r>
  <r>
    <n v="217877324"/>
    <x v="294"/>
    <d v="2023-06-25T00:00:00"/>
    <n v="39"/>
    <s v="month"/>
    <s v="Yes"/>
    <d v="2023-06-25T00:00:00"/>
    <n v="0"/>
    <x v="1"/>
    <x v="1"/>
  </r>
  <r>
    <n v="147765298"/>
    <x v="295"/>
    <m/>
    <n v="39"/>
    <s v="month"/>
    <s v="Yes"/>
    <d v="2023-09-30T00:00:00"/>
    <n v="3"/>
    <x v="1"/>
    <x v="0"/>
  </r>
  <r>
    <n v="217901196"/>
    <x v="295"/>
    <m/>
    <n v="39"/>
    <s v="month"/>
    <s v="Yes"/>
    <d v="2023-09-30T00:00:00"/>
    <n v="3"/>
    <x v="1"/>
    <x v="0"/>
  </r>
  <r>
    <n v="217266939"/>
    <x v="295"/>
    <m/>
    <n v="39"/>
    <s v="month"/>
    <s v="Yes"/>
    <d v="2023-09-30T00:00:00"/>
    <n v="3"/>
    <x v="1"/>
    <x v="0"/>
  </r>
  <r>
    <n v="204908076"/>
    <x v="295"/>
    <m/>
    <n v="39"/>
    <s v="month"/>
    <s v="Yes"/>
    <d v="2023-09-30T00:00:00"/>
    <n v="3"/>
    <x v="1"/>
    <x v="0"/>
  </r>
  <r>
    <n v="217698784"/>
    <x v="295"/>
    <m/>
    <n v="39"/>
    <s v="month"/>
    <s v="Yes"/>
    <d v="2023-09-30T00:00:00"/>
    <n v="3"/>
    <x v="1"/>
    <x v="0"/>
  </r>
  <r>
    <n v="217909024"/>
    <x v="295"/>
    <m/>
    <n v="39"/>
    <s v="month"/>
    <s v="Yes"/>
    <d v="2023-09-30T00:00:00"/>
    <n v="3"/>
    <x v="1"/>
    <x v="0"/>
  </r>
  <r>
    <n v="201498671"/>
    <x v="295"/>
    <m/>
    <n v="39"/>
    <s v="month"/>
    <s v="Yes"/>
    <d v="2023-09-30T00:00:00"/>
    <n v="3"/>
    <x v="1"/>
    <x v="0"/>
  </r>
  <r>
    <n v="217902650"/>
    <x v="295"/>
    <m/>
    <n v="39"/>
    <s v="month"/>
    <s v="Yes"/>
    <d v="2023-09-30T00:00:00"/>
    <n v="3"/>
    <x v="1"/>
    <x v="0"/>
  </r>
  <r>
    <n v="217896282"/>
    <x v="295"/>
    <m/>
    <n v="39"/>
    <s v="month"/>
    <s v="Yes"/>
    <d v="2023-09-30T00:00:00"/>
    <n v="3"/>
    <x v="1"/>
    <x v="0"/>
  </r>
  <r>
    <n v="217337901"/>
    <x v="295"/>
    <m/>
    <n v="39"/>
    <s v="month"/>
    <s v="Yes"/>
    <d v="2023-09-30T00:00:00"/>
    <n v="3"/>
    <x v="1"/>
    <x v="0"/>
  </r>
  <r>
    <n v="217477535"/>
    <x v="295"/>
    <m/>
    <n v="39"/>
    <s v="month"/>
    <s v="Yes"/>
    <d v="2023-09-30T00:00:00"/>
    <n v="3"/>
    <x v="1"/>
    <x v="0"/>
  </r>
  <r>
    <n v="217885621"/>
    <x v="295"/>
    <m/>
    <n v="39"/>
    <s v="month"/>
    <s v="Yes"/>
    <d v="2023-09-30T00:00:00"/>
    <n v="3"/>
    <x v="1"/>
    <x v="0"/>
  </r>
  <r>
    <n v="217714764"/>
    <x v="295"/>
    <m/>
    <n v="39"/>
    <s v="month"/>
    <s v="Yes"/>
    <d v="2023-09-30T00:00:00"/>
    <n v="3"/>
    <x v="1"/>
    <x v="0"/>
  </r>
  <r>
    <n v="217335548"/>
    <x v="295"/>
    <d v="2023-09-06T00:00:00"/>
    <n v="39"/>
    <s v="month"/>
    <s v="Yes"/>
    <d v="2023-09-06T00:00:00"/>
    <n v="3"/>
    <x v="1"/>
    <x v="0"/>
  </r>
  <r>
    <n v="129747676"/>
    <x v="295"/>
    <d v="2023-06-27T00:00:00"/>
    <n v="39"/>
    <s v="month"/>
    <s v="Yes"/>
    <d v="2023-06-27T00:00:00"/>
    <n v="0"/>
    <x v="1"/>
    <x v="1"/>
  </r>
  <r>
    <n v="217846698"/>
    <x v="295"/>
    <d v="2023-06-27T00:00:00"/>
    <n v="39"/>
    <s v="month"/>
    <s v="No"/>
    <d v="2023-06-27T00:00:00"/>
    <n v="0"/>
    <x v="1"/>
    <x v="1"/>
  </r>
  <r>
    <n v="217965791"/>
    <x v="296"/>
    <m/>
    <n v="39"/>
    <s v="month"/>
    <s v="Yes"/>
    <d v="2023-09-30T00:00:00"/>
    <n v="3"/>
    <x v="1"/>
    <x v="0"/>
  </r>
  <r>
    <n v="217851124"/>
    <x v="296"/>
    <m/>
    <n v="39"/>
    <s v="month"/>
    <s v="Yes"/>
    <d v="2023-09-30T00:00:00"/>
    <n v="3"/>
    <x v="1"/>
    <x v="0"/>
  </r>
  <r>
    <n v="217861903"/>
    <x v="296"/>
    <m/>
    <n v="39"/>
    <s v="month"/>
    <s v="Yes"/>
    <d v="2023-09-30T00:00:00"/>
    <n v="3"/>
    <x v="1"/>
    <x v="0"/>
  </r>
  <r>
    <n v="217660423"/>
    <x v="296"/>
    <m/>
    <n v="39"/>
    <s v="month"/>
    <s v="Yes"/>
    <d v="2023-09-30T00:00:00"/>
    <n v="3"/>
    <x v="1"/>
    <x v="0"/>
  </r>
  <r>
    <n v="217814342"/>
    <x v="296"/>
    <m/>
    <n v="39"/>
    <s v="month"/>
    <s v="Yes"/>
    <d v="2023-09-30T00:00:00"/>
    <n v="3"/>
    <x v="1"/>
    <x v="0"/>
  </r>
  <r>
    <n v="157548765"/>
    <x v="296"/>
    <d v="2023-06-28T00:00:00"/>
    <n v="39"/>
    <s v="month"/>
    <s v="No"/>
    <d v="2023-06-28T00:00:00"/>
    <n v="0"/>
    <x v="1"/>
    <x v="1"/>
  </r>
  <r>
    <n v="217934288"/>
    <x v="296"/>
    <d v="2023-06-28T00:00:00"/>
    <n v="39"/>
    <s v="month"/>
    <s v="No"/>
    <d v="2023-06-28T00:00:00"/>
    <n v="0"/>
    <x v="1"/>
    <x v="1"/>
  </r>
  <r>
    <n v="217855786"/>
    <x v="296"/>
    <d v="2023-06-28T00:00:00"/>
    <n v="39"/>
    <s v="month"/>
    <s v="No"/>
    <d v="2023-06-28T00:00:00"/>
    <n v="0"/>
    <x v="1"/>
    <x v="1"/>
  </r>
  <r>
    <n v="131753677"/>
    <x v="296"/>
    <d v="2023-08-15T00:00:00"/>
    <n v="39"/>
    <s v="month"/>
    <s v="Yes"/>
    <d v="2023-08-15T00:00:00"/>
    <n v="2"/>
    <x v="1"/>
    <x v="0"/>
  </r>
  <r>
    <n v="215963364"/>
    <x v="296"/>
    <d v="2023-09-03T00:00:00"/>
    <n v="39"/>
    <s v="month"/>
    <s v="Yes"/>
    <d v="2023-09-03T00:00:00"/>
    <n v="3"/>
    <x v="1"/>
    <x v="0"/>
  </r>
  <r>
    <n v="217971206"/>
    <x v="296"/>
    <d v="2023-07-18T00:00:00"/>
    <n v="39"/>
    <s v="month"/>
    <s v="Yes"/>
    <d v="2023-07-18T00:00:00"/>
    <n v="1"/>
    <x v="1"/>
    <x v="0"/>
  </r>
  <r>
    <n v="217943053"/>
    <x v="296"/>
    <d v="2023-07-17T00:00:00"/>
    <n v="39"/>
    <s v="month"/>
    <s v="Yes"/>
    <d v="2023-07-17T00:00:00"/>
    <n v="1"/>
    <x v="1"/>
    <x v="0"/>
  </r>
  <r>
    <n v="218004764"/>
    <x v="297"/>
    <m/>
    <n v="39"/>
    <s v="month"/>
    <s v="Yes"/>
    <d v="2023-09-30T00:00:00"/>
    <n v="3"/>
    <x v="1"/>
    <x v="0"/>
  </r>
  <r>
    <n v="217768772"/>
    <x v="297"/>
    <m/>
    <n v="39"/>
    <s v="month"/>
    <s v="Yes"/>
    <d v="2023-09-30T00:00:00"/>
    <n v="3"/>
    <x v="1"/>
    <x v="0"/>
  </r>
  <r>
    <n v="216775344"/>
    <x v="297"/>
    <m/>
    <n v="39"/>
    <s v="month"/>
    <s v="Yes"/>
    <d v="2023-09-30T00:00:00"/>
    <n v="3"/>
    <x v="1"/>
    <x v="0"/>
  </r>
  <r>
    <n v="135364787"/>
    <x v="297"/>
    <m/>
    <n v="39"/>
    <s v="month"/>
    <s v="Yes"/>
    <d v="2023-09-30T00:00:00"/>
    <n v="3"/>
    <x v="1"/>
    <x v="0"/>
  </r>
  <r>
    <n v="148107179"/>
    <x v="297"/>
    <d v="2023-08-04T00:00:00"/>
    <n v="39"/>
    <s v="month"/>
    <s v="Yes"/>
    <d v="2023-08-04T00:00:00"/>
    <n v="2"/>
    <x v="1"/>
    <x v="0"/>
  </r>
  <r>
    <n v="215904194"/>
    <x v="297"/>
    <d v="2023-07-22T00:00:00"/>
    <n v="39"/>
    <s v="month"/>
    <s v="Yes"/>
    <d v="2023-07-22T00:00:00"/>
    <n v="1"/>
    <x v="1"/>
    <x v="0"/>
  </r>
  <r>
    <n v="217988577"/>
    <x v="297"/>
    <d v="2023-07-26T00:00:00"/>
    <n v="39"/>
    <s v="month"/>
    <s v="Yes"/>
    <d v="2023-07-26T00:00:00"/>
    <n v="1"/>
    <x v="1"/>
    <x v="0"/>
  </r>
  <r>
    <n v="146124679"/>
    <x v="297"/>
    <d v="2023-07-28T00:00:00"/>
    <n v="39"/>
    <s v="month"/>
    <s v="Yes"/>
    <d v="2023-07-28T00:00:00"/>
    <n v="1"/>
    <x v="1"/>
    <x v="0"/>
  </r>
  <r>
    <n v="217819772"/>
    <x v="298"/>
    <m/>
    <n v="39"/>
    <s v="month"/>
    <s v="Yes"/>
    <d v="2023-09-30T00:00:00"/>
    <n v="3"/>
    <x v="1"/>
    <x v="0"/>
  </r>
  <r>
    <n v="217996629"/>
    <x v="298"/>
    <m/>
    <n v="39"/>
    <s v="month"/>
    <s v="Yes"/>
    <d v="2023-09-30T00:00:00"/>
    <n v="3"/>
    <x v="1"/>
    <x v="0"/>
  </r>
  <r>
    <n v="152621756"/>
    <x v="298"/>
    <m/>
    <n v="39"/>
    <s v="month"/>
    <s v="Yes"/>
    <d v="2023-09-30T00:00:00"/>
    <n v="3"/>
    <x v="1"/>
    <x v="0"/>
  </r>
  <r>
    <n v="218006807"/>
    <x v="298"/>
    <m/>
    <n v="39"/>
    <s v="month"/>
    <s v="Yes"/>
    <d v="2023-09-30T00:00:00"/>
    <n v="3"/>
    <x v="1"/>
    <x v="0"/>
  </r>
  <r>
    <n v="218045202"/>
    <x v="298"/>
    <d v="2023-08-29T00:00:00"/>
    <n v="39"/>
    <s v="month"/>
    <s v="Yes"/>
    <d v="2023-08-29T00:00:00"/>
    <n v="2"/>
    <x v="1"/>
    <x v="0"/>
  </r>
  <r>
    <n v="122215146"/>
    <x v="298"/>
    <d v="2023-08-13T00:00:00"/>
    <n v="39"/>
    <s v="month"/>
    <s v="Yes"/>
    <d v="2023-08-13T00:00:00"/>
    <n v="2"/>
    <x v="1"/>
    <x v="0"/>
  </r>
  <r>
    <n v="218003864"/>
    <x v="298"/>
    <d v="2023-07-28T00:00:00"/>
    <n v="39"/>
    <s v="month"/>
    <s v="Yes"/>
    <d v="2023-07-28T00:00:00"/>
    <n v="1"/>
    <x v="1"/>
    <x v="0"/>
  </r>
  <r>
    <n v="218088770"/>
    <x v="299"/>
    <m/>
    <n v="39"/>
    <s v="month"/>
    <s v="Yes"/>
    <d v="2023-09-30T00:00:00"/>
    <n v="3"/>
    <x v="1"/>
    <x v="0"/>
  </r>
  <r>
    <n v="217856893"/>
    <x v="299"/>
    <m/>
    <n v="39"/>
    <s v="month"/>
    <s v="Yes"/>
    <d v="2023-09-30T00:00:00"/>
    <n v="3"/>
    <x v="1"/>
    <x v="0"/>
  </r>
  <r>
    <n v="156054912"/>
    <x v="299"/>
    <m/>
    <n v="39"/>
    <s v="month"/>
    <s v="Yes"/>
    <d v="2023-09-30T00:00:00"/>
    <n v="3"/>
    <x v="1"/>
    <x v="0"/>
  </r>
  <r>
    <n v="218059054"/>
    <x v="299"/>
    <m/>
    <n v="39"/>
    <s v="month"/>
    <s v="Yes"/>
    <d v="2023-09-30T00:00:00"/>
    <n v="3"/>
    <x v="1"/>
    <x v="0"/>
  </r>
  <r>
    <n v="218074245"/>
    <x v="299"/>
    <m/>
    <n v="39"/>
    <s v="month"/>
    <s v="Yes"/>
    <d v="2023-09-30T00:00:00"/>
    <n v="3"/>
    <x v="1"/>
    <x v="0"/>
  </r>
  <r>
    <n v="204774586"/>
    <x v="299"/>
    <m/>
    <n v="39"/>
    <s v="month"/>
    <s v="Yes"/>
    <d v="2023-09-30T00:00:00"/>
    <n v="3"/>
    <x v="1"/>
    <x v="0"/>
  </r>
  <r>
    <n v="215941440"/>
    <x v="299"/>
    <m/>
    <n v="39"/>
    <s v="month"/>
    <s v="Yes"/>
    <d v="2023-09-30T00:00:00"/>
    <n v="3"/>
    <x v="1"/>
    <x v="0"/>
  </r>
  <r>
    <n v="205547323"/>
    <x v="299"/>
    <m/>
    <n v="39"/>
    <s v="month"/>
    <s v="No"/>
    <d v="2023-09-30T00:00:00"/>
    <n v="3"/>
    <x v="1"/>
    <x v="0"/>
  </r>
  <r>
    <n v="140062581"/>
    <x v="299"/>
    <m/>
    <n v="39"/>
    <s v="month"/>
    <s v="Yes"/>
    <d v="2023-09-30T00:00:00"/>
    <n v="3"/>
    <x v="1"/>
    <x v="0"/>
  </r>
  <r>
    <n v="217932519"/>
    <x v="299"/>
    <d v="2023-07-01T00:00:00"/>
    <n v="39"/>
    <s v="month"/>
    <s v="Yes"/>
    <d v="2023-07-01T00:00:00"/>
    <n v="1"/>
    <x v="1"/>
    <x v="0"/>
  </r>
  <r>
    <n v="217982048"/>
    <x v="299"/>
    <d v="2023-07-01T00:00:00"/>
    <n v="39"/>
    <s v="month"/>
    <s v="No"/>
    <d v="2023-07-01T00:00:00"/>
    <n v="1"/>
    <x v="1"/>
    <x v="0"/>
  </r>
  <r>
    <n v="218066467"/>
    <x v="299"/>
    <d v="2023-08-31T00:00:00"/>
    <n v="39"/>
    <s v="month"/>
    <s v="Yes"/>
    <d v="2023-08-31T00:00:00"/>
    <n v="2"/>
    <x v="1"/>
    <x v="0"/>
  </r>
  <r>
    <n v="218046034"/>
    <x v="299"/>
    <d v="2023-09-06T00:00:00"/>
    <n v="39"/>
    <s v="month"/>
    <s v="Yes"/>
    <d v="2023-09-06T00:00:00"/>
    <n v="3"/>
    <x v="1"/>
    <x v="0"/>
  </r>
  <r>
    <n v="217697744"/>
    <x v="299"/>
    <d v="2023-07-27T00:00:00"/>
    <n v="39"/>
    <s v="month"/>
    <s v="Yes"/>
    <d v="2023-07-27T00:00:00"/>
    <n v="1"/>
    <x v="1"/>
    <x v="0"/>
  </r>
  <r>
    <n v="217942738"/>
    <x v="300"/>
    <m/>
    <n v="39"/>
    <s v="month"/>
    <s v="Yes"/>
    <d v="2023-09-30T00:00:00"/>
    <n v="2"/>
    <x v="1"/>
    <x v="0"/>
  </r>
  <r>
    <n v="218133628"/>
    <x v="300"/>
    <m/>
    <n v="39"/>
    <s v="month"/>
    <s v="Yes"/>
    <d v="2023-09-30T00:00:00"/>
    <n v="2"/>
    <x v="1"/>
    <x v="0"/>
  </r>
  <r>
    <n v="118508852"/>
    <x v="300"/>
    <m/>
    <n v="39"/>
    <s v="month"/>
    <s v="Yes"/>
    <d v="2023-09-30T00:00:00"/>
    <n v="2"/>
    <x v="1"/>
    <x v="0"/>
  </r>
  <r>
    <n v="218120267"/>
    <x v="300"/>
    <m/>
    <n v="39"/>
    <s v="month"/>
    <s v="Yes"/>
    <d v="2023-09-30T00:00:00"/>
    <n v="2"/>
    <x v="1"/>
    <x v="0"/>
  </r>
  <r>
    <n v="218095541"/>
    <x v="300"/>
    <m/>
    <n v="39"/>
    <s v="month"/>
    <s v="Yes"/>
    <d v="2023-09-30T00:00:00"/>
    <n v="2"/>
    <x v="1"/>
    <x v="0"/>
  </r>
  <r>
    <n v="217626801"/>
    <x v="300"/>
    <m/>
    <n v="39"/>
    <s v="month"/>
    <s v="Yes"/>
    <d v="2023-09-30T00:00:00"/>
    <n v="2"/>
    <x v="1"/>
    <x v="0"/>
  </r>
  <r>
    <n v="151555660"/>
    <x v="300"/>
    <d v="2023-08-31T00:00:00"/>
    <n v="39"/>
    <s v="month"/>
    <s v="Yes"/>
    <d v="2023-08-31T00:00:00"/>
    <n v="1"/>
    <x v="1"/>
    <x v="0"/>
  </r>
  <r>
    <n v="217110820"/>
    <x v="300"/>
    <d v="2023-08-04T00:00:00"/>
    <n v="39"/>
    <s v="month"/>
    <s v="Yes"/>
    <d v="2023-08-04T00:00:00"/>
    <n v="1"/>
    <x v="1"/>
    <x v="0"/>
  </r>
  <r>
    <n v="217932519"/>
    <x v="300"/>
    <d v="2023-08-31T00:00:00"/>
    <n v="39"/>
    <s v="month"/>
    <s v="Yes"/>
    <d v="2023-08-31T00:00:00"/>
    <n v="1"/>
    <x v="1"/>
    <x v="0"/>
  </r>
  <r>
    <n v="218164848"/>
    <x v="301"/>
    <m/>
    <n v="39"/>
    <s v="month"/>
    <s v="Yes"/>
    <d v="2023-09-30T00:00:00"/>
    <n v="2"/>
    <x v="1"/>
    <x v="0"/>
  </r>
  <r>
    <n v="217526484"/>
    <x v="301"/>
    <m/>
    <n v="39"/>
    <s v="month"/>
    <s v="Yes"/>
    <d v="2023-09-30T00:00:00"/>
    <n v="2"/>
    <x v="1"/>
    <x v="0"/>
  </r>
  <r>
    <n v="214940948"/>
    <x v="301"/>
    <m/>
    <n v="39"/>
    <s v="month"/>
    <s v="Yes"/>
    <d v="2023-09-30T00:00:00"/>
    <n v="2"/>
    <x v="1"/>
    <x v="0"/>
  </r>
  <r>
    <n v="218144586"/>
    <x v="301"/>
    <m/>
    <n v="39"/>
    <s v="month"/>
    <s v="Yes"/>
    <d v="2023-09-30T00:00:00"/>
    <n v="2"/>
    <x v="1"/>
    <x v="0"/>
  </r>
  <r>
    <n v="217863596"/>
    <x v="301"/>
    <d v="2023-08-20T00:00:00"/>
    <n v="39"/>
    <s v="month"/>
    <s v="Yes"/>
    <d v="2023-08-20T00:00:00"/>
    <n v="1"/>
    <x v="1"/>
    <x v="0"/>
  </r>
  <r>
    <n v="218098580"/>
    <x v="301"/>
    <d v="2023-08-30T00:00:00"/>
    <n v="39"/>
    <s v="month"/>
    <s v="Yes"/>
    <d v="2023-08-30T00:00:00"/>
    <n v="1"/>
    <x v="1"/>
    <x v="0"/>
  </r>
  <r>
    <n v="215602271"/>
    <x v="301"/>
    <d v="2023-07-27T00:00:00"/>
    <n v="39"/>
    <s v="month"/>
    <s v="Yes"/>
    <d v="2023-07-27T00:00:00"/>
    <n v="0"/>
    <x v="1"/>
    <x v="1"/>
  </r>
  <r>
    <n v="218202086"/>
    <x v="302"/>
    <m/>
    <n v="39"/>
    <s v="month"/>
    <s v="Yes"/>
    <d v="2023-09-30T00:00:00"/>
    <n v="2"/>
    <x v="1"/>
    <x v="0"/>
  </r>
  <r>
    <n v="217927897"/>
    <x v="302"/>
    <m/>
    <n v="39"/>
    <s v="month"/>
    <s v="Yes"/>
    <d v="2023-09-30T00:00:00"/>
    <n v="2"/>
    <x v="1"/>
    <x v="0"/>
  </r>
  <r>
    <n v="217856402"/>
    <x v="302"/>
    <m/>
    <n v="39"/>
    <s v="month"/>
    <s v="Yes"/>
    <d v="2023-09-30T00:00:00"/>
    <n v="2"/>
    <x v="1"/>
    <x v="0"/>
  </r>
  <r>
    <n v="217588559"/>
    <x v="302"/>
    <m/>
    <n v="39"/>
    <s v="month"/>
    <s v="Yes"/>
    <d v="2023-09-30T00:00:00"/>
    <n v="2"/>
    <x v="1"/>
    <x v="0"/>
  </r>
  <r>
    <n v="212136438"/>
    <x v="302"/>
    <m/>
    <n v="39"/>
    <s v="month"/>
    <s v="Yes"/>
    <d v="2023-09-30T00:00:00"/>
    <n v="2"/>
    <x v="1"/>
    <x v="0"/>
  </r>
  <r>
    <n v="138548670"/>
    <x v="302"/>
    <m/>
    <n v="39"/>
    <s v="month"/>
    <s v="Yes"/>
    <d v="2023-09-30T00:00:00"/>
    <n v="2"/>
    <x v="1"/>
    <x v="0"/>
  </r>
  <r>
    <n v="217588559"/>
    <x v="302"/>
    <d v="2023-07-03T00:00:00"/>
    <n v="39"/>
    <s v="month"/>
    <s v="Yes"/>
    <d v="2023-07-03T00:00:00"/>
    <n v="0"/>
    <x v="1"/>
    <x v="1"/>
  </r>
  <r>
    <n v="171893540"/>
    <x v="302"/>
    <d v="2023-08-20T00:00:00"/>
    <n v="39"/>
    <s v="month"/>
    <s v="Yes"/>
    <d v="2023-08-20T00:00:00"/>
    <n v="1"/>
    <x v="1"/>
    <x v="0"/>
  </r>
  <r>
    <n v="202412363"/>
    <x v="302"/>
    <d v="2023-07-22T00:00:00"/>
    <n v="39"/>
    <s v="month"/>
    <s v="Yes"/>
    <d v="2023-07-22T00:00:00"/>
    <n v="0"/>
    <x v="1"/>
    <x v="1"/>
  </r>
  <r>
    <n v="218129311"/>
    <x v="302"/>
    <d v="2023-08-10T00:00:00"/>
    <n v="39"/>
    <s v="month"/>
    <s v="Yes"/>
    <d v="2023-08-10T00:00:00"/>
    <n v="1"/>
    <x v="1"/>
    <x v="0"/>
  </r>
  <r>
    <n v="218092565"/>
    <x v="302"/>
    <d v="2023-08-10T00:00:00"/>
    <n v="39"/>
    <s v="month"/>
    <s v="Yes"/>
    <d v="2023-08-10T00:00:00"/>
    <n v="1"/>
    <x v="1"/>
    <x v="0"/>
  </r>
  <r>
    <n v="150436862"/>
    <x v="303"/>
    <m/>
    <n v="39"/>
    <s v="month"/>
    <s v="Yes"/>
    <d v="2023-09-30T00:00:00"/>
    <n v="2"/>
    <x v="1"/>
    <x v="0"/>
  </r>
  <r>
    <n v="218211840"/>
    <x v="303"/>
    <m/>
    <n v="39"/>
    <s v="month"/>
    <s v="Yes"/>
    <d v="2023-09-30T00:00:00"/>
    <n v="2"/>
    <x v="1"/>
    <x v="0"/>
  </r>
  <r>
    <n v="218235209"/>
    <x v="303"/>
    <m/>
    <n v="39"/>
    <s v="month"/>
    <s v="Yes"/>
    <d v="2023-09-30T00:00:00"/>
    <n v="2"/>
    <x v="1"/>
    <x v="0"/>
  </r>
  <r>
    <n v="132631414"/>
    <x v="303"/>
    <m/>
    <n v="39"/>
    <s v="month"/>
    <s v="Yes"/>
    <d v="2023-09-30T00:00:00"/>
    <n v="2"/>
    <x v="1"/>
    <x v="0"/>
  </r>
  <r>
    <n v="218254260"/>
    <x v="303"/>
    <m/>
    <n v="39"/>
    <s v="month"/>
    <s v="Yes"/>
    <d v="2023-09-30T00:00:00"/>
    <n v="2"/>
    <x v="1"/>
    <x v="0"/>
  </r>
  <r>
    <n v="218095604"/>
    <x v="303"/>
    <m/>
    <n v="39"/>
    <s v="month"/>
    <s v="Yes"/>
    <d v="2023-09-30T00:00:00"/>
    <n v="2"/>
    <x v="1"/>
    <x v="0"/>
  </r>
  <r>
    <n v="147845964"/>
    <x v="303"/>
    <d v="2023-07-04T00:00:00"/>
    <n v="39"/>
    <s v="month"/>
    <s v="Yes"/>
    <d v="2023-07-04T00:00:00"/>
    <n v="0"/>
    <x v="1"/>
    <x v="1"/>
  </r>
  <r>
    <n v="218242871"/>
    <x v="303"/>
    <d v="2023-08-04T00:00:00"/>
    <n v="39"/>
    <s v="month"/>
    <s v="Yes"/>
    <d v="2023-08-04T00:00:00"/>
    <n v="1"/>
    <x v="1"/>
    <x v="0"/>
  </r>
  <r>
    <n v="218238016"/>
    <x v="303"/>
    <d v="2023-09-03T00:00:00"/>
    <n v="39"/>
    <s v="month"/>
    <s v="Yes"/>
    <d v="2023-09-03T00:00:00"/>
    <n v="2"/>
    <x v="1"/>
    <x v="0"/>
  </r>
  <r>
    <n v="217387951"/>
    <x v="303"/>
    <d v="2023-08-04T00:00:00"/>
    <n v="39"/>
    <s v="month"/>
    <s v="Yes"/>
    <d v="2023-08-04T00:00:00"/>
    <n v="1"/>
    <x v="1"/>
    <x v="0"/>
  </r>
  <r>
    <n v="218236754"/>
    <x v="303"/>
    <d v="2023-07-11T00:00:00"/>
    <n v="39"/>
    <s v="month"/>
    <s v="Yes"/>
    <d v="2023-07-11T00:00:00"/>
    <n v="0"/>
    <x v="1"/>
    <x v="1"/>
  </r>
  <r>
    <n v="218307564"/>
    <x v="304"/>
    <m/>
    <n v="39"/>
    <s v="month"/>
    <s v="Yes"/>
    <d v="2023-09-30T00:00:00"/>
    <n v="2"/>
    <x v="1"/>
    <x v="0"/>
  </r>
  <r>
    <n v="150521180"/>
    <x v="304"/>
    <m/>
    <n v="39"/>
    <s v="month"/>
    <s v="Yes"/>
    <d v="2023-09-30T00:00:00"/>
    <n v="2"/>
    <x v="1"/>
    <x v="0"/>
  </r>
  <r>
    <n v="135240372"/>
    <x v="304"/>
    <m/>
    <n v="39"/>
    <s v="month"/>
    <s v="Yes"/>
    <d v="2023-09-30T00:00:00"/>
    <n v="2"/>
    <x v="1"/>
    <x v="0"/>
  </r>
  <r>
    <n v="218275834"/>
    <x v="304"/>
    <m/>
    <n v="39"/>
    <s v="month"/>
    <s v="Yes"/>
    <d v="2023-09-30T00:00:00"/>
    <n v="2"/>
    <x v="1"/>
    <x v="0"/>
  </r>
  <r>
    <n v="218028076"/>
    <x v="304"/>
    <m/>
    <n v="39"/>
    <s v="month"/>
    <s v="Yes"/>
    <d v="2023-09-30T00:00:00"/>
    <n v="2"/>
    <x v="1"/>
    <x v="0"/>
  </r>
  <r>
    <n v="164254865"/>
    <x v="304"/>
    <m/>
    <n v="39"/>
    <s v="month"/>
    <s v="Yes"/>
    <d v="2023-09-30T00:00:00"/>
    <n v="2"/>
    <x v="1"/>
    <x v="0"/>
  </r>
  <r>
    <n v="218274904"/>
    <x v="304"/>
    <d v="2023-07-06T00:00:00"/>
    <n v="39"/>
    <s v="month"/>
    <s v="No"/>
    <d v="2023-07-06T00:00:00"/>
    <n v="0"/>
    <x v="1"/>
    <x v="1"/>
  </r>
  <r>
    <n v="208473540"/>
    <x v="304"/>
    <d v="2023-09-08T00:00:00"/>
    <n v="39"/>
    <s v="month"/>
    <s v="Yes"/>
    <d v="2023-09-08T00:00:00"/>
    <n v="2"/>
    <x v="1"/>
    <x v="0"/>
  </r>
  <r>
    <n v="218233516"/>
    <x v="304"/>
    <d v="2023-08-08T00:00:00"/>
    <n v="39"/>
    <s v="month"/>
    <s v="Yes"/>
    <d v="2023-08-08T00:00:00"/>
    <n v="1"/>
    <x v="1"/>
    <x v="0"/>
  </r>
  <r>
    <n v="218261606"/>
    <x v="304"/>
    <d v="2023-08-17T00:00:00"/>
    <n v="39"/>
    <s v="month"/>
    <s v="Yes"/>
    <d v="2023-08-17T00:00:00"/>
    <n v="1"/>
    <x v="1"/>
    <x v="0"/>
  </r>
  <r>
    <n v="218289472"/>
    <x v="304"/>
    <d v="2023-07-06T00:00:00"/>
    <n v="39"/>
    <s v="month"/>
    <s v="Yes"/>
    <d v="2023-07-06T00:00:00"/>
    <n v="0"/>
    <x v="1"/>
    <x v="1"/>
  </r>
  <r>
    <n v="215946425"/>
    <x v="304"/>
    <d v="2023-07-29T00:00:00"/>
    <n v="39"/>
    <s v="month"/>
    <s v="Yes"/>
    <d v="2023-07-29T00:00:00"/>
    <n v="0"/>
    <x v="1"/>
    <x v="1"/>
  </r>
  <r>
    <n v="218284850"/>
    <x v="304"/>
    <d v="2023-07-29T00:00:00"/>
    <n v="39"/>
    <s v="month"/>
    <s v="Yes"/>
    <d v="2023-07-29T00:00:00"/>
    <n v="0"/>
    <x v="1"/>
    <x v="1"/>
  </r>
  <r>
    <n v="202151053"/>
    <x v="305"/>
    <m/>
    <n v="39"/>
    <s v="month"/>
    <s v="Yes"/>
    <d v="2023-09-30T00:00:00"/>
    <n v="2"/>
    <x v="1"/>
    <x v="0"/>
  </r>
  <r>
    <n v="112301350"/>
    <x v="305"/>
    <m/>
    <n v="39"/>
    <s v="month"/>
    <s v="Yes"/>
    <d v="2023-09-30T00:00:00"/>
    <n v="2"/>
    <x v="1"/>
    <x v="0"/>
  </r>
  <r>
    <n v="218300918"/>
    <x v="305"/>
    <m/>
    <n v="39"/>
    <s v="month"/>
    <s v="Yes"/>
    <d v="2023-09-30T00:00:00"/>
    <n v="2"/>
    <x v="1"/>
    <x v="0"/>
  </r>
  <r>
    <n v="205452800"/>
    <x v="305"/>
    <m/>
    <n v="39"/>
    <s v="month"/>
    <s v="Yes"/>
    <d v="2023-09-30T00:00:00"/>
    <n v="2"/>
    <x v="1"/>
    <x v="0"/>
  </r>
  <r>
    <n v="218278300"/>
    <x v="305"/>
    <m/>
    <n v="39"/>
    <s v="month"/>
    <s v="Yes"/>
    <d v="2023-09-30T00:00:00"/>
    <n v="2"/>
    <x v="1"/>
    <x v="0"/>
  </r>
  <r>
    <n v="216920844"/>
    <x v="305"/>
    <m/>
    <n v="39"/>
    <s v="month"/>
    <s v="Yes"/>
    <d v="2023-09-30T00:00:00"/>
    <n v="2"/>
    <x v="1"/>
    <x v="0"/>
  </r>
  <r>
    <n v="127100688"/>
    <x v="305"/>
    <d v="2023-08-02T00:00:00"/>
    <n v="39"/>
    <s v="month"/>
    <s v="Yes"/>
    <d v="2023-08-02T00:00:00"/>
    <n v="1"/>
    <x v="1"/>
    <x v="0"/>
  </r>
  <r>
    <n v="218345379"/>
    <x v="305"/>
    <d v="2023-08-13T00:00:00"/>
    <n v="39"/>
    <s v="month"/>
    <s v="Yes"/>
    <d v="2023-08-13T00:00:00"/>
    <n v="1"/>
    <x v="1"/>
    <x v="0"/>
  </r>
  <r>
    <n v="183507186"/>
    <x v="305"/>
    <d v="2023-08-06T00:00:00"/>
    <n v="39"/>
    <s v="month"/>
    <s v="Yes"/>
    <d v="2023-08-06T00:00:00"/>
    <n v="1"/>
    <x v="1"/>
    <x v="0"/>
  </r>
  <r>
    <n v="218133430"/>
    <x v="306"/>
    <m/>
    <n v="39"/>
    <s v="month"/>
    <s v="Yes"/>
    <d v="2023-09-30T00:00:00"/>
    <n v="2"/>
    <x v="1"/>
    <x v="0"/>
  </r>
  <r>
    <n v="147813476"/>
    <x v="306"/>
    <m/>
    <n v="39"/>
    <s v="month"/>
    <s v="Yes"/>
    <d v="2023-09-30T00:00:00"/>
    <n v="2"/>
    <x v="1"/>
    <x v="0"/>
  </r>
  <r>
    <n v="218375754"/>
    <x v="306"/>
    <m/>
    <n v="39"/>
    <s v="month"/>
    <s v="Yes"/>
    <d v="2023-09-30T00:00:00"/>
    <n v="2"/>
    <x v="1"/>
    <x v="0"/>
  </r>
  <r>
    <n v="216000482"/>
    <x v="306"/>
    <m/>
    <n v="39"/>
    <s v="month"/>
    <s v="Yes"/>
    <d v="2023-09-30T00:00:00"/>
    <n v="2"/>
    <x v="1"/>
    <x v="0"/>
  </r>
  <r>
    <n v="161549477"/>
    <x v="306"/>
    <m/>
    <n v="39"/>
    <s v="month"/>
    <s v="Yes"/>
    <d v="2023-09-30T00:00:00"/>
    <n v="2"/>
    <x v="1"/>
    <x v="0"/>
  </r>
  <r>
    <n v="133444654"/>
    <x v="306"/>
    <d v="2023-07-10T00:00:00"/>
    <n v="39"/>
    <s v="month"/>
    <s v="Yes"/>
    <d v="2023-07-10T00:00:00"/>
    <n v="0"/>
    <x v="1"/>
    <x v="1"/>
  </r>
  <r>
    <n v="217883594"/>
    <x v="306"/>
    <d v="2023-07-27T00:00:00"/>
    <n v="39"/>
    <s v="month"/>
    <s v="Yes"/>
    <d v="2023-07-27T00:00:00"/>
    <n v="0"/>
    <x v="1"/>
    <x v="1"/>
  </r>
  <r>
    <n v="197752733"/>
    <x v="307"/>
    <m/>
    <n v="39"/>
    <s v="month"/>
    <s v="Yes"/>
    <d v="2023-09-30T00:00:00"/>
    <n v="2"/>
    <x v="1"/>
    <x v="0"/>
  </r>
  <r>
    <n v="175884318"/>
    <x v="307"/>
    <m/>
    <n v="39"/>
    <s v="month"/>
    <s v="Yes"/>
    <d v="2023-09-30T00:00:00"/>
    <n v="2"/>
    <x v="1"/>
    <x v="0"/>
  </r>
  <r>
    <n v="218413958"/>
    <x v="307"/>
    <m/>
    <n v="39"/>
    <s v="month"/>
    <s v="Yes"/>
    <d v="2023-09-30T00:00:00"/>
    <n v="2"/>
    <x v="1"/>
    <x v="0"/>
  </r>
  <r>
    <n v="218434925"/>
    <x v="307"/>
    <m/>
    <n v="39"/>
    <s v="month"/>
    <s v="Yes"/>
    <d v="2023-09-30T00:00:00"/>
    <n v="2"/>
    <x v="1"/>
    <x v="0"/>
  </r>
  <r>
    <n v="156817946"/>
    <x v="307"/>
    <m/>
    <n v="39"/>
    <s v="month"/>
    <s v="Yes"/>
    <d v="2023-09-30T00:00:00"/>
    <n v="2"/>
    <x v="1"/>
    <x v="0"/>
  </r>
  <r>
    <n v="218427268"/>
    <x v="307"/>
    <m/>
    <n v="39"/>
    <s v="month"/>
    <s v="Yes"/>
    <d v="2023-09-30T00:00:00"/>
    <n v="2"/>
    <x v="1"/>
    <x v="0"/>
  </r>
  <r>
    <n v="208492287"/>
    <x v="307"/>
    <m/>
    <n v="39"/>
    <s v="month"/>
    <s v="Yes"/>
    <d v="2023-09-30T00:00:00"/>
    <n v="2"/>
    <x v="1"/>
    <x v="0"/>
  </r>
  <r>
    <n v="217499098"/>
    <x v="307"/>
    <d v="2023-07-09T00:00:00"/>
    <n v="39"/>
    <s v="month"/>
    <s v="Yes"/>
    <d v="2023-07-09T00:00:00"/>
    <n v="0"/>
    <x v="1"/>
    <x v="1"/>
  </r>
  <r>
    <n v="215723331"/>
    <x v="307"/>
    <d v="2023-08-15T00:00:00"/>
    <n v="39"/>
    <s v="month"/>
    <s v="Yes"/>
    <d v="2023-08-15T00:00:00"/>
    <n v="1"/>
    <x v="1"/>
    <x v="0"/>
  </r>
  <r>
    <n v="122616074"/>
    <x v="308"/>
    <m/>
    <n v="39"/>
    <s v="month"/>
    <s v="Yes"/>
    <d v="2023-09-30T00:00:00"/>
    <n v="2"/>
    <x v="1"/>
    <x v="0"/>
  </r>
  <r>
    <n v="218367490"/>
    <x v="308"/>
    <m/>
    <n v="39"/>
    <s v="month"/>
    <s v="Yes"/>
    <d v="2023-09-30T00:00:00"/>
    <n v="2"/>
    <x v="1"/>
    <x v="0"/>
  </r>
  <r>
    <n v="218415420"/>
    <x v="308"/>
    <m/>
    <n v="39"/>
    <s v="month"/>
    <s v="Yes"/>
    <d v="2023-09-30T00:00:00"/>
    <n v="2"/>
    <x v="1"/>
    <x v="0"/>
  </r>
  <r>
    <n v="135785962"/>
    <x v="308"/>
    <m/>
    <n v="39"/>
    <s v="month"/>
    <s v="Yes"/>
    <d v="2023-09-30T00:00:00"/>
    <n v="2"/>
    <x v="1"/>
    <x v="0"/>
  </r>
  <r>
    <n v="206121650"/>
    <x v="308"/>
    <d v="2023-07-10T00:00:00"/>
    <n v="39"/>
    <s v="month"/>
    <s v="Yes"/>
    <d v="2023-07-10T00:00:00"/>
    <n v="0"/>
    <x v="1"/>
    <x v="1"/>
  </r>
  <r>
    <n v="218129819"/>
    <x v="308"/>
    <d v="2023-08-03T00:00:00"/>
    <n v="39"/>
    <s v="month"/>
    <s v="Yes"/>
    <d v="2023-08-03T00:00:00"/>
    <n v="1"/>
    <x v="1"/>
    <x v="0"/>
  </r>
  <r>
    <n v="217766676"/>
    <x v="308"/>
    <d v="2023-07-27T00:00:00"/>
    <n v="39"/>
    <s v="month"/>
    <s v="Yes"/>
    <d v="2023-07-27T00:00:00"/>
    <n v="0"/>
    <x v="1"/>
    <x v="1"/>
  </r>
  <r>
    <n v="216886336"/>
    <x v="309"/>
    <m/>
    <n v="39"/>
    <s v="month"/>
    <s v="Yes"/>
    <d v="2023-09-30T00:00:00"/>
    <n v="2"/>
    <x v="1"/>
    <x v="0"/>
  </r>
  <r>
    <n v="217991032"/>
    <x v="309"/>
    <m/>
    <n v="39"/>
    <s v="month"/>
    <s v="Yes"/>
    <d v="2023-09-30T00:00:00"/>
    <n v="2"/>
    <x v="1"/>
    <x v="0"/>
  </r>
  <r>
    <n v="145797162"/>
    <x v="309"/>
    <m/>
    <n v="39"/>
    <s v="month"/>
    <s v="Yes"/>
    <d v="2023-09-30T00:00:00"/>
    <n v="2"/>
    <x v="1"/>
    <x v="0"/>
  </r>
  <r>
    <n v="217581606"/>
    <x v="309"/>
    <m/>
    <n v="39"/>
    <s v="month"/>
    <s v="Yes"/>
    <d v="2023-09-30T00:00:00"/>
    <n v="2"/>
    <x v="1"/>
    <x v="0"/>
  </r>
  <r>
    <n v="218459038"/>
    <x v="309"/>
    <d v="2023-07-11T00:00:00"/>
    <n v="39"/>
    <s v="month"/>
    <s v="Yes"/>
    <d v="2023-07-11T00:00:00"/>
    <n v="0"/>
    <x v="1"/>
    <x v="1"/>
  </r>
  <r>
    <n v="218526124"/>
    <x v="309"/>
    <d v="2023-07-11T00:00:00"/>
    <n v="39"/>
    <s v="month"/>
    <s v="No"/>
    <d v="2023-07-11T00:00:00"/>
    <n v="0"/>
    <x v="1"/>
    <x v="1"/>
  </r>
  <r>
    <n v="216335430"/>
    <x v="309"/>
    <d v="2023-07-10T00:00:00"/>
    <n v="39"/>
    <s v="month"/>
    <s v="No"/>
    <d v="2023-07-10T00:00:00"/>
    <n v="0"/>
    <x v="1"/>
    <x v="1"/>
  </r>
  <r>
    <n v="218519862"/>
    <x v="309"/>
    <d v="2023-07-11T00:00:00"/>
    <n v="39"/>
    <s v="month"/>
    <s v="No"/>
    <d v="2023-07-11T00:00:00"/>
    <n v="0"/>
    <x v="1"/>
    <x v="1"/>
  </r>
  <r>
    <n v="218496811"/>
    <x v="309"/>
    <d v="2023-07-10T00:00:00"/>
    <n v="39"/>
    <s v="month"/>
    <s v="No"/>
    <d v="2023-07-10T00:00:00"/>
    <n v="0"/>
    <x v="1"/>
    <x v="1"/>
  </r>
  <r>
    <n v="218490122"/>
    <x v="309"/>
    <d v="2023-07-11T00:00:00"/>
    <n v="39"/>
    <s v="month"/>
    <s v="No"/>
    <d v="2023-07-11T00:00:00"/>
    <n v="0"/>
    <x v="1"/>
    <x v="1"/>
  </r>
  <r>
    <n v="216337502"/>
    <x v="309"/>
    <d v="2023-07-10T00:00:00"/>
    <n v="39"/>
    <s v="month"/>
    <s v="No"/>
    <d v="2023-07-10T00:00:00"/>
    <n v="0"/>
    <x v="1"/>
    <x v="1"/>
  </r>
  <r>
    <n v="143111905"/>
    <x v="309"/>
    <d v="2023-08-17T00:00:00"/>
    <n v="39"/>
    <s v="month"/>
    <s v="Yes"/>
    <d v="2023-08-17T00:00:00"/>
    <n v="1"/>
    <x v="1"/>
    <x v="0"/>
  </r>
  <r>
    <n v="217709772"/>
    <x v="309"/>
    <d v="2023-08-12T00:00:00"/>
    <n v="39"/>
    <s v="month"/>
    <s v="Yes"/>
    <d v="2023-08-12T00:00:00"/>
    <n v="1"/>
    <x v="1"/>
    <x v="0"/>
  </r>
  <r>
    <n v="214924190"/>
    <x v="309"/>
    <d v="2023-08-10T00:00:00"/>
    <n v="39"/>
    <s v="month"/>
    <s v="Yes"/>
    <d v="2023-08-10T00:00:00"/>
    <n v="1"/>
    <x v="1"/>
    <x v="0"/>
  </r>
  <r>
    <n v="217914198"/>
    <x v="309"/>
    <d v="2023-07-30T00:00:00"/>
    <n v="39"/>
    <s v="month"/>
    <s v="Yes"/>
    <d v="2023-07-30T00:00:00"/>
    <n v="0"/>
    <x v="1"/>
    <x v="1"/>
  </r>
  <r>
    <n v="217773501"/>
    <x v="309"/>
    <d v="2023-07-10T00:00:00"/>
    <n v="39"/>
    <s v="month"/>
    <s v="Yes"/>
    <d v="2023-07-10T00:00:00"/>
    <n v="0"/>
    <x v="1"/>
    <x v="1"/>
  </r>
  <r>
    <n v="215311765"/>
    <x v="310"/>
    <m/>
    <n v="39"/>
    <s v="month"/>
    <s v="Yes"/>
    <d v="2023-09-30T00:00:00"/>
    <n v="2"/>
    <x v="1"/>
    <x v="0"/>
  </r>
  <r>
    <n v="218554220"/>
    <x v="310"/>
    <m/>
    <n v="39"/>
    <s v="month"/>
    <s v="Yes"/>
    <d v="2023-09-30T00:00:00"/>
    <n v="2"/>
    <x v="1"/>
    <x v="0"/>
  </r>
  <r>
    <n v="209743418"/>
    <x v="310"/>
    <m/>
    <n v="39"/>
    <s v="month"/>
    <s v="Yes"/>
    <d v="2023-09-30T00:00:00"/>
    <n v="2"/>
    <x v="1"/>
    <x v="0"/>
  </r>
  <r>
    <n v="218553244"/>
    <x v="310"/>
    <m/>
    <n v="39"/>
    <s v="month"/>
    <s v="Yes"/>
    <d v="2023-09-30T00:00:00"/>
    <n v="2"/>
    <x v="1"/>
    <x v="0"/>
  </r>
  <r>
    <n v="218548492"/>
    <x v="310"/>
    <m/>
    <n v="39"/>
    <s v="month"/>
    <s v="Yes"/>
    <d v="2023-09-30T00:00:00"/>
    <n v="2"/>
    <x v="1"/>
    <x v="0"/>
  </r>
  <r>
    <n v="217958138"/>
    <x v="310"/>
    <m/>
    <n v="39"/>
    <s v="month"/>
    <s v="Yes"/>
    <d v="2023-09-30T00:00:00"/>
    <n v="2"/>
    <x v="1"/>
    <x v="0"/>
  </r>
  <r>
    <n v="218365623"/>
    <x v="310"/>
    <m/>
    <n v="39"/>
    <s v="month"/>
    <s v="Yes"/>
    <d v="2023-09-30T00:00:00"/>
    <n v="2"/>
    <x v="1"/>
    <x v="0"/>
  </r>
  <r>
    <n v="218512642"/>
    <x v="310"/>
    <m/>
    <n v="39"/>
    <s v="month"/>
    <s v="Yes"/>
    <d v="2023-09-30T00:00:00"/>
    <n v="2"/>
    <x v="1"/>
    <x v="0"/>
  </r>
  <r>
    <n v="218569099"/>
    <x v="310"/>
    <d v="2023-09-05T00:00:00"/>
    <n v="39"/>
    <s v="month"/>
    <s v="Yes"/>
    <d v="2023-09-05T00:00:00"/>
    <n v="2"/>
    <x v="1"/>
    <x v="0"/>
  </r>
  <r>
    <n v="218304590"/>
    <x v="310"/>
    <d v="2023-08-30T00:00:00"/>
    <n v="39"/>
    <s v="month"/>
    <s v="Yes"/>
    <d v="2023-08-30T00:00:00"/>
    <n v="1"/>
    <x v="1"/>
    <x v="0"/>
  </r>
  <r>
    <n v="215390636"/>
    <x v="310"/>
    <d v="2023-09-07T00:00:00"/>
    <n v="39"/>
    <s v="month"/>
    <s v="Yes"/>
    <d v="2023-09-07T00:00:00"/>
    <n v="2"/>
    <x v="1"/>
    <x v="0"/>
  </r>
  <r>
    <n v="218538760"/>
    <x v="310"/>
    <d v="2023-08-18T00:00:00"/>
    <n v="39"/>
    <s v="month"/>
    <s v="Yes"/>
    <d v="2023-08-18T00:00:00"/>
    <n v="1"/>
    <x v="1"/>
    <x v="0"/>
  </r>
  <r>
    <n v="218544489"/>
    <x v="310"/>
    <d v="2023-08-11T00:00:00"/>
    <n v="39"/>
    <s v="month"/>
    <s v="Yes"/>
    <d v="2023-08-11T00:00:00"/>
    <n v="1"/>
    <x v="1"/>
    <x v="0"/>
  </r>
  <r>
    <n v="180161087"/>
    <x v="310"/>
    <d v="2023-08-10T00:00:00"/>
    <n v="39"/>
    <s v="month"/>
    <s v="Yes"/>
    <d v="2023-08-10T00:00:00"/>
    <n v="1"/>
    <x v="1"/>
    <x v="0"/>
  </r>
  <r>
    <n v="218484551"/>
    <x v="310"/>
    <d v="2023-08-18T00:00:00"/>
    <n v="39"/>
    <s v="month"/>
    <s v="Yes"/>
    <d v="2023-08-18T00:00:00"/>
    <n v="1"/>
    <x v="1"/>
    <x v="0"/>
  </r>
  <r>
    <n v="218570737"/>
    <x v="310"/>
    <d v="2023-07-12T00:00:00"/>
    <n v="39"/>
    <s v="month"/>
    <s v="Yes"/>
    <d v="2023-07-12T00:00:00"/>
    <n v="0"/>
    <x v="1"/>
    <x v="1"/>
  </r>
  <r>
    <n v="218526607"/>
    <x v="311"/>
    <m/>
    <n v="39"/>
    <s v="month"/>
    <s v="Yes"/>
    <d v="2023-09-30T00:00:00"/>
    <n v="2"/>
    <x v="1"/>
    <x v="0"/>
  </r>
  <r>
    <n v="211011508"/>
    <x v="311"/>
    <m/>
    <n v="39"/>
    <s v="month"/>
    <s v="Yes"/>
    <d v="2023-09-30T00:00:00"/>
    <n v="2"/>
    <x v="1"/>
    <x v="0"/>
  </r>
  <r>
    <n v="218610100"/>
    <x v="311"/>
    <m/>
    <n v="39"/>
    <s v="month"/>
    <s v="Yes"/>
    <d v="2023-09-30T00:00:00"/>
    <n v="2"/>
    <x v="1"/>
    <x v="0"/>
  </r>
  <r>
    <n v="206055148"/>
    <x v="311"/>
    <m/>
    <n v="39"/>
    <s v="month"/>
    <s v="Yes"/>
    <d v="2023-09-30T00:00:00"/>
    <n v="2"/>
    <x v="1"/>
    <x v="0"/>
  </r>
  <r>
    <n v="150509877"/>
    <x v="311"/>
    <m/>
    <n v="39"/>
    <s v="month"/>
    <s v="Yes"/>
    <d v="2023-09-30T00:00:00"/>
    <n v="2"/>
    <x v="1"/>
    <x v="0"/>
  </r>
  <r>
    <n v="218498112"/>
    <x v="311"/>
    <m/>
    <n v="39"/>
    <s v="month"/>
    <s v="Yes"/>
    <d v="2023-09-30T00:00:00"/>
    <n v="2"/>
    <x v="1"/>
    <x v="0"/>
  </r>
  <r>
    <n v="218624538"/>
    <x v="311"/>
    <d v="2023-08-22T00:00:00"/>
    <n v="39"/>
    <s v="month"/>
    <s v="Yes"/>
    <d v="2023-08-22T00:00:00"/>
    <n v="1"/>
    <x v="1"/>
    <x v="0"/>
  </r>
  <r>
    <n v="218467300"/>
    <x v="311"/>
    <d v="2023-08-13T00:00:00"/>
    <n v="39"/>
    <s v="month"/>
    <s v="Yes"/>
    <d v="2023-08-13T00:00:00"/>
    <n v="1"/>
    <x v="1"/>
    <x v="0"/>
  </r>
  <r>
    <n v="218509554"/>
    <x v="311"/>
    <d v="2023-07-22T00:00:00"/>
    <n v="39"/>
    <s v="month"/>
    <s v="Yes"/>
    <d v="2023-07-22T00:00:00"/>
    <n v="0"/>
    <x v="1"/>
    <x v="1"/>
  </r>
  <r>
    <n v="218257588"/>
    <x v="312"/>
    <m/>
    <n v="39"/>
    <s v="month"/>
    <s v="Yes"/>
    <d v="2023-09-30T00:00:00"/>
    <n v="2"/>
    <x v="1"/>
    <x v="0"/>
  </r>
  <r>
    <n v="218114325"/>
    <x v="312"/>
    <m/>
    <n v="39"/>
    <s v="month"/>
    <s v="Yes"/>
    <d v="2023-09-30T00:00:00"/>
    <n v="2"/>
    <x v="1"/>
    <x v="0"/>
  </r>
  <r>
    <n v="218325441"/>
    <x v="312"/>
    <m/>
    <n v="39"/>
    <s v="month"/>
    <s v="Yes"/>
    <d v="2023-09-30T00:00:00"/>
    <n v="2"/>
    <x v="1"/>
    <x v="0"/>
  </r>
  <r>
    <n v="218235047"/>
    <x v="312"/>
    <m/>
    <n v="39"/>
    <s v="month"/>
    <s v="Yes"/>
    <d v="2023-09-30T00:00:00"/>
    <n v="2"/>
    <x v="1"/>
    <x v="0"/>
  </r>
  <r>
    <n v="218598866"/>
    <x v="312"/>
    <m/>
    <n v="39"/>
    <s v="month"/>
    <s v="Yes"/>
    <d v="2023-09-30T00:00:00"/>
    <n v="2"/>
    <x v="1"/>
    <x v="0"/>
  </r>
  <r>
    <n v="218644881"/>
    <x v="312"/>
    <d v="2023-08-16T00:00:00"/>
    <n v="39"/>
    <s v="month"/>
    <s v="Yes"/>
    <d v="2023-08-16T00:00:00"/>
    <n v="1"/>
    <x v="1"/>
    <x v="0"/>
  </r>
  <r>
    <n v="218509727"/>
    <x v="312"/>
    <d v="2023-08-09T00:00:00"/>
    <n v="39"/>
    <s v="month"/>
    <s v="Yes"/>
    <d v="2023-08-09T00:00:00"/>
    <n v="1"/>
    <x v="1"/>
    <x v="0"/>
  </r>
  <r>
    <n v="150623785"/>
    <x v="312"/>
    <d v="2023-08-14T00:00:00"/>
    <n v="39"/>
    <s v="month"/>
    <s v="Yes"/>
    <d v="2023-08-14T00:00:00"/>
    <n v="1"/>
    <x v="1"/>
    <x v="0"/>
  </r>
  <r>
    <n v="218586552"/>
    <x v="312"/>
    <d v="2023-08-14T00:00:00"/>
    <n v="39"/>
    <s v="month"/>
    <s v="Yes"/>
    <d v="2023-08-14T00:00:00"/>
    <n v="1"/>
    <x v="1"/>
    <x v="0"/>
  </r>
  <r>
    <n v="218514844"/>
    <x v="312"/>
    <d v="2023-07-17T00:00:00"/>
    <n v="39"/>
    <s v="month"/>
    <s v="Yes"/>
    <d v="2023-07-17T00:00:00"/>
    <n v="0"/>
    <x v="1"/>
    <x v="1"/>
  </r>
  <r>
    <n v="218694806"/>
    <x v="313"/>
    <m/>
    <n v="39"/>
    <s v="month"/>
    <s v="Yes"/>
    <d v="2023-09-30T00:00:00"/>
    <n v="2"/>
    <x v="1"/>
    <x v="0"/>
  </r>
  <r>
    <n v="218678174"/>
    <x v="313"/>
    <m/>
    <n v="39"/>
    <s v="month"/>
    <s v="Yes"/>
    <d v="2023-09-30T00:00:00"/>
    <n v="2"/>
    <x v="1"/>
    <x v="0"/>
  </r>
  <r>
    <n v="218695487"/>
    <x v="313"/>
    <d v="2023-09-08T00:00:00"/>
    <n v="39"/>
    <s v="month"/>
    <s v="Yes"/>
    <d v="2023-09-08T00:00:00"/>
    <n v="2"/>
    <x v="1"/>
    <x v="0"/>
  </r>
  <r>
    <n v="218678790"/>
    <x v="313"/>
    <d v="2023-08-21T00:00:00"/>
    <n v="39"/>
    <s v="month"/>
    <s v="Yes"/>
    <d v="2023-08-21T00:00:00"/>
    <n v="1"/>
    <x v="1"/>
    <x v="0"/>
  </r>
  <r>
    <n v="217499098"/>
    <x v="313"/>
    <d v="2023-08-21T00:00:00"/>
    <n v="39"/>
    <s v="month"/>
    <s v="Yes"/>
    <d v="2023-08-21T00:00:00"/>
    <n v="1"/>
    <x v="1"/>
    <x v="0"/>
  </r>
  <r>
    <n v="217976753"/>
    <x v="313"/>
    <d v="2023-08-21T00:00:00"/>
    <n v="39"/>
    <s v="month"/>
    <s v="Yes"/>
    <d v="2023-08-21T00:00:00"/>
    <n v="1"/>
    <x v="1"/>
    <x v="0"/>
  </r>
  <r>
    <n v="199359226"/>
    <x v="313"/>
    <d v="2023-07-15T00:00:00"/>
    <n v="39"/>
    <s v="month"/>
    <s v="Yes"/>
    <d v="2023-07-15T00:00:00"/>
    <n v="0"/>
    <x v="1"/>
    <x v="1"/>
  </r>
  <r>
    <n v="121814098"/>
    <x v="314"/>
    <m/>
    <n v="39"/>
    <s v="month"/>
    <s v="Yes"/>
    <d v="2023-09-30T00:00:00"/>
    <n v="2"/>
    <x v="1"/>
    <x v="0"/>
  </r>
  <r>
    <n v="215605718"/>
    <x v="314"/>
    <m/>
    <n v="39"/>
    <s v="month"/>
    <s v="Yes"/>
    <d v="2023-09-30T00:00:00"/>
    <n v="2"/>
    <x v="1"/>
    <x v="0"/>
  </r>
  <r>
    <n v="218325705"/>
    <x v="314"/>
    <m/>
    <n v="39"/>
    <s v="month"/>
    <s v="Yes"/>
    <d v="2023-09-30T00:00:00"/>
    <n v="2"/>
    <x v="1"/>
    <x v="0"/>
  </r>
  <r>
    <n v="208598253"/>
    <x v="314"/>
    <m/>
    <n v="39"/>
    <s v="month"/>
    <s v="Yes"/>
    <d v="2023-09-30T00:00:00"/>
    <n v="2"/>
    <x v="1"/>
    <x v="0"/>
  </r>
  <r>
    <n v="218655628"/>
    <x v="314"/>
    <m/>
    <n v="39"/>
    <s v="month"/>
    <s v="Yes"/>
    <d v="2023-09-30T00:00:00"/>
    <n v="2"/>
    <x v="1"/>
    <x v="0"/>
  </r>
  <r>
    <n v="185602413"/>
    <x v="314"/>
    <d v="2023-07-16T00:00:00"/>
    <n v="39"/>
    <s v="month"/>
    <s v="Yes"/>
    <d v="2023-07-16T00:00:00"/>
    <n v="0"/>
    <x v="1"/>
    <x v="1"/>
  </r>
  <r>
    <n v="154082747"/>
    <x v="314"/>
    <d v="2023-07-23T00:00:00"/>
    <n v="39"/>
    <s v="month"/>
    <s v="Yes"/>
    <d v="2023-07-23T00:00:00"/>
    <n v="0"/>
    <x v="1"/>
    <x v="1"/>
  </r>
  <r>
    <n v="218017402"/>
    <x v="314"/>
    <d v="2023-08-22T00:00:00"/>
    <n v="39"/>
    <s v="month"/>
    <s v="Yes"/>
    <d v="2023-08-22T00:00:00"/>
    <n v="1"/>
    <x v="1"/>
    <x v="0"/>
  </r>
  <r>
    <n v="218792880"/>
    <x v="315"/>
    <m/>
    <n v="39"/>
    <s v="month"/>
    <s v="Yes"/>
    <d v="2023-09-30T00:00:00"/>
    <n v="2"/>
    <x v="1"/>
    <x v="0"/>
  </r>
  <r>
    <n v="218761808"/>
    <x v="315"/>
    <m/>
    <n v="39"/>
    <s v="month"/>
    <s v="Yes"/>
    <d v="2023-09-30T00:00:00"/>
    <n v="2"/>
    <x v="1"/>
    <x v="0"/>
  </r>
  <r>
    <n v="149303812"/>
    <x v="315"/>
    <m/>
    <n v="39"/>
    <s v="month"/>
    <s v="Yes"/>
    <d v="2023-09-30T00:00:00"/>
    <n v="2"/>
    <x v="1"/>
    <x v="0"/>
  </r>
  <r>
    <n v="216144261"/>
    <x v="315"/>
    <m/>
    <n v="39"/>
    <s v="month"/>
    <s v="Yes"/>
    <d v="2023-09-30T00:00:00"/>
    <n v="2"/>
    <x v="1"/>
    <x v="0"/>
  </r>
  <r>
    <n v="215976742"/>
    <x v="315"/>
    <m/>
    <n v="39"/>
    <s v="month"/>
    <s v="Yes"/>
    <d v="2023-09-30T00:00:00"/>
    <n v="2"/>
    <x v="1"/>
    <x v="0"/>
  </r>
  <r>
    <n v="218617631"/>
    <x v="315"/>
    <d v="2023-08-23T00:00:00"/>
    <n v="39"/>
    <s v="month"/>
    <s v="Yes"/>
    <d v="2023-08-23T00:00:00"/>
    <n v="1"/>
    <x v="1"/>
    <x v="0"/>
  </r>
  <r>
    <n v="218770458"/>
    <x v="315"/>
    <d v="2023-08-03T00:00:00"/>
    <n v="39"/>
    <s v="month"/>
    <s v="Yes"/>
    <d v="2023-08-03T00:00:00"/>
    <n v="1"/>
    <x v="1"/>
    <x v="0"/>
  </r>
  <r>
    <n v="218720472"/>
    <x v="315"/>
    <d v="2023-08-19T00:00:00"/>
    <n v="39"/>
    <s v="month"/>
    <s v="Yes"/>
    <d v="2023-08-19T00:00:00"/>
    <n v="1"/>
    <x v="1"/>
    <x v="0"/>
  </r>
  <r>
    <n v="218846909"/>
    <x v="316"/>
    <m/>
    <n v="39"/>
    <s v="month"/>
    <s v="Yes"/>
    <d v="2023-09-30T00:00:00"/>
    <n v="2"/>
    <x v="1"/>
    <x v="0"/>
  </r>
  <r>
    <n v="214714278"/>
    <x v="316"/>
    <m/>
    <n v="39"/>
    <s v="month"/>
    <s v="Yes"/>
    <d v="2023-09-30T00:00:00"/>
    <n v="2"/>
    <x v="1"/>
    <x v="0"/>
  </r>
  <r>
    <n v="218529158"/>
    <x v="316"/>
    <m/>
    <n v="39"/>
    <s v="month"/>
    <s v="Yes"/>
    <d v="2023-09-30T00:00:00"/>
    <n v="2"/>
    <x v="1"/>
    <x v="0"/>
  </r>
  <r>
    <n v="218837719"/>
    <x v="316"/>
    <m/>
    <n v="39"/>
    <s v="month"/>
    <s v="Yes"/>
    <d v="2023-09-30T00:00:00"/>
    <n v="2"/>
    <x v="1"/>
    <x v="0"/>
  </r>
  <r>
    <n v="194367477"/>
    <x v="316"/>
    <m/>
    <n v="39"/>
    <s v="month"/>
    <s v="Yes"/>
    <d v="2023-09-30T00:00:00"/>
    <n v="2"/>
    <x v="1"/>
    <x v="0"/>
  </r>
  <r>
    <n v="218300066"/>
    <x v="316"/>
    <m/>
    <n v="39"/>
    <s v="month"/>
    <s v="Yes"/>
    <d v="2023-09-30T00:00:00"/>
    <n v="2"/>
    <x v="1"/>
    <x v="0"/>
  </r>
  <r>
    <n v="218553583"/>
    <x v="316"/>
    <m/>
    <n v="39"/>
    <s v="month"/>
    <s v="Yes"/>
    <d v="2023-09-30T00:00:00"/>
    <n v="2"/>
    <x v="1"/>
    <x v="0"/>
  </r>
  <r>
    <n v="149657162"/>
    <x v="316"/>
    <d v="2023-07-18T00:00:00"/>
    <n v="39"/>
    <s v="month"/>
    <s v="Yes"/>
    <d v="2023-07-18T00:00:00"/>
    <n v="0"/>
    <x v="1"/>
    <x v="1"/>
  </r>
  <r>
    <n v="125920876"/>
    <x v="316"/>
    <d v="2023-08-24T00:00:00"/>
    <n v="39"/>
    <s v="month"/>
    <s v="Yes"/>
    <d v="2023-08-24T00:00:00"/>
    <n v="1"/>
    <x v="1"/>
    <x v="0"/>
  </r>
  <r>
    <n v="217403566"/>
    <x v="316"/>
    <d v="2023-08-14T00:00:00"/>
    <n v="39"/>
    <s v="month"/>
    <s v="Yes"/>
    <d v="2023-08-14T00:00:00"/>
    <n v="1"/>
    <x v="1"/>
    <x v="0"/>
  </r>
  <r>
    <n v="218677370"/>
    <x v="316"/>
    <d v="2023-08-15T00:00:00"/>
    <n v="39"/>
    <s v="month"/>
    <s v="Yes"/>
    <d v="2023-08-15T00:00:00"/>
    <n v="1"/>
    <x v="1"/>
    <x v="0"/>
  </r>
  <r>
    <n v="218598875"/>
    <x v="316"/>
    <d v="2023-08-24T00:00:00"/>
    <n v="39"/>
    <s v="month"/>
    <s v="Yes"/>
    <d v="2023-08-24T00:00:00"/>
    <n v="1"/>
    <x v="1"/>
    <x v="0"/>
  </r>
  <r>
    <n v="203116529"/>
    <x v="316"/>
    <d v="2023-07-17T00:00:00"/>
    <n v="39"/>
    <s v="month"/>
    <s v="Yes"/>
    <d v="2023-07-17T00:00:00"/>
    <n v="0"/>
    <x v="1"/>
    <x v="1"/>
  </r>
  <r>
    <n v="218808831"/>
    <x v="316"/>
    <d v="2023-09-01T00:00:00"/>
    <n v="39"/>
    <s v="month"/>
    <s v="Yes"/>
    <d v="2023-09-01T00:00:00"/>
    <n v="2"/>
    <x v="1"/>
    <x v="0"/>
  </r>
  <r>
    <n v="218844240"/>
    <x v="317"/>
    <m/>
    <n v="39"/>
    <s v="month"/>
    <s v="Yes"/>
    <d v="2023-09-30T00:00:00"/>
    <n v="2"/>
    <x v="1"/>
    <x v="0"/>
  </r>
  <r>
    <n v="218863419"/>
    <x v="317"/>
    <m/>
    <n v="39"/>
    <s v="month"/>
    <s v="Yes"/>
    <d v="2023-09-30T00:00:00"/>
    <n v="2"/>
    <x v="1"/>
    <x v="0"/>
  </r>
  <r>
    <n v="218445704"/>
    <x v="317"/>
    <m/>
    <n v="39"/>
    <s v="month"/>
    <s v="Yes"/>
    <d v="2023-09-30T00:00:00"/>
    <n v="2"/>
    <x v="1"/>
    <x v="0"/>
  </r>
  <r>
    <n v="149411976"/>
    <x v="317"/>
    <m/>
    <n v="39"/>
    <s v="month"/>
    <s v="Yes"/>
    <d v="2023-09-30T00:00:00"/>
    <n v="2"/>
    <x v="1"/>
    <x v="0"/>
  </r>
  <r>
    <n v="218862674"/>
    <x v="317"/>
    <m/>
    <n v="39"/>
    <s v="month"/>
    <s v="Yes"/>
    <d v="2023-09-30T00:00:00"/>
    <n v="2"/>
    <x v="1"/>
    <x v="0"/>
  </r>
  <r>
    <n v="218851122"/>
    <x v="317"/>
    <m/>
    <n v="39"/>
    <s v="month"/>
    <s v="Yes"/>
    <d v="2023-09-30T00:00:00"/>
    <n v="2"/>
    <x v="1"/>
    <x v="0"/>
  </r>
  <r>
    <n v="153402484"/>
    <x v="317"/>
    <d v="2023-09-01T00:00:00"/>
    <n v="39"/>
    <s v="month"/>
    <s v="Yes"/>
    <d v="2023-09-01T00:00:00"/>
    <n v="2"/>
    <x v="1"/>
    <x v="0"/>
  </r>
  <r>
    <n v="218848831"/>
    <x v="317"/>
    <d v="2023-08-26T00:00:00"/>
    <n v="39"/>
    <s v="month"/>
    <s v="Yes"/>
    <d v="2023-08-26T00:00:00"/>
    <n v="1"/>
    <x v="1"/>
    <x v="0"/>
  </r>
  <r>
    <n v="159639128"/>
    <x v="317"/>
    <d v="2023-07-18T00:00:00"/>
    <n v="39"/>
    <s v="month"/>
    <s v="Yes"/>
    <d v="2023-07-18T00:00:00"/>
    <n v="0"/>
    <x v="1"/>
    <x v="1"/>
  </r>
  <r>
    <n v="214638700"/>
    <x v="317"/>
    <d v="2023-07-19T00:00:00"/>
    <n v="39"/>
    <s v="month"/>
    <s v="No"/>
    <d v="2023-07-19T00:00:00"/>
    <n v="0"/>
    <x v="1"/>
    <x v="1"/>
  </r>
  <r>
    <n v="218850789"/>
    <x v="317"/>
    <d v="2023-08-18T00:00:00"/>
    <n v="39"/>
    <s v="month"/>
    <s v="Yes"/>
    <d v="2023-08-18T00:00:00"/>
    <n v="1"/>
    <x v="1"/>
    <x v="0"/>
  </r>
  <r>
    <n v="155510287"/>
    <x v="317"/>
    <d v="2023-08-12T00:00:00"/>
    <n v="39"/>
    <s v="month"/>
    <s v="Yes"/>
    <d v="2023-08-12T00:00:00"/>
    <n v="1"/>
    <x v="1"/>
    <x v="0"/>
  </r>
  <r>
    <n v="218677703"/>
    <x v="317"/>
    <d v="2023-07-24T00:00:00"/>
    <n v="39"/>
    <s v="month"/>
    <s v="Yes"/>
    <d v="2023-07-24T00:00:00"/>
    <n v="0"/>
    <x v="1"/>
    <x v="1"/>
  </r>
  <r>
    <n v="218878930"/>
    <x v="317"/>
    <d v="2023-07-20T00:00:00"/>
    <n v="39"/>
    <s v="month"/>
    <s v="Yes"/>
    <d v="2023-07-20T00:00:00"/>
    <n v="0"/>
    <x v="1"/>
    <x v="1"/>
  </r>
  <r>
    <n v="218935022"/>
    <x v="318"/>
    <m/>
    <n v="39"/>
    <s v="month"/>
    <s v="Yes"/>
    <d v="2023-09-30T00:00:00"/>
    <n v="2"/>
    <x v="1"/>
    <x v="0"/>
  </r>
  <r>
    <n v="218925198"/>
    <x v="318"/>
    <m/>
    <n v="39"/>
    <s v="month"/>
    <s v="Yes"/>
    <d v="2023-09-30T00:00:00"/>
    <n v="2"/>
    <x v="1"/>
    <x v="0"/>
  </r>
  <r>
    <n v="218927120"/>
    <x v="318"/>
    <m/>
    <n v="39"/>
    <s v="month"/>
    <s v="Yes"/>
    <d v="2023-09-30T00:00:00"/>
    <n v="2"/>
    <x v="1"/>
    <x v="0"/>
  </r>
  <r>
    <n v="218930176"/>
    <x v="318"/>
    <m/>
    <n v="39"/>
    <s v="month"/>
    <s v="Yes"/>
    <d v="2023-09-30T00:00:00"/>
    <n v="2"/>
    <x v="1"/>
    <x v="0"/>
  </r>
  <r>
    <n v="216185482"/>
    <x v="318"/>
    <m/>
    <n v="39"/>
    <s v="month"/>
    <s v="Yes"/>
    <d v="2023-09-30T00:00:00"/>
    <n v="2"/>
    <x v="1"/>
    <x v="0"/>
  </r>
  <r>
    <n v="218814342"/>
    <x v="318"/>
    <m/>
    <n v="39"/>
    <s v="month"/>
    <s v="Yes"/>
    <d v="2023-09-30T00:00:00"/>
    <n v="2"/>
    <x v="1"/>
    <x v="0"/>
  </r>
  <r>
    <n v="218764310"/>
    <x v="318"/>
    <m/>
    <n v="39"/>
    <s v="month"/>
    <s v="Yes"/>
    <d v="2023-09-30T00:00:00"/>
    <n v="2"/>
    <x v="1"/>
    <x v="0"/>
  </r>
  <r>
    <n v="218814328"/>
    <x v="318"/>
    <m/>
    <n v="39"/>
    <s v="month"/>
    <s v="Yes"/>
    <d v="2023-09-30T00:00:00"/>
    <n v="2"/>
    <x v="1"/>
    <x v="0"/>
  </r>
  <r>
    <n v="149144586"/>
    <x v="318"/>
    <m/>
    <n v="39"/>
    <s v="month"/>
    <s v="Yes"/>
    <d v="2023-09-30T00:00:00"/>
    <n v="2"/>
    <x v="1"/>
    <x v="0"/>
  </r>
  <r>
    <n v="217635511"/>
    <x v="318"/>
    <m/>
    <n v="39"/>
    <s v="month"/>
    <s v="Yes"/>
    <d v="2023-09-30T00:00:00"/>
    <n v="2"/>
    <x v="1"/>
    <x v="0"/>
  </r>
  <r>
    <n v="218924256"/>
    <x v="318"/>
    <d v="2023-08-14T00:00:00"/>
    <n v="39"/>
    <s v="month"/>
    <s v="Yes"/>
    <d v="2023-08-14T00:00:00"/>
    <n v="1"/>
    <x v="1"/>
    <x v="0"/>
  </r>
  <r>
    <n v="218898552"/>
    <x v="318"/>
    <d v="2023-08-17T00:00:00"/>
    <n v="39"/>
    <s v="month"/>
    <s v="Yes"/>
    <d v="2023-08-17T00:00:00"/>
    <n v="1"/>
    <x v="1"/>
    <x v="0"/>
  </r>
  <r>
    <n v="149657162"/>
    <x v="318"/>
    <d v="2023-09-03T00:00:00"/>
    <n v="39"/>
    <s v="month"/>
    <s v="Yes"/>
    <d v="2023-09-03T00:00:00"/>
    <n v="2"/>
    <x v="1"/>
    <x v="0"/>
  </r>
  <r>
    <n v="218581958"/>
    <x v="318"/>
    <d v="2023-07-26T00:00:00"/>
    <n v="39"/>
    <s v="month"/>
    <s v="Yes"/>
    <d v="2023-07-26T00:00:00"/>
    <n v="0"/>
    <x v="1"/>
    <x v="1"/>
  </r>
  <r>
    <n v="214943384"/>
    <x v="319"/>
    <m/>
    <n v="39"/>
    <s v="month"/>
    <s v="Yes"/>
    <d v="2023-09-30T00:00:00"/>
    <n v="2"/>
    <x v="1"/>
    <x v="0"/>
  </r>
  <r>
    <n v="147832373"/>
    <x v="319"/>
    <m/>
    <n v="39"/>
    <s v="month"/>
    <s v="Yes"/>
    <d v="2023-09-30T00:00:00"/>
    <n v="2"/>
    <x v="1"/>
    <x v="0"/>
  </r>
  <r>
    <n v="204362311"/>
    <x v="319"/>
    <m/>
    <n v="39"/>
    <s v="month"/>
    <s v="Yes"/>
    <d v="2023-09-30T00:00:00"/>
    <n v="2"/>
    <x v="1"/>
    <x v="0"/>
  </r>
  <r>
    <n v="217137211"/>
    <x v="319"/>
    <m/>
    <n v="39"/>
    <s v="month"/>
    <s v="Yes"/>
    <d v="2023-09-30T00:00:00"/>
    <n v="2"/>
    <x v="1"/>
    <x v="0"/>
  </r>
  <r>
    <n v="218942852"/>
    <x v="319"/>
    <m/>
    <n v="39"/>
    <s v="month"/>
    <s v="Yes"/>
    <d v="2023-09-30T00:00:00"/>
    <n v="2"/>
    <x v="1"/>
    <x v="0"/>
  </r>
  <r>
    <n v="218715020"/>
    <x v="319"/>
    <d v="2023-09-05T00:00:00"/>
    <n v="39"/>
    <s v="month"/>
    <s v="Yes"/>
    <d v="2023-09-05T00:00:00"/>
    <n v="2"/>
    <x v="1"/>
    <x v="0"/>
  </r>
  <r>
    <n v="218701308"/>
    <x v="319"/>
    <d v="2023-07-21T00:00:00"/>
    <n v="39"/>
    <s v="month"/>
    <s v="Yes"/>
    <d v="2023-07-21T00:00:00"/>
    <n v="0"/>
    <x v="1"/>
    <x v="1"/>
  </r>
  <r>
    <n v="218979443"/>
    <x v="319"/>
    <d v="2023-08-15T00:00:00"/>
    <n v="39"/>
    <s v="month"/>
    <s v="Yes"/>
    <d v="2023-08-15T00:00:00"/>
    <n v="1"/>
    <x v="1"/>
    <x v="0"/>
  </r>
  <r>
    <n v="218543315"/>
    <x v="319"/>
    <d v="2023-09-04T00:00:00"/>
    <n v="39"/>
    <s v="month"/>
    <s v="Yes"/>
    <d v="2023-09-04T00:00:00"/>
    <n v="2"/>
    <x v="1"/>
    <x v="0"/>
  </r>
  <r>
    <n v="218281726"/>
    <x v="320"/>
    <m/>
    <n v="39"/>
    <s v="month"/>
    <s v="Yes"/>
    <d v="2023-09-30T00:00:00"/>
    <n v="2"/>
    <x v="1"/>
    <x v="0"/>
  </r>
  <r>
    <n v="144972422"/>
    <x v="320"/>
    <m/>
    <n v="39"/>
    <s v="month"/>
    <s v="Yes"/>
    <d v="2023-09-30T00:00:00"/>
    <n v="2"/>
    <x v="1"/>
    <x v="0"/>
  </r>
  <r>
    <n v="219017513"/>
    <x v="320"/>
    <m/>
    <n v="39"/>
    <s v="month"/>
    <s v="Yes"/>
    <d v="2023-09-30T00:00:00"/>
    <n v="2"/>
    <x v="1"/>
    <x v="0"/>
  </r>
  <r>
    <n v="218096762"/>
    <x v="320"/>
    <m/>
    <n v="39"/>
    <s v="month"/>
    <s v="Yes"/>
    <d v="2023-09-30T00:00:00"/>
    <n v="2"/>
    <x v="1"/>
    <x v="0"/>
  </r>
  <r>
    <n v="134289850"/>
    <x v="320"/>
    <m/>
    <n v="39"/>
    <s v="month"/>
    <s v="Yes"/>
    <d v="2023-09-30T00:00:00"/>
    <n v="2"/>
    <x v="1"/>
    <x v="0"/>
  </r>
  <r>
    <n v="205210815"/>
    <x v="320"/>
    <d v="2023-07-22T00:00:00"/>
    <n v="39"/>
    <s v="month"/>
    <s v="Yes"/>
    <d v="2023-07-22T00:00:00"/>
    <n v="0"/>
    <x v="1"/>
    <x v="1"/>
  </r>
  <r>
    <n v="218684970"/>
    <x v="320"/>
    <d v="2023-08-28T00:00:00"/>
    <n v="39"/>
    <s v="month"/>
    <s v="Yes"/>
    <d v="2023-08-28T00:00:00"/>
    <n v="1"/>
    <x v="1"/>
    <x v="0"/>
  </r>
  <r>
    <n v="219045318"/>
    <x v="321"/>
    <m/>
    <n v="39"/>
    <s v="month"/>
    <s v="Yes"/>
    <d v="2023-09-30T00:00:00"/>
    <n v="2"/>
    <x v="1"/>
    <x v="0"/>
  </r>
  <r>
    <n v="218428977"/>
    <x v="321"/>
    <m/>
    <n v="39"/>
    <s v="month"/>
    <s v="Yes"/>
    <d v="2023-09-30T00:00:00"/>
    <n v="2"/>
    <x v="1"/>
    <x v="0"/>
  </r>
  <r>
    <n v="156587706"/>
    <x v="321"/>
    <d v="2023-07-23T00:00:00"/>
    <n v="39"/>
    <s v="month"/>
    <s v="No"/>
    <d v="2023-07-23T00:00:00"/>
    <n v="0"/>
    <x v="1"/>
    <x v="1"/>
  </r>
  <r>
    <n v="219034826"/>
    <x v="321"/>
    <d v="2023-07-23T00:00:00"/>
    <n v="39"/>
    <s v="month"/>
    <s v="No"/>
    <d v="2023-07-23T00:00:00"/>
    <n v="0"/>
    <x v="1"/>
    <x v="1"/>
  </r>
  <r>
    <n v="204380751"/>
    <x v="321"/>
    <d v="2023-08-21T00:00:00"/>
    <n v="39"/>
    <s v="month"/>
    <s v="Yes"/>
    <d v="2023-08-21T00:00:00"/>
    <n v="1"/>
    <x v="1"/>
    <x v="0"/>
  </r>
  <r>
    <n v="215315438"/>
    <x v="321"/>
    <d v="2023-08-22T00:00:00"/>
    <n v="39"/>
    <s v="month"/>
    <s v="Yes"/>
    <d v="2023-08-22T00:00:00"/>
    <n v="1"/>
    <x v="1"/>
    <x v="0"/>
  </r>
  <r>
    <n v="213774184"/>
    <x v="321"/>
    <d v="2023-08-29T00:00:00"/>
    <n v="39"/>
    <s v="month"/>
    <s v="Yes"/>
    <d v="2023-08-29T00:00:00"/>
    <n v="1"/>
    <x v="1"/>
    <x v="0"/>
  </r>
  <r>
    <n v="206121650"/>
    <x v="322"/>
    <m/>
    <n v="39"/>
    <s v="month"/>
    <s v="Yes"/>
    <d v="2023-09-30T00:00:00"/>
    <n v="2"/>
    <x v="1"/>
    <x v="0"/>
  </r>
  <r>
    <n v="219059958"/>
    <x v="322"/>
    <m/>
    <n v="39"/>
    <s v="month"/>
    <s v="Yes"/>
    <d v="2023-09-30T00:00:00"/>
    <n v="2"/>
    <x v="1"/>
    <x v="0"/>
  </r>
  <r>
    <n v="204639997"/>
    <x v="322"/>
    <d v="2023-07-23T00:00:00"/>
    <n v="39"/>
    <s v="month"/>
    <s v="Yes"/>
    <d v="2023-07-23T00:00:00"/>
    <n v="0"/>
    <x v="1"/>
    <x v="1"/>
  </r>
  <r>
    <n v="201817514"/>
    <x v="322"/>
    <d v="2023-08-22T00:00:00"/>
    <n v="39"/>
    <s v="month"/>
    <s v="Yes"/>
    <d v="2023-08-22T00:00:00"/>
    <n v="1"/>
    <x v="1"/>
    <x v="0"/>
  </r>
  <r>
    <n v="219065931"/>
    <x v="322"/>
    <d v="2023-08-30T00:00:00"/>
    <n v="39"/>
    <s v="month"/>
    <s v="Yes"/>
    <d v="2023-08-30T00:00:00"/>
    <n v="1"/>
    <x v="1"/>
    <x v="0"/>
  </r>
  <r>
    <n v="143627373"/>
    <x v="323"/>
    <m/>
    <n v="39"/>
    <s v="month"/>
    <s v="Yes"/>
    <d v="2023-09-30T00:00:00"/>
    <n v="2"/>
    <x v="1"/>
    <x v="0"/>
  </r>
  <r>
    <n v="218675428"/>
    <x v="323"/>
    <m/>
    <n v="39"/>
    <s v="month"/>
    <s v="Yes"/>
    <d v="2023-09-30T00:00:00"/>
    <n v="2"/>
    <x v="1"/>
    <x v="0"/>
  </r>
  <r>
    <n v="219057820"/>
    <x v="323"/>
    <m/>
    <n v="39"/>
    <s v="month"/>
    <s v="Yes"/>
    <d v="2023-09-30T00:00:00"/>
    <n v="2"/>
    <x v="1"/>
    <x v="0"/>
  </r>
  <r>
    <n v="219115854"/>
    <x v="323"/>
    <m/>
    <n v="39"/>
    <s v="month"/>
    <s v="Yes"/>
    <d v="2023-09-30T00:00:00"/>
    <n v="2"/>
    <x v="1"/>
    <x v="0"/>
  </r>
  <r>
    <n v="204826054"/>
    <x v="323"/>
    <m/>
    <n v="39"/>
    <s v="month"/>
    <s v="Yes"/>
    <d v="2023-09-30T00:00:00"/>
    <n v="2"/>
    <x v="1"/>
    <x v="0"/>
  </r>
  <r>
    <n v="219072554"/>
    <x v="323"/>
    <m/>
    <n v="39"/>
    <s v="month"/>
    <s v="Yes"/>
    <d v="2023-09-30T00:00:00"/>
    <n v="2"/>
    <x v="1"/>
    <x v="0"/>
  </r>
  <r>
    <n v="219088631"/>
    <x v="323"/>
    <m/>
    <n v="39"/>
    <s v="month"/>
    <s v="Yes"/>
    <d v="2023-09-30T00:00:00"/>
    <n v="2"/>
    <x v="1"/>
    <x v="0"/>
  </r>
  <r>
    <n v="218861750"/>
    <x v="323"/>
    <d v="2023-08-31T00:00:00"/>
    <n v="39"/>
    <s v="month"/>
    <s v="Yes"/>
    <d v="2023-08-31T00:00:00"/>
    <n v="1"/>
    <x v="1"/>
    <x v="0"/>
  </r>
  <r>
    <n v="217513777"/>
    <x v="323"/>
    <d v="2023-08-02T00:00:00"/>
    <n v="39"/>
    <s v="month"/>
    <s v="Yes"/>
    <d v="2023-08-02T00:00:00"/>
    <n v="1"/>
    <x v="1"/>
    <x v="0"/>
  </r>
  <r>
    <n v="218805370"/>
    <x v="323"/>
    <d v="2023-08-08T00:00:00"/>
    <n v="39"/>
    <s v="month"/>
    <s v="Yes"/>
    <d v="2023-08-08T00:00:00"/>
    <n v="1"/>
    <x v="1"/>
    <x v="0"/>
  </r>
  <r>
    <n v="219128709"/>
    <x v="324"/>
    <m/>
    <n v="39"/>
    <s v="month"/>
    <s v="Yes"/>
    <d v="2023-09-30T00:00:00"/>
    <n v="2"/>
    <x v="1"/>
    <x v="0"/>
  </r>
  <r>
    <n v="217998036"/>
    <x v="324"/>
    <m/>
    <n v="39"/>
    <s v="month"/>
    <s v="Yes"/>
    <d v="2023-09-30T00:00:00"/>
    <n v="2"/>
    <x v="1"/>
    <x v="0"/>
  </r>
  <r>
    <n v="219100886"/>
    <x v="324"/>
    <m/>
    <n v="39"/>
    <s v="month"/>
    <s v="Yes"/>
    <d v="2023-09-30T00:00:00"/>
    <n v="2"/>
    <x v="1"/>
    <x v="0"/>
  </r>
  <r>
    <n v="214586480"/>
    <x v="324"/>
    <m/>
    <n v="39"/>
    <s v="month"/>
    <s v="Yes"/>
    <d v="2023-09-30T00:00:00"/>
    <n v="2"/>
    <x v="1"/>
    <x v="0"/>
  </r>
  <r>
    <n v="219110064"/>
    <x v="324"/>
    <m/>
    <n v="39"/>
    <s v="month"/>
    <s v="Yes"/>
    <d v="2023-09-30T00:00:00"/>
    <n v="2"/>
    <x v="1"/>
    <x v="0"/>
  </r>
  <r>
    <n v="157374056"/>
    <x v="324"/>
    <m/>
    <n v="39"/>
    <s v="month"/>
    <s v="Yes"/>
    <d v="2023-09-30T00:00:00"/>
    <n v="2"/>
    <x v="1"/>
    <x v="0"/>
  </r>
  <r>
    <n v="219058076"/>
    <x v="324"/>
    <m/>
    <n v="39"/>
    <s v="month"/>
    <s v="Yes"/>
    <d v="2023-09-30T00:00:00"/>
    <n v="2"/>
    <x v="1"/>
    <x v="0"/>
  </r>
  <r>
    <n v="218011483"/>
    <x v="324"/>
    <m/>
    <n v="39"/>
    <s v="month"/>
    <s v="Yes"/>
    <d v="2023-09-30T00:00:00"/>
    <n v="2"/>
    <x v="1"/>
    <x v="0"/>
  </r>
  <r>
    <n v="216543186"/>
    <x v="324"/>
    <m/>
    <n v="39"/>
    <s v="month"/>
    <s v="Yes"/>
    <d v="2023-09-30T00:00:00"/>
    <n v="2"/>
    <x v="1"/>
    <x v="0"/>
  </r>
  <r>
    <n v="151239214"/>
    <x v="324"/>
    <m/>
    <n v="39"/>
    <s v="month"/>
    <s v="Yes"/>
    <d v="2023-09-30T00:00:00"/>
    <n v="2"/>
    <x v="1"/>
    <x v="0"/>
  </r>
  <r>
    <n v="152760748"/>
    <x v="324"/>
    <d v="2023-08-20T00:00:00"/>
    <n v="39"/>
    <s v="month"/>
    <s v="Yes"/>
    <d v="2023-08-20T00:00:00"/>
    <n v="1"/>
    <x v="1"/>
    <x v="0"/>
  </r>
  <r>
    <n v="182102820"/>
    <x v="324"/>
    <d v="2023-09-01T00:00:00"/>
    <n v="39"/>
    <s v="month"/>
    <s v="Yes"/>
    <d v="2023-09-01T00:00:00"/>
    <n v="2"/>
    <x v="1"/>
    <x v="0"/>
  </r>
  <r>
    <n v="215005163"/>
    <x v="324"/>
    <d v="2023-08-17T00:00:00"/>
    <n v="39"/>
    <s v="month"/>
    <s v="Yes"/>
    <d v="2023-08-17T00:00:00"/>
    <n v="1"/>
    <x v="1"/>
    <x v="0"/>
  </r>
  <r>
    <n v="219136846"/>
    <x v="324"/>
    <d v="2023-08-02T00:00:00"/>
    <n v="39"/>
    <s v="month"/>
    <s v="Yes"/>
    <d v="2023-08-02T00:00:00"/>
    <n v="1"/>
    <x v="1"/>
    <x v="0"/>
  </r>
  <r>
    <n v="218795222"/>
    <x v="324"/>
    <d v="2023-08-23T00:00:00"/>
    <n v="39"/>
    <s v="month"/>
    <s v="Yes"/>
    <d v="2023-08-23T00:00:00"/>
    <n v="1"/>
    <x v="1"/>
    <x v="0"/>
  </r>
  <r>
    <n v="208706876"/>
    <x v="324"/>
    <d v="2023-08-21T00:00:00"/>
    <n v="39"/>
    <s v="month"/>
    <s v="Yes"/>
    <d v="2023-08-21T00:00:00"/>
    <n v="1"/>
    <x v="1"/>
    <x v="0"/>
  </r>
  <r>
    <n v="218701308"/>
    <x v="324"/>
    <d v="2023-09-01T00:00:00"/>
    <n v="39"/>
    <s v="month"/>
    <s v="Yes"/>
    <d v="2023-09-01T00:00:00"/>
    <n v="2"/>
    <x v="1"/>
    <x v="0"/>
  </r>
  <r>
    <n v="219136623"/>
    <x v="324"/>
    <d v="2023-09-01T00:00:00"/>
    <n v="39"/>
    <s v="month"/>
    <s v="Yes"/>
    <d v="2023-09-01T00:00:00"/>
    <n v="2"/>
    <x v="1"/>
    <x v="0"/>
  </r>
  <r>
    <n v="219153922"/>
    <x v="325"/>
    <m/>
    <n v="39"/>
    <s v="month"/>
    <s v="Yes"/>
    <d v="2023-09-30T00:00:00"/>
    <n v="2"/>
    <x v="1"/>
    <x v="0"/>
  </r>
  <r>
    <n v="165529460"/>
    <x v="325"/>
    <m/>
    <n v="39"/>
    <s v="month"/>
    <s v="Yes"/>
    <d v="2023-09-30T00:00:00"/>
    <n v="2"/>
    <x v="1"/>
    <x v="0"/>
  </r>
  <r>
    <n v="218715792"/>
    <x v="325"/>
    <m/>
    <n v="39"/>
    <s v="month"/>
    <s v="Yes"/>
    <d v="2023-09-30T00:00:00"/>
    <n v="2"/>
    <x v="1"/>
    <x v="0"/>
  </r>
  <r>
    <n v="218985028"/>
    <x v="325"/>
    <m/>
    <n v="39"/>
    <s v="month"/>
    <s v="Yes"/>
    <d v="2023-09-30T00:00:00"/>
    <n v="2"/>
    <x v="1"/>
    <x v="0"/>
  </r>
  <r>
    <n v="218986352"/>
    <x v="325"/>
    <m/>
    <n v="39"/>
    <s v="month"/>
    <s v="Yes"/>
    <d v="2023-09-30T00:00:00"/>
    <n v="2"/>
    <x v="1"/>
    <x v="0"/>
  </r>
  <r>
    <n v="219152822"/>
    <x v="325"/>
    <d v="2023-09-05T00:00:00"/>
    <n v="39"/>
    <s v="month"/>
    <s v="Yes"/>
    <d v="2023-09-05T00:00:00"/>
    <n v="2"/>
    <x v="1"/>
    <x v="0"/>
  </r>
  <r>
    <n v="219084587"/>
    <x v="325"/>
    <d v="2023-07-27T00:00:00"/>
    <n v="39"/>
    <s v="month"/>
    <s v="No"/>
    <d v="2023-07-27T00:00:00"/>
    <n v="0"/>
    <x v="1"/>
    <x v="1"/>
  </r>
  <r>
    <n v="219200064"/>
    <x v="325"/>
    <d v="2023-09-02T00:00:00"/>
    <n v="39"/>
    <s v="month"/>
    <s v="Yes"/>
    <d v="2023-09-02T00:00:00"/>
    <n v="2"/>
    <x v="1"/>
    <x v="0"/>
  </r>
  <r>
    <n v="219224963"/>
    <x v="326"/>
    <m/>
    <n v="39"/>
    <s v="month"/>
    <s v="Yes"/>
    <d v="2023-09-30T00:00:00"/>
    <n v="2"/>
    <x v="1"/>
    <x v="0"/>
  </r>
  <r>
    <n v="219172302"/>
    <x v="326"/>
    <m/>
    <n v="39"/>
    <s v="month"/>
    <s v="Yes"/>
    <d v="2023-09-30T00:00:00"/>
    <n v="2"/>
    <x v="1"/>
    <x v="0"/>
  </r>
  <r>
    <n v="219244336"/>
    <x v="326"/>
    <m/>
    <n v="39"/>
    <s v="month"/>
    <s v="Yes"/>
    <d v="2023-09-30T00:00:00"/>
    <n v="2"/>
    <x v="1"/>
    <x v="0"/>
  </r>
  <r>
    <n v="150342446"/>
    <x v="326"/>
    <m/>
    <n v="39"/>
    <s v="month"/>
    <s v="Yes"/>
    <d v="2023-09-30T00:00:00"/>
    <n v="2"/>
    <x v="1"/>
    <x v="0"/>
  </r>
  <r>
    <n v="210432172"/>
    <x v="326"/>
    <m/>
    <n v="39"/>
    <s v="month"/>
    <s v="Yes"/>
    <d v="2023-09-30T00:00:00"/>
    <n v="2"/>
    <x v="1"/>
    <x v="0"/>
  </r>
  <r>
    <n v="145614180"/>
    <x v="326"/>
    <m/>
    <n v="39"/>
    <s v="month"/>
    <s v="Yes"/>
    <d v="2023-09-30T00:00:00"/>
    <n v="2"/>
    <x v="1"/>
    <x v="0"/>
  </r>
  <r>
    <n v="218318466"/>
    <x v="326"/>
    <m/>
    <n v="39"/>
    <s v="month"/>
    <s v="Yes"/>
    <d v="2023-09-30T00:00:00"/>
    <n v="2"/>
    <x v="1"/>
    <x v="0"/>
  </r>
  <r>
    <n v="131984682"/>
    <x v="326"/>
    <m/>
    <n v="39"/>
    <s v="month"/>
    <s v="Yes"/>
    <d v="2023-09-30T00:00:00"/>
    <n v="2"/>
    <x v="1"/>
    <x v="0"/>
  </r>
  <r>
    <n v="219243156"/>
    <x v="326"/>
    <d v="2023-07-27T00:00:00"/>
    <n v="39"/>
    <s v="month"/>
    <s v="Yes"/>
    <d v="2023-07-27T00:00:00"/>
    <n v="0"/>
    <x v="1"/>
    <x v="1"/>
  </r>
  <r>
    <n v="219301778"/>
    <x v="327"/>
    <m/>
    <n v="39"/>
    <s v="month"/>
    <s v="Yes"/>
    <d v="2023-09-30T00:00:00"/>
    <n v="2"/>
    <x v="1"/>
    <x v="0"/>
  </r>
  <r>
    <n v="153004062"/>
    <x v="327"/>
    <m/>
    <n v="39"/>
    <s v="month"/>
    <s v="Yes"/>
    <d v="2023-09-30T00:00:00"/>
    <n v="2"/>
    <x v="1"/>
    <x v="0"/>
  </r>
  <r>
    <n v="151015350"/>
    <x v="327"/>
    <m/>
    <n v="39"/>
    <s v="month"/>
    <s v="Yes"/>
    <d v="2023-09-30T00:00:00"/>
    <n v="2"/>
    <x v="1"/>
    <x v="0"/>
  </r>
  <r>
    <n v="147696294"/>
    <x v="327"/>
    <m/>
    <n v="39"/>
    <s v="month"/>
    <s v="Yes"/>
    <d v="2023-09-30T00:00:00"/>
    <n v="2"/>
    <x v="1"/>
    <x v="0"/>
  </r>
  <r>
    <n v="218255956"/>
    <x v="327"/>
    <m/>
    <n v="39"/>
    <s v="month"/>
    <s v="Yes"/>
    <d v="2023-09-30T00:00:00"/>
    <n v="2"/>
    <x v="1"/>
    <x v="0"/>
  </r>
  <r>
    <n v="218510841"/>
    <x v="327"/>
    <m/>
    <n v="39"/>
    <s v="month"/>
    <s v="Yes"/>
    <d v="2023-09-30T00:00:00"/>
    <n v="2"/>
    <x v="1"/>
    <x v="0"/>
  </r>
  <r>
    <n v="130864124"/>
    <x v="327"/>
    <m/>
    <n v="39"/>
    <s v="month"/>
    <s v="Yes"/>
    <d v="2023-09-30T00:00:00"/>
    <n v="2"/>
    <x v="1"/>
    <x v="0"/>
  </r>
  <r>
    <n v="219194059"/>
    <x v="327"/>
    <m/>
    <n v="39"/>
    <s v="month"/>
    <s v="Yes"/>
    <d v="2023-09-30T00:00:00"/>
    <n v="2"/>
    <x v="1"/>
    <x v="0"/>
  </r>
  <r>
    <n v="219254134"/>
    <x v="327"/>
    <m/>
    <n v="39"/>
    <s v="month"/>
    <s v="Yes"/>
    <d v="2023-09-30T00:00:00"/>
    <n v="2"/>
    <x v="1"/>
    <x v="0"/>
  </r>
  <r>
    <n v="215881016"/>
    <x v="327"/>
    <m/>
    <n v="39"/>
    <s v="month"/>
    <s v="Yes"/>
    <d v="2023-09-30T00:00:00"/>
    <n v="2"/>
    <x v="1"/>
    <x v="0"/>
  </r>
  <r>
    <n v="217361520"/>
    <x v="327"/>
    <m/>
    <n v="39"/>
    <s v="month"/>
    <s v="Yes"/>
    <d v="2023-09-30T00:00:00"/>
    <n v="2"/>
    <x v="1"/>
    <x v="0"/>
  </r>
  <r>
    <n v="219265654"/>
    <x v="327"/>
    <m/>
    <n v="39"/>
    <s v="month"/>
    <s v="Yes"/>
    <d v="2023-09-30T00:00:00"/>
    <n v="2"/>
    <x v="1"/>
    <x v="0"/>
  </r>
  <r>
    <n v="175491846"/>
    <x v="327"/>
    <d v="2023-07-29T00:00:00"/>
    <n v="39"/>
    <s v="month"/>
    <s v="Yes"/>
    <d v="2023-07-29T00:00:00"/>
    <n v="0"/>
    <x v="1"/>
    <x v="1"/>
  </r>
  <r>
    <n v="212603850"/>
    <x v="327"/>
    <d v="2023-08-26T00:00:00"/>
    <n v="39"/>
    <s v="month"/>
    <s v="Yes"/>
    <d v="2023-08-26T00:00:00"/>
    <n v="1"/>
    <x v="1"/>
    <x v="0"/>
  </r>
  <r>
    <n v="219307145"/>
    <x v="328"/>
    <m/>
    <n v="39"/>
    <s v="month"/>
    <s v="Yes"/>
    <d v="2023-09-30T00:00:00"/>
    <n v="2"/>
    <x v="1"/>
    <x v="0"/>
  </r>
  <r>
    <n v="212937420"/>
    <x v="328"/>
    <d v="2023-09-05T00:00:00"/>
    <n v="39"/>
    <s v="month"/>
    <s v="Yes"/>
    <d v="2023-09-05T00:00:00"/>
    <n v="2"/>
    <x v="1"/>
    <x v="0"/>
  </r>
  <r>
    <n v="219318511"/>
    <x v="328"/>
    <d v="2023-08-18T00:00:00"/>
    <n v="39"/>
    <s v="month"/>
    <s v="Yes"/>
    <d v="2023-08-18T00:00:00"/>
    <n v="1"/>
    <x v="1"/>
    <x v="0"/>
  </r>
  <r>
    <n v="218513479"/>
    <x v="328"/>
    <d v="2023-08-25T00:00:00"/>
    <n v="39"/>
    <s v="month"/>
    <s v="Yes"/>
    <d v="2023-08-25T00:00:00"/>
    <n v="1"/>
    <x v="1"/>
    <x v="0"/>
  </r>
  <r>
    <n v="219301764"/>
    <x v="328"/>
    <d v="2023-08-27T00:00:00"/>
    <n v="39"/>
    <s v="month"/>
    <s v="Yes"/>
    <d v="2023-08-27T00:00:00"/>
    <n v="1"/>
    <x v="1"/>
    <x v="0"/>
  </r>
  <r>
    <n v="125038257"/>
    <x v="329"/>
    <m/>
    <n v="39"/>
    <s v="month"/>
    <s v="Yes"/>
    <d v="2023-09-30T00:00:00"/>
    <n v="2"/>
    <x v="1"/>
    <x v="0"/>
  </r>
  <r>
    <n v="217813451"/>
    <x v="329"/>
    <m/>
    <n v="39"/>
    <s v="month"/>
    <s v="Yes"/>
    <d v="2023-09-30T00:00:00"/>
    <n v="2"/>
    <x v="1"/>
    <x v="0"/>
  </r>
  <r>
    <n v="162859352"/>
    <x v="329"/>
    <d v="2023-07-31T00:00:00"/>
    <n v="39"/>
    <s v="month"/>
    <s v="No"/>
    <d v="2023-07-31T00:00:00"/>
    <n v="0"/>
    <x v="1"/>
    <x v="1"/>
  </r>
  <r>
    <n v="146923161"/>
    <x v="329"/>
    <d v="2023-09-06T00:00:00"/>
    <n v="39"/>
    <s v="month"/>
    <s v="Yes"/>
    <d v="2023-09-06T00:00:00"/>
    <n v="2"/>
    <x v="1"/>
    <x v="0"/>
  </r>
  <r>
    <n v="206699284"/>
    <x v="329"/>
    <d v="2023-08-28T00:00:00"/>
    <n v="39"/>
    <s v="month"/>
    <s v="Yes"/>
    <d v="2023-08-28T00:00:00"/>
    <n v="1"/>
    <x v="1"/>
    <x v="0"/>
  </r>
  <r>
    <n v="219330169"/>
    <x v="329"/>
    <d v="2023-08-28T00:00:00"/>
    <n v="39"/>
    <s v="month"/>
    <s v="Yes"/>
    <d v="2023-08-28T00:00:00"/>
    <n v="1"/>
    <x v="1"/>
    <x v="0"/>
  </r>
  <r>
    <n v="219404710"/>
    <x v="330"/>
    <m/>
    <n v="39"/>
    <s v="month"/>
    <s v="Yes"/>
    <d v="2023-09-30T00:00:00"/>
    <n v="2"/>
    <x v="1"/>
    <x v="0"/>
  </r>
  <r>
    <n v="219402896"/>
    <x v="330"/>
    <m/>
    <n v="39"/>
    <s v="month"/>
    <s v="Yes"/>
    <d v="2023-09-30T00:00:00"/>
    <n v="2"/>
    <x v="1"/>
    <x v="0"/>
  </r>
  <r>
    <n v="214129448"/>
    <x v="330"/>
    <m/>
    <n v="39"/>
    <s v="month"/>
    <s v="Yes"/>
    <d v="2023-09-30T00:00:00"/>
    <n v="2"/>
    <x v="1"/>
    <x v="0"/>
  </r>
  <r>
    <n v="219218929"/>
    <x v="330"/>
    <m/>
    <n v="39"/>
    <s v="month"/>
    <s v="Yes"/>
    <d v="2023-09-30T00:00:00"/>
    <n v="2"/>
    <x v="1"/>
    <x v="0"/>
  </r>
  <r>
    <n v="219385880"/>
    <x v="330"/>
    <m/>
    <n v="39"/>
    <s v="month"/>
    <s v="Yes"/>
    <d v="2023-09-30T00:00:00"/>
    <n v="2"/>
    <x v="1"/>
    <x v="0"/>
  </r>
  <r>
    <n v="219368039"/>
    <x v="330"/>
    <m/>
    <n v="39"/>
    <s v="month"/>
    <s v="Yes"/>
    <d v="2023-09-30T00:00:00"/>
    <n v="2"/>
    <x v="1"/>
    <x v="0"/>
  </r>
  <r>
    <n v="219328313"/>
    <x v="330"/>
    <m/>
    <n v="39"/>
    <s v="month"/>
    <s v="Yes"/>
    <d v="2023-09-30T00:00:00"/>
    <n v="2"/>
    <x v="1"/>
    <x v="0"/>
  </r>
  <r>
    <n v="219185386"/>
    <x v="330"/>
    <d v="2023-08-01T00:00:00"/>
    <n v="39"/>
    <s v="month"/>
    <s v="No"/>
    <d v="2023-08-01T00:00:00"/>
    <n v="1"/>
    <x v="1"/>
    <x v="0"/>
  </r>
  <r>
    <n v="183712256"/>
    <x v="330"/>
    <d v="2023-08-08T00:00:00"/>
    <n v="39"/>
    <s v="month"/>
    <s v="Yes"/>
    <d v="2023-08-08T00:00:00"/>
    <n v="1"/>
    <x v="1"/>
    <x v="0"/>
  </r>
  <r>
    <n v="217624207"/>
    <x v="331"/>
    <m/>
    <n v="39"/>
    <s v="month"/>
    <s v="Yes"/>
    <d v="2023-09-30T00:00:00"/>
    <n v="1"/>
    <x v="1"/>
    <x v="0"/>
  </r>
  <r>
    <n v="218938921"/>
    <x v="331"/>
    <m/>
    <n v="39"/>
    <s v="month"/>
    <s v="Yes"/>
    <d v="2023-09-30T00:00:00"/>
    <n v="1"/>
    <x v="1"/>
    <x v="0"/>
  </r>
  <r>
    <n v="147145693"/>
    <x v="331"/>
    <m/>
    <n v="39"/>
    <s v="month"/>
    <s v="Yes"/>
    <d v="2023-09-30T00:00:00"/>
    <n v="1"/>
    <x v="1"/>
    <x v="0"/>
  </r>
  <r>
    <n v="218459038"/>
    <x v="331"/>
    <m/>
    <n v="39"/>
    <s v="month"/>
    <s v="Yes"/>
    <d v="2023-09-30T00:00:00"/>
    <n v="1"/>
    <x v="1"/>
    <x v="0"/>
  </r>
  <r>
    <n v="219395734"/>
    <x v="331"/>
    <m/>
    <n v="39"/>
    <s v="month"/>
    <s v="Yes"/>
    <d v="2023-09-30T00:00:00"/>
    <n v="1"/>
    <x v="1"/>
    <x v="0"/>
  </r>
  <r>
    <n v="219413956"/>
    <x v="331"/>
    <m/>
    <n v="39"/>
    <s v="month"/>
    <s v="Yes"/>
    <d v="2023-09-30T00:00:00"/>
    <n v="1"/>
    <x v="1"/>
    <x v="0"/>
  </r>
  <r>
    <n v="218562434"/>
    <x v="331"/>
    <d v="2023-09-01T00:00:00"/>
    <n v="39"/>
    <s v="month"/>
    <s v="Yes"/>
    <d v="2023-09-01T00:00:00"/>
    <n v="1"/>
    <x v="1"/>
    <x v="0"/>
  </r>
  <r>
    <n v="135521927"/>
    <x v="331"/>
    <d v="2023-09-02T00:00:00"/>
    <n v="39"/>
    <s v="month"/>
    <s v="Yes"/>
    <d v="2023-09-02T00:00:00"/>
    <n v="1"/>
    <x v="1"/>
    <x v="0"/>
  </r>
  <r>
    <n v="157035378"/>
    <x v="331"/>
    <d v="2023-08-31T00:00:00"/>
    <n v="39"/>
    <s v="month"/>
    <s v="Yes"/>
    <d v="2023-08-31T00:00:00"/>
    <n v="0"/>
    <x v="1"/>
    <x v="1"/>
  </r>
  <r>
    <n v="219382434"/>
    <x v="331"/>
    <d v="2023-08-31T00:00:00"/>
    <n v="39"/>
    <s v="month"/>
    <s v="Yes"/>
    <d v="2023-08-31T00:00:00"/>
    <n v="0"/>
    <x v="1"/>
    <x v="1"/>
  </r>
  <r>
    <n v="208762353"/>
    <x v="332"/>
    <m/>
    <n v="39"/>
    <s v="month"/>
    <s v="Yes"/>
    <d v="2023-09-30T00:00:00"/>
    <n v="1"/>
    <x v="1"/>
    <x v="0"/>
  </r>
  <r>
    <n v="218346336"/>
    <x v="332"/>
    <m/>
    <n v="39"/>
    <s v="month"/>
    <s v="Yes"/>
    <d v="2023-09-30T00:00:00"/>
    <n v="1"/>
    <x v="1"/>
    <x v="0"/>
  </r>
  <r>
    <n v="219226230"/>
    <x v="332"/>
    <m/>
    <n v="39"/>
    <s v="month"/>
    <s v="Yes"/>
    <d v="2023-09-30T00:00:00"/>
    <n v="1"/>
    <x v="1"/>
    <x v="0"/>
  </r>
  <r>
    <n v="219369515"/>
    <x v="332"/>
    <m/>
    <n v="39"/>
    <s v="month"/>
    <s v="Yes"/>
    <d v="2023-09-30T00:00:00"/>
    <n v="1"/>
    <x v="1"/>
    <x v="0"/>
  </r>
  <r>
    <n v="204947361"/>
    <x v="332"/>
    <m/>
    <n v="39"/>
    <s v="month"/>
    <s v="Yes"/>
    <d v="2023-09-30T00:00:00"/>
    <n v="1"/>
    <x v="1"/>
    <x v="0"/>
  </r>
  <r>
    <n v="212977568"/>
    <x v="332"/>
    <m/>
    <n v="39"/>
    <s v="month"/>
    <s v="Yes"/>
    <d v="2023-09-30T00:00:00"/>
    <n v="1"/>
    <x v="1"/>
    <x v="0"/>
  </r>
  <r>
    <n v="217981717"/>
    <x v="332"/>
    <m/>
    <n v="39"/>
    <s v="month"/>
    <s v="Yes"/>
    <d v="2023-09-30T00:00:00"/>
    <n v="1"/>
    <x v="1"/>
    <x v="0"/>
  </r>
  <r>
    <n v="219459089"/>
    <x v="332"/>
    <m/>
    <n v="39"/>
    <s v="month"/>
    <s v="Yes"/>
    <d v="2023-09-30T00:00:00"/>
    <n v="1"/>
    <x v="1"/>
    <x v="0"/>
  </r>
  <r>
    <n v="193483420"/>
    <x v="332"/>
    <m/>
    <n v="39"/>
    <s v="month"/>
    <s v="Yes"/>
    <d v="2023-09-30T00:00:00"/>
    <n v="1"/>
    <x v="1"/>
    <x v="0"/>
  </r>
  <r>
    <n v="219496362"/>
    <x v="332"/>
    <d v="2023-09-04T00:00:00"/>
    <n v="39"/>
    <s v="month"/>
    <s v="Yes"/>
    <d v="2023-09-04T00:00:00"/>
    <n v="1"/>
    <x v="1"/>
    <x v="0"/>
  </r>
  <r>
    <n v="219398902"/>
    <x v="332"/>
    <d v="2023-09-05T00:00:00"/>
    <n v="39"/>
    <s v="month"/>
    <s v="Yes"/>
    <d v="2023-09-05T00:00:00"/>
    <n v="1"/>
    <x v="1"/>
    <x v="0"/>
  </r>
  <r>
    <n v="219497152"/>
    <x v="332"/>
    <d v="2023-08-23T00:00:00"/>
    <n v="39"/>
    <s v="month"/>
    <s v="Yes"/>
    <d v="2023-08-23T00:00:00"/>
    <n v="0"/>
    <x v="1"/>
    <x v="1"/>
  </r>
  <r>
    <n v="188426619"/>
    <x v="332"/>
    <d v="2023-09-01T00:00:00"/>
    <n v="39"/>
    <s v="month"/>
    <s v="Yes"/>
    <d v="2023-09-01T00:00:00"/>
    <n v="1"/>
    <x v="1"/>
    <x v="0"/>
  </r>
  <r>
    <n v="219470485"/>
    <x v="332"/>
    <d v="2023-08-16T00:00:00"/>
    <n v="39"/>
    <s v="month"/>
    <s v="Yes"/>
    <d v="2023-08-16T00:00:00"/>
    <n v="0"/>
    <x v="1"/>
    <x v="1"/>
  </r>
  <r>
    <n v="219460783"/>
    <x v="332"/>
    <d v="2023-08-28T00:00:00"/>
    <n v="39"/>
    <s v="month"/>
    <s v="Yes"/>
    <d v="2023-08-28T00:00:00"/>
    <n v="0"/>
    <x v="1"/>
    <x v="1"/>
  </r>
  <r>
    <n v="219512722"/>
    <x v="333"/>
    <m/>
    <n v="39"/>
    <s v="month"/>
    <s v="Yes"/>
    <d v="2023-09-30T00:00:00"/>
    <n v="1"/>
    <x v="1"/>
    <x v="0"/>
  </r>
  <r>
    <n v="199393176"/>
    <x v="333"/>
    <m/>
    <n v="39"/>
    <s v="month"/>
    <s v="Yes"/>
    <d v="2023-09-30T00:00:00"/>
    <n v="1"/>
    <x v="1"/>
    <x v="0"/>
  </r>
  <r>
    <n v="217368686"/>
    <x v="333"/>
    <m/>
    <n v="39"/>
    <s v="month"/>
    <s v="Yes"/>
    <d v="2023-09-30T00:00:00"/>
    <n v="1"/>
    <x v="1"/>
    <x v="0"/>
  </r>
  <r>
    <n v="218247056"/>
    <x v="333"/>
    <m/>
    <n v="39"/>
    <s v="month"/>
    <s v="Yes"/>
    <d v="2023-09-30T00:00:00"/>
    <n v="1"/>
    <x v="1"/>
    <x v="0"/>
  </r>
  <r>
    <n v="219439239"/>
    <x v="333"/>
    <m/>
    <n v="39"/>
    <s v="month"/>
    <s v="Yes"/>
    <d v="2023-09-30T00:00:00"/>
    <n v="1"/>
    <x v="1"/>
    <x v="0"/>
  </r>
  <r>
    <n v="188206991"/>
    <x v="333"/>
    <m/>
    <n v="39"/>
    <s v="month"/>
    <s v="Yes"/>
    <d v="2023-09-30T00:00:00"/>
    <n v="1"/>
    <x v="1"/>
    <x v="0"/>
  </r>
  <r>
    <n v="206470657"/>
    <x v="333"/>
    <m/>
    <n v="39"/>
    <s v="month"/>
    <s v="Yes"/>
    <d v="2023-09-30T00:00:00"/>
    <n v="1"/>
    <x v="1"/>
    <x v="0"/>
  </r>
  <r>
    <n v="218706730"/>
    <x v="333"/>
    <m/>
    <n v="39"/>
    <s v="month"/>
    <s v="Yes"/>
    <d v="2023-09-30T00:00:00"/>
    <n v="1"/>
    <x v="1"/>
    <x v="0"/>
  </r>
  <r>
    <n v="219512680"/>
    <x v="333"/>
    <m/>
    <n v="39"/>
    <s v="month"/>
    <s v="Yes"/>
    <d v="2023-09-30T00:00:00"/>
    <n v="1"/>
    <x v="1"/>
    <x v="0"/>
  </r>
  <r>
    <n v="125335731"/>
    <x v="333"/>
    <m/>
    <n v="39"/>
    <s v="month"/>
    <s v="Yes"/>
    <d v="2023-09-30T00:00:00"/>
    <n v="1"/>
    <x v="1"/>
    <x v="0"/>
  </r>
  <r>
    <n v="160598122"/>
    <x v="333"/>
    <m/>
    <n v="39"/>
    <s v="month"/>
    <s v="Yes"/>
    <d v="2023-09-30T00:00:00"/>
    <n v="1"/>
    <x v="1"/>
    <x v="0"/>
  </r>
  <r>
    <n v="218414156"/>
    <x v="333"/>
    <m/>
    <n v="39"/>
    <s v="month"/>
    <s v="Yes"/>
    <d v="2023-09-30T00:00:00"/>
    <n v="1"/>
    <x v="1"/>
    <x v="0"/>
  </r>
  <r>
    <n v="206455504"/>
    <x v="333"/>
    <d v="2023-09-01T00:00:00"/>
    <n v="39"/>
    <s v="month"/>
    <s v="Yes"/>
    <d v="2023-09-01T00:00:00"/>
    <n v="1"/>
    <x v="1"/>
    <x v="0"/>
  </r>
  <r>
    <n v="202589094"/>
    <x v="333"/>
    <d v="2023-09-03T00:00:00"/>
    <n v="39"/>
    <s v="month"/>
    <s v="Yes"/>
    <d v="2023-09-03T00:00:00"/>
    <n v="1"/>
    <x v="1"/>
    <x v="0"/>
  </r>
  <r>
    <n v="129747676"/>
    <x v="333"/>
    <d v="2023-09-06T00:00:00"/>
    <n v="39"/>
    <s v="month"/>
    <s v="Yes"/>
    <d v="2023-09-06T00:00:00"/>
    <n v="1"/>
    <x v="1"/>
    <x v="0"/>
  </r>
  <r>
    <n v="219511614"/>
    <x v="333"/>
    <d v="2023-09-01T00:00:00"/>
    <n v="39"/>
    <s v="month"/>
    <s v="Yes"/>
    <d v="2023-09-01T00:00:00"/>
    <n v="1"/>
    <x v="1"/>
    <x v="0"/>
  </r>
  <r>
    <n v="219491158"/>
    <x v="334"/>
    <m/>
    <n v="39"/>
    <s v="month"/>
    <s v="Yes"/>
    <d v="2023-09-30T00:00:00"/>
    <n v="1"/>
    <x v="1"/>
    <x v="0"/>
  </r>
  <r>
    <n v="218790626"/>
    <x v="334"/>
    <m/>
    <n v="39"/>
    <s v="month"/>
    <s v="Yes"/>
    <d v="2023-09-30T00:00:00"/>
    <n v="1"/>
    <x v="1"/>
    <x v="0"/>
  </r>
  <r>
    <n v="219476808"/>
    <x v="334"/>
    <m/>
    <n v="39"/>
    <s v="month"/>
    <s v="Yes"/>
    <d v="2023-09-30T00:00:00"/>
    <n v="1"/>
    <x v="1"/>
    <x v="0"/>
  </r>
  <r>
    <n v="218585706"/>
    <x v="334"/>
    <m/>
    <n v="39"/>
    <s v="month"/>
    <s v="Yes"/>
    <d v="2023-09-30T00:00:00"/>
    <n v="1"/>
    <x v="1"/>
    <x v="0"/>
  </r>
  <r>
    <n v="219316901"/>
    <x v="334"/>
    <m/>
    <n v="39"/>
    <s v="month"/>
    <s v="Yes"/>
    <d v="2023-09-30T00:00:00"/>
    <n v="1"/>
    <x v="1"/>
    <x v="0"/>
  </r>
  <r>
    <n v="217724278"/>
    <x v="334"/>
    <m/>
    <n v="39"/>
    <s v="month"/>
    <s v="Yes"/>
    <d v="2023-09-30T00:00:00"/>
    <n v="1"/>
    <x v="1"/>
    <x v="0"/>
  </r>
  <r>
    <n v="155869412"/>
    <x v="334"/>
    <m/>
    <n v="39"/>
    <s v="month"/>
    <s v="Yes"/>
    <d v="2023-09-30T00:00:00"/>
    <n v="1"/>
    <x v="1"/>
    <x v="0"/>
  </r>
  <r>
    <n v="164535832"/>
    <x v="334"/>
    <m/>
    <n v="39"/>
    <s v="month"/>
    <s v="Yes"/>
    <d v="2023-09-30T00:00:00"/>
    <n v="1"/>
    <x v="1"/>
    <x v="0"/>
  </r>
  <r>
    <n v="219388064"/>
    <x v="334"/>
    <m/>
    <n v="39"/>
    <s v="month"/>
    <s v="Yes"/>
    <d v="2023-09-30T00:00:00"/>
    <n v="1"/>
    <x v="1"/>
    <x v="0"/>
  </r>
  <r>
    <n v="218884048"/>
    <x v="334"/>
    <d v="2023-08-22T00:00:00"/>
    <n v="39"/>
    <s v="month"/>
    <s v="Yes"/>
    <d v="2023-08-22T00:00:00"/>
    <n v="0"/>
    <x v="1"/>
    <x v="1"/>
  </r>
  <r>
    <n v="219603078"/>
    <x v="335"/>
    <m/>
    <n v="39"/>
    <s v="month"/>
    <s v="Yes"/>
    <d v="2023-09-30T00:00:00"/>
    <n v="1"/>
    <x v="1"/>
    <x v="0"/>
  </r>
  <r>
    <n v="219146842"/>
    <x v="335"/>
    <m/>
    <n v="39"/>
    <s v="month"/>
    <s v="Yes"/>
    <d v="2023-09-30T00:00:00"/>
    <n v="1"/>
    <x v="1"/>
    <x v="0"/>
  </r>
  <r>
    <n v="206676416"/>
    <x v="335"/>
    <m/>
    <n v="39"/>
    <s v="month"/>
    <s v="Yes"/>
    <d v="2023-09-30T00:00:00"/>
    <n v="1"/>
    <x v="1"/>
    <x v="0"/>
  </r>
  <r>
    <n v="219615770"/>
    <x v="335"/>
    <m/>
    <n v="39"/>
    <s v="month"/>
    <s v="Yes"/>
    <d v="2023-09-30T00:00:00"/>
    <n v="1"/>
    <x v="1"/>
    <x v="0"/>
  </r>
  <r>
    <n v="219630379"/>
    <x v="336"/>
    <m/>
    <n v="39"/>
    <s v="month"/>
    <s v="Yes"/>
    <d v="2023-09-30T00:00:00"/>
    <n v="1"/>
    <x v="1"/>
    <x v="0"/>
  </r>
  <r>
    <n v="145096572"/>
    <x v="336"/>
    <m/>
    <n v="39"/>
    <s v="month"/>
    <s v="Yes"/>
    <d v="2023-09-30T00:00:00"/>
    <n v="1"/>
    <x v="1"/>
    <x v="0"/>
  </r>
  <r>
    <n v="144005898"/>
    <x v="336"/>
    <m/>
    <n v="39"/>
    <s v="month"/>
    <s v="Yes"/>
    <d v="2023-09-30T00:00:00"/>
    <n v="1"/>
    <x v="1"/>
    <x v="0"/>
  </r>
  <r>
    <n v="215189020"/>
    <x v="336"/>
    <m/>
    <n v="39"/>
    <s v="month"/>
    <s v="Yes"/>
    <d v="2023-09-30T00:00:00"/>
    <n v="1"/>
    <x v="1"/>
    <x v="0"/>
  </r>
  <r>
    <n v="188354637"/>
    <x v="336"/>
    <d v="2023-08-20T00:00:00"/>
    <n v="39"/>
    <s v="month"/>
    <s v="Yes"/>
    <d v="2023-08-20T00:00:00"/>
    <n v="0"/>
    <x v="1"/>
    <x v="1"/>
  </r>
  <r>
    <n v="219668475"/>
    <x v="337"/>
    <m/>
    <n v="39"/>
    <s v="month"/>
    <s v="Yes"/>
    <d v="2023-09-30T00:00:00"/>
    <n v="1"/>
    <x v="1"/>
    <x v="0"/>
  </r>
  <r>
    <n v="219495361"/>
    <x v="337"/>
    <m/>
    <n v="39"/>
    <s v="month"/>
    <s v="Yes"/>
    <d v="2023-09-30T00:00:00"/>
    <n v="1"/>
    <x v="1"/>
    <x v="0"/>
  </r>
  <r>
    <n v="219672587"/>
    <x v="337"/>
    <m/>
    <n v="39"/>
    <s v="month"/>
    <s v="Yes"/>
    <d v="2023-09-30T00:00:00"/>
    <n v="1"/>
    <x v="1"/>
    <x v="0"/>
  </r>
  <r>
    <n v="218556897"/>
    <x v="337"/>
    <d v="2023-08-08T00:00:00"/>
    <n v="39"/>
    <s v="month"/>
    <s v="Yes"/>
    <d v="2023-08-08T00:00:00"/>
    <n v="0"/>
    <x v="1"/>
    <x v="1"/>
  </r>
  <r>
    <n v="219467082"/>
    <x v="337"/>
    <d v="2023-08-15T00:00:00"/>
    <n v="39"/>
    <s v="month"/>
    <s v="Yes"/>
    <d v="2023-08-15T00:00:00"/>
    <n v="0"/>
    <x v="1"/>
    <x v="1"/>
  </r>
  <r>
    <n v="139353407"/>
    <x v="338"/>
    <m/>
    <n v="39"/>
    <s v="month"/>
    <s v="Yes"/>
    <d v="2023-09-30T00:00:00"/>
    <n v="1"/>
    <x v="1"/>
    <x v="0"/>
  </r>
  <r>
    <n v="219734945"/>
    <x v="338"/>
    <m/>
    <n v="39"/>
    <s v="month"/>
    <s v="Yes"/>
    <d v="2023-09-30T00:00:00"/>
    <n v="1"/>
    <x v="1"/>
    <x v="0"/>
  </r>
  <r>
    <n v="219735949"/>
    <x v="338"/>
    <m/>
    <n v="39"/>
    <s v="month"/>
    <s v="Yes"/>
    <d v="2023-09-30T00:00:00"/>
    <n v="1"/>
    <x v="1"/>
    <x v="0"/>
  </r>
  <r>
    <n v="219688361"/>
    <x v="338"/>
    <m/>
    <n v="39"/>
    <s v="month"/>
    <s v="Yes"/>
    <d v="2023-09-30T00:00:00"/>
    <n v="1"/>
    <x v="1"/>
    <x v="0"/>
  </r>
  <r>
    <n v="219447968"/>
    <x v="338"/>
    <m/>
    <n v="39"/>
    <s v="month"/>
    <s v="Yes"/>
    <d v="2023-09-30T00:00:00"/>
    <n v="1"/>
    <x v="1"/>
    <x v="0"/>
  </r>
  <r>
    <n v="219583682"/>
    <x v="338"/>
    <m/>
    <n v="39"/>
    <s v="month"/>
    <s v="Yes"/>
    <d v="2023-09-30T00:00:00"/>
    <n v="1"/>
    <x v="1"/>
    <x v="0"/>
  </r>
  <r>
    <n v="217638566"/>
    <x v="338"/>
    <m/>
    <n v="39"/>
    <s v="month"/>
    <s v="Yes"/>
    <d v="2023-09-30T00:00:00"/>
    <n v="1"/>
    <x v="1"/>
    <x v="0"/>
  </r>
  <r>
    <n v="219716268"/>
    <x v="338"/>
    <m/>
    <n v="39"/>
    <s v="month"/>
    <s v="Yes"/>
    <d v="2023-09-30T00:00:00"/>
    <n v="1"/>
    <x v="1"/>
    <x v="0"/>
  </r>
  <r>
    <n v="219713718"/>
    <x v="338"/>
    <m/>
    <n v="39"/>
    <s v="month"/>
    <s v="Yes"/>
    <d v="2023-09-30T00:00:00"/>
    <n v="1"/>
    <x v="1"/>
    <x v="0"/>
  </r>
  <r>
    <n v="219707178"/>
    <x v="338"/>
    <m/>
    <n v="39"/>
    <s v="month"/>
    <s v="Yes"/>
    <d v="2023-09-30T00:00:00"/>
    <n v="1"/>
    <x v="1"/>
    <x v="0"/>
  </r>
  <r>
    <n v="219747148"/>
    <x v="338"/>
    <d v="2023-08-08T00:00:00"/>
    <n v="39"/>
    <s v="month"/>
    <s v="Yes"/>
    <d v="2023-08-08T00:00:00"/>
    <n v="0"/>
    <x v="1"/>
    <x v="1"/>
  </r>
  <r>
    <n v="219710700"/>
    <x v="338"/>
    <d v="2023-08-17T00:00:00"/>
    <n v="39"/>
    <s v="month"/>
    <s v="Yes"/>
    <d v="2023-08-17T00:00:00"/>
    <n v="0"/>
    <x v="1"/>
    <x v="1"/>
  </r>
  <r>
    <n v="160883429"/>
    <x v="339"/>
    <m/>
    <n v="39"/>
    <s v="month"/>
    <s v="Yes"/>
    <d v="2023-09-30T00:00:00"/>
    <n v="1"/>
    <x v="1"/>
    <x v="0"/>
  </r>
  <r>
    <n v="218556897"/>
    <x v="339"/>
    <m/>
    <n v="39"/>
    <s v="month"/>
    <s v="Yes"/>
    <d v="2023-09-30T00:00:00"/>
    <n v="1"/>
    <x v="1"/>
    <x v="0"/>
  </r>
  <r>
    <n v="219779586"/>
    <x v="339"/>
    <m/>
    <n v="39"/>
    <s v="month"/>
    <s v="Yes"/>
    <d v="2023-09-30T00:00:00"/>
    <n v="1"/>
    <x v="1"/>
    <x v="0"/>
  </r>
  <r>
    <n v="219437804"/>
    <x v="339"/>
    <m/>
    <n v="39"/>
    <s v="month"/>
    <s v="Yes"/>
    <d v="2023-09-30T00:00:00"/>
    <n v="1"/>
    <x v="1"/>
    <x v="0"/>
  </r>
  <r>
    <n v="206402783"/>
    <x v="339"/>
    <m/>
    <n v="39"/>
    <s v="month"/>
    <s v="Yes"/>
    <d v="2023-09-30T00:00:00"/>
    <n v="1"/>
    <x v="1"/>
    <x v="0"/>
  </r>
  <r>
    <n v="178419414"/>
    <x v="339"/>
    <m/>
    <n v="39"/>
    <s v="month"/>
    <s v="Yes"/>
    <d v="2023-09-30T00:00:00"/>
    <n v="1"/>
    <x v="1"/>
    <x v="0"/>
  </r>
  <r>
    <n v="219719416"/>
    <x v="339"/>
    <m/>
    <n v="39"/>
    <s v="month"/>
    <s v="Yes"/>
    <d v="2023-09-30T00:00:00"/>
    <n v="1"/>
    <x v="1"/>
    <x v="0"/>
  </r>
  <r>
    <n v="156558244"/>
    <x v="339"/>
    <m/>
    <n v="39"/>
    <s v="month"/>
    <s v="Yes"/>
    <d v="2023-09-30T00:00:00"/>
    <n v="1"/>
    <x v="1"/>
    <x v="0"/>
  </r>
  <r>
    <n v="215602271"/>
    <x v="339"/>
    <d v="2023-08-15T00:00:00"/>
    <n v="39"/>
    <s v="month"/>
    <s v="Yes"/>
    <d v="2023-08-15T00:00:00"/>
    <n v="0"/>
    <x v="1"/>
    <x v="1"/>
  </r>
  <r>
    <n v="219761422"/>
    <x v="339"/>
    <d v="2023-08-14T00:00:00"/>
    <n v="39"/>
    <s v="month"/>
    <s v="Yes"/>
    <d v="2023-08-14T00:00:00"/>
    <n v="0"/>
    <x v="1"/>
    <x v="1"/>
  </r>
  <r>
    <n v="218594597"/>
    <x v="339"/>
    <d v="2023-08-09T00:00:00"/>
    <n v="39"/>
    <s v="month"/>
    <s v="No"/>
    <d v="2023-08-09T00:00:00"/>
    <n v="0"/>
    <x v="1"/>
    <x v="1"/>
  </r>
  <r>
    <n v="219734107"/>
    <x v="340"/>
    <m/>
    <n v="39"/>
    <s v="month"/>
    <s v="Yes"/>
    <d v="2023-09-30T00:00:00"/>
    <n v="1"/>
    <x v="1"/>
    <x v="0"/>
  </r>
  <r>
    <n v="219836911"/>
    <x v="340"/>
    <m/>
    <n v="39"/>
    <s v="month"/>
    <s v="Yes"/>
    <d v="2023-09-30T00:00:00"/>
    <n v="1"/>
    <x v="1"/>
    <x v="0"/>
  </r>
  <r>
    <n v="215179190"/>
    <x v="340"/>
    <m/>
    <n v="39"/>
    <s v="month"/>
    <s v="Yes"/>
    <d v="2023-09-30T00:00:00"/>
    <n v="1"/>
    <x v="1"/>
    <x v="0"/>
  </r>
  <r>
    <n v="219817702"/>
    <x v="340"/>
    <m/>
    <n v="39"/>
    <s v="month"/>
    <s v="Yes"/>
    <d v="2023-09-30T00:00:00"/>
    <n v="1"/>
    <x v="1"/>
    <x v="0"/>
  </r>
  <r>
    <n v="150065982"/>
    <x v="340"/>
    <d v="2023-08-11T00:00:00"/>
    <n v="39"/>
    <s v="month"/>
    <s v="Yes"/>
    <d v="2023-08-11T00:00:00"/>
    <n v="0"/>
    <x v="1"/>
    <x v="1"/>
  </r>
  <r>
    <n v="219891350"/>
    <x v="341"/>
    <m/>
    <n v="39"/>
    <s v="month"/>
    <s v="Yes"/>
    <d v="2023-09-30T00:00:00"/>
    <n v="1"/>
    <x v="1"/>
    <x v="0"/>
  </r>
  <r>
    <n v="205210815"/>
    <x v="341"/>
    <m/>
    <n v="39"/>
    <s v="month"/>
    <s v="Yes"/>
    <d v="2023-09-30T00:00:00"/>
    <n v="1"/>
    <x v="1"/>
    <x v="0"/>
  </r>
  <r>
    <n v="219744473"/>
    <x v="341"/>
    <m/>
    <n v="39"/>
    <s v="month"/>
    <s v="Yes"/>
    <d v="2023-09-30T00:00:00"/>
    <n v="1"/>
    <x v="1"/>
    <x v="0"/>
  </r>
  <r>
    <n v="219851822"/>
    <x v="341"/>
    <m/>
    <n v="39"/>
    <s v="month"/>
    <s v="Yes"/>
    <d v="2023-09-30T00:00:00"/>
    <n v="1"/>
    <x v="1"/>
    <x v="0"/>
  </r>
  <r>
    <n v="150779000"/>
    <x v="341"/>
    <d v="2023-09-06T00:00:00"/>
    <n v="39"/>
    <s v="month"/>
    <s v="Yes"/>
    <d v="2023-09-06T00:00:00"/>
    <n v="1"/>
    <x v="1"/>
    <x v="0"/>
  </r>
  <r>
    <n v="219876215"/>
    <x v="341"/>
    <d v="2023-08-12T00:00:00"/>
    <n v="39"/>
    <s v="month"/>
    <s v="Yes"/>
    <d v="2023-08-12T00:00:00"/>
    <n v="0"/>
    <x v="1"/>
    <x v="1"/>
  </r>
  <r>
    <n v="151633468"/>
    <x v="341"/>
    <d v="2023-08-12T00:00:00"/>
    <n v="39"/>
    <s v="month"/>
    <s v="Yes"/>
    <d v="2023-08-12T00:00:00"/>
    <n v="0"/>
    <x v="1"/>
    <x v="1"/>
  </r>
  <r>
    <n v="219834528"/>
    <x v="341"/>
    <d v="2023-08-12T00:00:00"/>
    <n v="39"/>
    <s v="month"/>
    <s v="No"/>
    <d v="2023-08-12T00:00:00"/>
    <n v="0"/>
    <x v="1"/>
    <x v="1"/>
  </r>
  <r>
    <n v="202844600"/>
    <x v="341"/>
    <d v="2023-08-12T00:00:00"/>
    <n v="39"/>
    <s v="month"/>
    <s v="No"/>
    <d v="2023-08-12T00:00:00"/>
    <n v="0"/>
    <x v="1"/>
    <x v="1"/>
  </r>
  <r>
    <n v="158093021"/>
    <x v="342"/>
    <m/>
    <n v="39"/>
    <s v="month"/>
    <s v="Yes"/>
    <d v="2023-09-30T00:00:00"/>
    <n v="1"/>
    <x v="1"/>
    <x v="0"/>
  </r>
  <r>
    <n v="203366396"/>
    <x v="342"/>
    <d v="2023-08-16T00:00:00"/>
    <n v="39"/>
    <s v="month"/>
    <s v="Yes"/>
    <d v="2023-08-16T00:00:00"/>
    <n v="0"/>
    <x v="1"/>
    <x v="1"/>
  </r>
  <r>
    <n v="210694562"/>
    <x v="342"/>
    <d v="2023-09-02T00:00:00"/>
    <n v="39"/>
    <s v="month"/>
    <s v="Yes"/>
    <d v="2023-09-02T00:00:00"/>
    <n v="1"/>
    <x v="1"/>
    <x v="0"/>
  </r>
  <r>
    <n v="188347490"/>
    <x v="343"/>
    <m/>
    <n v="39"/>
    <s v="month"/>
    <s v="Yes"/>
    <d v="2023-09-30T00:00:00"/>
    <n v="1"/>
    <x v="1"/>
    <x v="0"/>
  </r>
  <r>
    <n v="219947831"/>
    <x v="343"/>
    <m/>
    <n v="39"/>
    <s v="month"/>
    <s v="Yes"/>
    <d v="2023-09-30T00:00:00"/>
    <n v="1"/>
    <x v="1"/>
    <x v="0"/>
  </r>
  <r>
    <n v="214775412"/>
    <x v="343"/>
    <m/>
    <n v="39"/>
    <s v="month"/>
    <s v="Yes"/>
    <d v="2023-09-30T00:00:00"/>
    <n v="1"/>
    <x v="1"/>
    <x v="0"/>
  </r>
  <r>
    <n v="134753801"/>
    <x v="343"/>
    <m/>
    <n v="39"/>
    <s v="month"/>
    <s v="Yes"/>
    <d v="2023-09-30T00:00:00"/>
    <n v="1"/>
    <x v="1"/>
    <x v="0"/>
  </r>
  <r>
    <n v="182584521"/>
    <x v="343"/>
    <m/>
    <n v="39"/>
    <s v="month"/>
    <s v="Yes"/>
    <d v="2023-09-30T00:00:00"/>
    <n v="1"/>
    <x v="1"/>
    <x v="0"/>
  </r>
  <r>
    <n v="219955434"/>
    <x v="343"/>
    <m/>
    <n v="39"/>
    <s v="month"/>
    <s v="Yes"/>
    <d v="2023-09-30T00:00:00"/>
    <n v="1"/>
    <x v="1"/>
    <x v="0"/>
  </r>
  <r>
    <n v="219951440"/>
    <x v="343"/>
    <m/>
    <n v="39"/>
    <s v="month"/>
    <s v="Yes"/>
    <d v="2023-09-30T00:00:00"/>
    <n v="1"/>
    <x v="1"/>
    <x v="0"/>
  </r>
  <r>
    <n v="219808428"/>
    <x v="343"/>
    <d v="2023-09-01T00:00:00"/>
    <n v="39"/>
    <s v="month"/>
    <s v="Yes"/>
    <d v="2023-09-01T00:00:00"/>
    <n v="1"/>
    <x v="1"/>
    <x v="0"/>
  </r>
  <r>
    <n v="191034251"/>
    <x v="344"/>
    <m/>
    <n v="39"/>
    <s v="month"/>
    <s v="Yes"/>
    <d v="2023-09-30T00:00:00"/>
    <n v="1"/>
    <x v="1"/>
    <x v="0"/>
  </r>
  <r>
    <n v="220023196"/>
    <x v="344"/>
    <m/>
    <n v="39"/>
    <s v="month"/>
    <s v="Yes"/>
    <d v="2023-09-30T00:00:00"/>
    <n v="1"/>
    <x v="1"/>
    <x v="0"/>
  </r>
  <r>
    <n v="220028812"/>
    <x v="344"/>
    <m/>
    <n v="39"/>
    <s v="month"/>
    <s v="Yes"/>
    <d v="2023-09-30T00:00:00"/>
    <n v="1"/>
    <x v="1"/>
    <x v="0"/>
  </r>
  <r>
    <n v="195988242"/>
    <x v="344"/>
    <m/>
    <n v="39"/>
    <s v="month"/>
    <s v="Yes"/>
    <d v="2023-09-30T00:00:00"/>
    <n v="1"/>
    <x v="1"/>
    <x v="0"/>
  </r>
  <r>
    <n v="151633468"/>
    <x v="344"/>
    <m/>
    <n v="39"/>
    <s v="month"/>
    <s v="Yes"/>
    <d v="2023-09-30T00:00:00"/>
    <n v="1"/>
    <x v="1"/>
    <x v="0"/>
  </r>
  <r>
    <n v="220012044"/>
    <x v="344"/>
    <m/>
    <n v="39"/>
    <s v="month"/>
    <s v="Yes"/>
    <d v="2023-09-30T00:00:00"/>
    <n v="1"/>
    <x v="1"/>
    <x v="0"/>
  </r>
  <r>
    <n v="219981231"/>
    <x v="344"/>
    <m/>
    <n v="39"/>
    <s v="month"/>
    <s v="Yes"/>
    <d v="2023-09-30T00:00:00"/>
    <n v="1"/>
    <x v="1"/>
    <x v="0"/>
  </r>
  <r>
    <n v="169692209"/>
    <x v="344"/>
    <m/>
    <n v="39"/>
    <s v="month"/>
    <s v="Yes"/>
    <d v="2023-09-30T00:00:00"/>
    <n v="1"/>
    <x v="1"/>
    <x v="0"/>
  </r>
  <r>
    <n v="116156335"/>
    <x v="344"/>
    <m/>
    <n v="39"/>
    <s v="month"/>
    <s v="Yes"/>
    <d v="2023-09-30T00:00:00"/>
    <n v="1"/>
    <x v="1"/>
    <x v="0"/>
  </r>
  <r>
    <n v="153393340"/>
    <x v="344"/>
    <m/>
    <n v="39"/>
    <s v="month"/>
    <s v="Yes"/>
    <d v="2023-09-30T00:00:00"/>
    <n v="1"/>
    <x v="1"/>
    <x v="0"/>
  </r>
  <r>
    <n v="219974920"/>
    <x v="344"/>
    <m/>
    <n v="39"/>
    <s v="month"/>
    <s v="Yes"/>
    <d v="2023-09-30T00:00:00"/>
    <n v="1"/>
    <x v="1"/>
    <x v="0"/>
  </r>
  <r>
    <n v="121253113"/>
    <x v="344"/>
    <d v="2023-08-16T00:00:00"/>
    <n v="39"/>
    <s v="month"/>
    <s v="Yes"/>
    <d v="2023-08-16T00:00:00"/>
    <n v="0"/>
    <x v="1"/>
    <x v="1"/>
  </r>
  <r>
    <n v="219690296"/>
    <x v="345"/>
    <m/>
    <n v="39"/>
    <s v="month"/>
    <s v="Yes"/>
    <d v="2023-09-30T00:00:00"/>
    <n v="1"/>
    <x v="1"/>
    <x v="0"/>
  </r>
  <r>
    <n v="187268085"/>
    <x v="345"/>
    <m/>
    <n v="39"/>
    <s v="month"/>
    <s v="Yes"/>
    <d v="2023-09-30T00:00:00"/>
    <n v="1"/>
    <x v="1"/>
    <x v="0"/>
  </r>
  <r>
    <n v="150623785"/>
    <x v="345"/>
    <m/>
    <n v="39"/>
    <s v="month"/>
    <s v="Yes"/>
    <d v="2023-09-30T00:00:00"/>
    <n v="1"/>
    <x v="1"/>
    <x v="0"/>
  </r>
  <r>
    <n v="220056524"/>
    <x v="345"/>
    <d v="2023-08-16T00:00:00"/>
    <n v="39"/>
    <s v="month"/>
    <s v="No"/>
    <d v="2023-08-16T00:00:00"/>
    <n v="0"/>
    <x v="1"/>
    <x v="1"/>
  </r>
  <r>
    <n v="208188866"/>
    <x v="346"/>
    <m/>
    <n v="39"/>
    <s v="month"/>
    <s v="Yes"/>
    <d v="2023-09-30T00:00:00"/>
    <n v="1"/>
    <x v="1"/>
    <x v="0"/>
  </r>
  <r>
    <n v="219081046"/>
    <x v="346"/>
    <m/>
    <n v="39"/>
    <s v="month"/>
    <s v="Yes"/>
    <d v="2023-09-30T00:00:00"/>
    <n v="1"/>
    <x v="1"/>
    <x v="0"/>
  </r>
  <r>
    <n v="219569143"/>
    <x v="346"/>
    <m/>
    <n v="39"/>
    <s v="month"/>
    <s v="Yes"/>
    <d v="2023-09-30T00:00:00"/>
    <n v="1"/>
    <x v="1"/>
    <x v="0"/>
  </r>
  <r>
    <n v="219653068"/>
    <x v="346"/>
    <m/>
    <n v="39"/>
    <s v="month"/>
    <s v="Yes"/>
    <d v="2023-09-30T00:00:00"/>
    <n v="1"/>
    <x v="1"/>
    <x v="0"/>
  </r>
  <r>
    <n v="220120740"/>
    <x v="346"/>
    <m/>
    <n v="39"/>
    <s v="month"/>
    <s v="Yes"/>
    <d v="2023-09-30T00:00:00"/>
    <n v="1"/>
    <x v="1"/>
    <x v="0"/>
  </r>
  <r>
    <n v="186200901"/>
    <x v="346"/>
    <m/>
    <n v="39"/>
    <s v="month"/>
    <s v="Yes"/>
    <d v="2023-09-30T00:00:00"/>
    <n v="1"/>
    <x v="1"/>
    <x v="0"/>
  </r>
  <r>
    <n v="220116966"/>
    <x v="346"/>
    <m/>
    <n v="39"/>
    <s v="month"/>
    <s v="Yes"/>
    <d v="2023-09-30T00:00:00"/>
    <n v="1"/>
    <x v="1"/>
    <x v="0"/>
  </r>
  <r>
    <n v="219876215"/>
    <x v="346"/>
    <m/>
    <n v="39"/>
    <s v="month"/>
    <s v="Yes"/>
    <d v="2023-09-30T00:00:00"/>
    <n v="1"/>
    <x v="1"/>
    <x v="0"/>
  </r>
  <r>
    <n v="219996796"/>
    <x v="346"/>
    <m/>
    <n v="39"/>
    <s v="month"/>
    <s v="Yes"/>
    <d v="2023-09-30T00:00:00"/>
    <n v="1"/>
    <x v="1"/>
    <x v="0"/>
  </r>
  <r>
    <n v="218296652"/>
    <x v="346"/>
    <m/>
    <n v="39"/>
    <s v="month"/>
    <s v="Yes"/>
    <d v="2023-09-30T00:00:00"/>
    <n v="1"/>
    <x v="1"/>
    <x v="0"/>
  </r>
  <r>
    <n v="188748372"/>
    <x v="346"/>
    <m/>
    <n v="39"/>
    <s v="month"/>
    <s v="Yes"/>
    <d v="2023-09-30T00:00:00"/>
    <n v="1"/>
    <x v="1"/>
    <x v="0"/>
  </r>
  <r>
    <n v="220080560"/>
    <x v="346"/>
    <m/>
    <n v="39"/>
    <s v="month"/>
    <s v="Yes"/>
    <d v="2023-09-30T00:00:00"/>
    <n v="1"/>
    <x v="1"/>
    <x v="0"/>
  </r>
  <r>
    <n v="219899496"/>
    <x v="347"/>
    <m/>
    <n v="39"/>
    <s v="month"/>
    <s v="Yes"/>
    <d v="2023-09-30T00:00:00"/>
    <n v="1"/>
    <x v="1"/>
    <x v="0"/>
  </r>
  <r>
    <n v="219000322"/>
    <x v="347"/>
    <m/>
    <n v="39"/>
    <s v="month"/>
    <s v="Yes"/>
    <d v="2023-09-30T00:00:00"/>
    <n v="1"/>
    <x v="1"/>
    <x v="0"/>
  </r>
  <r>
    <n v="220181992"/>
    <x v="347"/>
    <m/>
    <n v="39"/>
    <s v="month"/>
    <s v="Yes"/>
    <d v="2023-09-30T00:00:00"/>
    <n v="1"/>
    <x v="1"/>
    <x v="0"/>
  </r>
  <r>
    <n v="220196419"/>
    <x v="347"/>
    <m/>
    <n v="39"/>
    <s v="month"/>
    <s v="Yes"/>
    <d v="2023-09-30T00:00:00"/>
    <n v="1"/>
    <x v="1"/>
    <x v="0"/>
  </r>
  <r>
    <n v="220155197"/>
    <x v="347"/>
    <m/>
    <n v="39"/>
    <s v="month"/>
    <s v="Yes"/>
    <d v="2023-09-30T00:00:00"/>
    <n v="1"/>
    <x v="1"/>
    <x v="0"/>
  </r>
  <r>
    <n v="220144619"/>
    <x v="347"/>
    <m/>
    <n v="39"/>
    <s v="month"/>
    <s v="Yes"/>
    <d v="2023-09-30T00:00:00"/>
    <n v="1"/>
    <x v="1"/>
    <x v="0"/>
  </r>
  <r>
    <n v="220184550"/>
    <x v="347"/>
    <m/>
    <n v="39"/>
    <s v="month"/>
    <s v="Yes"/>
    <d v="2023-09-30T00:00:00"/>
    <n v="1"/>
    <x v="1"/>
    <x v="0"/>
  </r>
  <r>
    <n v="152209352"/>
    <x v="347"/>
    <m/>
    <n v="39"/>
    <s v="month"/>
    <s v="Yes"/>
    <d v="2023-09-30T00:00:00"/>
    <n v="1"/>
    <x v="1"/>
    <x v="0"/>
  </r>
  <r>
    <n v="146952862"/>
    <x v="347"/>
    <m/>
    <n v="39"/>
    <s v="month"/>
    <s v="Yes"/>
    <d v="2023-09-30T00:00:00"/>
    <n v="1"/>
    <x v="1"/>
    <x v="0"/>
  </r>
  <r>
    <n v="220178530"/>
    <x v="347"/>
    <m/>
    <n v="39"/>
    <s v="month"/>
    <s v="Yes"/>
    <d v="2023-09-30T00:00:00"/>
    <n v="1"/>
    <x v="1"/>
    <x v="0"/>
  </r>
  <r>
    <n v="219498470"/>
    <x v="347"/>
    <m/>
    <n v="39"/>
    <s v="month"/>
    <s v="Yes"/>
    <d v="2023-09-30T00:00:00"/>
    <n v="1"/>
    <x v="1"/>
    <x v="0"/>
  </r>
  <r>
    <n v="216622895"/>
    <x v="347"/>
    <m/>
    <n v="39"/>
    <s v="month"/>
    <s v="Yes"/>
    <d v="2023-09-30T00:00:00"/>
    <n v="1"/>
    <x v="1"/>
    <x v="0"/>
  </r>
  <r>
    <n v="153705354"/>
    <x v="347"/>
    <d v="2023-08-17T00:00:00"/>
    <n v="39"/>
    <s v="month"/>
    <s v="Yes"/>
    <d v="2023-08-17T00:00:00"/>
    <n v="0"/>
    <x v="1"/>
    <x v="1"/>
  </r>
  <r>
    <n v="219280628"/>
    <x v="347"/>
    <d v="2023-08-18T00:00:00"/>
    <n v="39"/>
    <s v="month"/>
    <s v="No"/>
    <d v="2023-08-18T00:00:00"/>
    <n v="0"/>
    <x v="1"/>
    <x v="1"/>
  </r>
  <r>
    <n v="220171290"/>
    <x v="348"/>
    <m/>
    <n v="39"/>
    <s v="month"/>
    <s v="Yes"/>
    <d v="2023-09-30T00:00:00"/>
    <n v="1"/>
    <x v="1"/>
    <x v="0"/>
  </r>
  <r>
    <n v="219553060"/>
    <x v="348"/>
    <m/>
    <n v="39"/>
    <s v="month"/>
    <s v="Yes"/>
    <d v="2023-09-30T00:00:00"/>
    <n v="1"/>
    <x v="1"/>
    <x v="0"/>
  </r>
  <r>
    <n v="220244827"/>
    <x v="348"/>
    <m/>
    <n v="39"/>
    <s v="month"/>
    <s v="Yes"/>
    <d v="2023-09-30T00:00:00"/>
    <n v="1"/>
    <x v="1"/>
    <x v="0"/>
  </r>
  <r>
    <n v="219612883"/>
    <x v="348"/>
    <m/>
    <n v="39"/>
    <s v="month"/>
    <s v="Yes"/>
    <d v="2023-09-30T00:00:00"/>
    <n v="1"/>
    <x v="1"/>
    <x v="0"/>
  </r>
  <r>
    <n v="217914279"/>
    <x v="348"/>
    <m/>
    <n v="39"/>
    <s v="month"/>
    <s v="Yes"/>
    <d v="2023-09-30T00:00:00"/>
    <n v="1"/>
    <x v="1"/>
    <x v="0"/>
  </r>
  <r>
    <n v="220171851"/>
    <x v="348"/>
    <m/>
    <n v="39"/>
    <s v="month"/>
    <s v="Yes"/>
    <d v="2023-09-30T00:00:00"/>
    <n v="1"/>
    <x v="1"/>
    <x v="0"/>
  </r>
  <r>
    <n v="217543308"/>
    <x v="348"/>
    <m/>
    <n v="39"/>
    <s v="month"/>
    <s v="Yes"/>
    <d v="2023-09-30T00:00:00"/>
    <n v="1"/>
    <x v="1"/>
    <x v="0"/>
  </r>
  <r>
    <n v="157008330"/>
    <x v="348"/>
    <d v="2023-08-18T00:00:00"/>
    <n v="39"/>
    <s v="month"/>
    <s v="Yes"/>
    <d v="2023-08-18T00:00:00"/>
    <n v="0"/>
    <x v="1"/>
    <x v="1"/>
  </r>
  <r>
    <n v="206063908"/>
    <x v="348"/>
    <d v="2023-09-07T00:00:00"/>
    <n v="39"/>
    <s v="month"/>
    <s v="Yes"/>
    <d v="2023-09-07T00:00:00"/>
    <n v="1"/>
    <x v="1"/>
    <x v="0"/>
  </r>
  <r>
    <n v="220182716"/>
    <x v="348"/>
    <d v="2023-08-19T00:00:00"/>
    <n v="39"/>
    <s v="month"/>
    <s v="No"/>
    <d v="2023-08-19T00:00:00"/>
    <n v="0"/>
    <x v="1"/>
    <x v="1"/>
  </r>
  <r>
    <n v="202103959"/>
    <x v="349"/>
    <m/>
    <n v="39"/>
    <s v="month"/>
    <s v="Yes"/>
    <d v="2023-09-30T00:00:00"/>
    <n v="1"/>
    <x v="1"/>
    <x v="0"/>
  </r>
  <r>
    <n v="218757796"/>
    <x v="349"/>
    <m/>
    <n v="39"/>
    <s v="month"/>
    <s v="Yes"/>
    <d v="2023-09-30T00:00:00"/>
    <n v="1"/>
    <x v="1"/>
    <x v="0"/>
  </r>
  <r>
    <n v="220272556"/>
    <x v="349"/>
    <m/>
    <n v="39"/>
    <s v="month"/>
    <s v="Yes"/>
    <d v="2023-09-30T00:00:00"/>
    <n v="1"/>
    <x v="1"/>
    <x v="0"/>
  </r>
  <r>
    <n v="219493644"/>
    <x v="349"/>
    <m/>
    <n v="39"/>
    <s v="month"/>
    <s v="Yes"/>
    <d v="2023-09-30T00:00:00"/>
    <n v="1"/>
    <x v="1"/>
    <x v="0"/>
  </r>
  <r>
    <n v="148996798"/>
    <x v="349"/>
    <m/>
    <n v="39"/>
    <s v="month"/>
    <s v="Yes"/>
    <d v="2023-09-30T00:00:00"/>
    <n v="1"/>
    <x v="1"/>
    <x v="0"/>
  </r>
  <r>
    <n v="218947678"/>
    <x v="349"/>
    <m/>
    <n v="39"/>
    <s v="month"/>
    <s v="Yes"/>
    <d v="2023-09-30T00:00:00"/>
    <n v="1"/>
    <x v="1"/>
    <x v="0"/>
  </r>
  <r>
    <n v="119465934"/>
    <x v="349"/>
    <m/>
    <n v="39"/>
    <s v="month"/>
    <s v="Yes"/>
    <d v="2023-09-30T00:00:00"/>
    <n v="1"/>
    <x v="1"/>
    <x v="0"/>
  </r>
  <r>
    <n v="219195061"/>
    <x v="349"/>
    <m/>
    <n v="39"/>
    <s v="month"/>
    <s v="Yes"/>
    <d v="2023-09-30T00:00:00"/>
    <n v="1"/>
    <x v="1"/>
    <x v="0"/>
  </r>
  <r>
    <n v="219637590"/>
    <x v="349"/>
    <d v="2023-08-25T00:00:00"/>
    <n v="39"/>
    <s v="month"/>
    <s v="Yes"/>
    <d v="2023-08-25T00:00:00"/>
    <n v="0"/>
    <x v="1"/>
    <x v="1"/>
  </r>
  <r>
    <n v="218878930"/>
    <x v="350"/>
    <m/>
    <n v="39"/>
    <s v="month"/>
    <s v="Yes"/>
    <d v="2023-09-30T00:00:00"/>
    <n v="1"/>
    <x v="1"/>
    <x v="0"/>
  </r>
  <r>
    <n v="134622358"/>
    <x v="350"/>
    <m/>
    <n v="39"/>
    <s v="month"/>
    <s v="Yes"/>
    <d v="2023-09-30T00:00:00"/>
    <n v="1"/>
    <x v="1"/>
    <x v="0"/>
  </r>
  <r>
    <n v="219237524"/>
    <x v="350"/>
    <m/>
    <n v="39"/>
    <s v="month"/>
    <s v="Yes"/>
    <d v="2023-09-30T00:00:00"/>
    <n v="1"/>
    <x v="1"/>
    <x v="0"/>
  </r>
  <r>
    <n v="147320092"/>
    <x v="350"/>
    <m/>
    <n v="39"/>
    <s v="month"/>
    <s v="Yes"/>
    <d v="2023-09-30T00:00:00"/>
    <n v="1"/>
    <x v="1"/>
    <x v="0"/>
  </r>
  <r>
    <n v="219953886"/>
    <x v="350"/>
    <m/>
    <n v="39"/>
    <s v="month"/>
    <s v="Yes"/>
    <d v="2023-09-30T00:00:00"/>
    <n v="1"/>
    <x v="1"/>
    <x v="0"/>
  </r>
  <r>
    <n v="207013932"/>
    <x v="350"/>
    <d v="2023-08-20T00:00:00"/>
    <n v="39"/>
    <s v="month"/>
    <s v="No"/>
    <d v="2023-08-20T00:00:00"/>
    <n v="0"/>
    <x v="1"/>
    <x v="1"/>
  </r>
  <r>
    <n v="205274562"/>
    <x v="351"/>
    <m/>
    <n v="39"/>
    <s v="month"/>
    <s v="Yes"/>
    <d v="2023-09-30T00:00:00"/>
    <n v="1"/>
    <x v="1"/>
    <x v="0"/>
  </r>
  <r>
    <n v="152698255"/>
    <x v="351"/>
    <m/>
    <n v="39"/>
    <s v="month"/>
    <s v="Yes"/>
    <d v="2023-09-30T00:00:00"/>
    <n v="1"/>
    <x v="1"/>
    <x v="0"/>
  </r>
  <r>
    <n v="209361492"/>
    <x v="351"/>
    <m/>
    <n v="39"/>
    <s v="month"/>
    <s v="Yes"/>
    <d v="2023-09-30T00:00:00"/>
    <n v="1"/>
    <x v="1"/>
    <x v="0"/>
  </r>
  <r>
    <n v="205530810"/>
    <x v="351"/>
    <m/>
    <n v="39"/>
    <s v="month"/>
    <s v="Yes"/>
    <d v="2023-09-30T00:00:00"/>
    <n v="1"/>
    <x v="1"/>
    <x v="0"/>
  </r>
  <r>
    <n v="220343801"/>
    <x v="351"/>
    <m/>
    <n v="39"/>
    <s v="month"/>
    <s v="Yes"/>
    <d v="2023-09-30T00:00:00"/>
    <n v="1"/>
    <x v="1"/>
    <x v="0"/>
  </r>
  <r>
    <n v="150441222"/>
    <x v="351"/>
    <m/>
    <n v="39"/>
    <s v="month"/>
    <s v="Yes"/>
    <d v="2023-09-30T00:00:00"/>
    <n v="1"/>
    <x v="1"/>
    <x v="0"/>
  </r>
  <r>
    <n v="214640803"/>
    <x v="351"/>
    <m/>
    <n v="39"/>
    <s v="month"/>
    <s v="Yes"/>
    <d v="2023-09-30T00:00:00"/>
    <n v="1"/>
    <x v="1"/>
    <x v="0"/>
  </r>
  <r>
    <n v="219569853"/>
    <x v="351"/>
    <m/>
    <n v="39"/>
    <s v="month"/>
    <s v="Yes"/>
    <d v="2023-09-30T00:00:00"/>
    <n v="1"/>
    <x v="1"/>
    <x v="0"/>
  </r>
  <r>
    <n v="220197494"/>
    <x v="351"/>
    <m/>
    <n v="39"/>
    <s v="month"/>
    <s v="Yes"/>
    <d v="2023-09-30T00:00:00"/>
    <n v="1"/>
    <x v="1"/>
    <x v="0"/>
  </r>
  <r>
    <n v="220323698"/>
    <x v="351"/>
    <m/>
    <n v="39"/>
    <s v="month"/>
    <s v="Yes"/>
    <d v="2023-09-30T00:00:00"/>
    <n v="1"/>
    <x v="1"/>
    <x v="0"/>
  </r>
  <r>
    <n v="215180470"/>
    <x v="351"/>
    <d v="2023-08-21T00:00:00"/>
    <n v="39"/>
    <s v="month"/>
    <s v="Yes"/>
    <d v="2023-08-21T00:00:00"/>
    <n v="0"/>
    <x v="1"/>
    <x v="1"/>
  </r>
  <r>
    <n v="177323966"/>
    <x v="351"/>
    <d v="2023-08-28T00:00:00"/>
    <n v="39"/>
    <s v="month"/>
    <s v="Yes"/>
    <d v="2023-08-28T00:00:00"/>
    <n v="0"/>
    <x v="1"/>
    <x v="1"/>
  </r>
  <r>
    <n v="214682826"/>
    <x v="351"/>
    <d v="2023-08-22T00:00:00"/>
    <n v="39"/>
    <s v="month"/>
    <s v="Yes"/>
    <d v="2023-08-22T00:00:00"/>
    <n v="0"/>
    <x v="1"/>
    <x v="1"/>
  </r>
  <r>
    <n v="220414820"/>
    <x v="352"/>
    <m/>
    <n v="39"/>
    <s v="month"/>
    <s v="Yes"/>
    <d v="2023-09-30T00:00:00"/>
    <n v="1"/>
    <x v="1"/>
    <x v="0"/>
  </r>
  <r>
    <n v="214682826"/>
    <x v="352"/>
    <m/>
    <n v="39"/>
    <s v="month"/>
    <s v="Yes"/>
    <d v="2023-09-30T00:00:00"/>
    <n v="1"/>
    <x v="1"/>
    <x v="0"/>
  </r>
  <r>
    <n v="206147500"/>
    <x v="352"/>
    <m/>
    <n v="39"/>
    <s v="month"/>
    <s v="Yes"/>
    <d v="2023-09-30T00:00:00"/>
    <n v="1"/>
    <x v="1"/>
    <x v="0"/>
  </r>
  <r>
    <n v="220402308"/>
    <x v="352"/>
    <m/>
    <n v="39"/>
    <s v="month"/>
    <s v="Yes"/>
    <d v="2023-09-30T00:00:00"/>
    <n v="1"/>
    <x v="1"/>
    <x v="0"/>
  </r>
  <r>
    <n v="220205806"/>
    <x v="352"/>
    <m/>
    <n v="39"/>
    <s v="month"/>
    <s v="Yes"/>
    <d v="2023-09-30T00:00:00"/>
    <n v="1"/>
    <x v="1"/>
    <x v="0"/>
  </r>
  <r>
    <n v="152792045"/>
    <x v="352"/>
    <m/>
    <n v="39"/>
    <s v="month"/>
    <s v="Yes"/>
    <d v="2023-09-30T00:00:00"/>
    <n v="1"/>
    <x v="1"/>
    <x v="0"/>
  </r>
  <r>
    <n v="220381016"/>
    <x v="352"/>
    <m/>
    <n v="39"/>
    <s v="month"/>
    <s v="Yes"/>
    <d v="2023-09-30T00:00:00"/>
    <n v="1"/>
    <x v="1"/>
    <x v="0"/>
  </r>
  <r>
    <n v="220385078"/>
    <x v="352"/>
    <m/>
    <n v="39"/>
    <s v="month"/>
    <s v="Yes"/>
    <d v="2023-09-30T00:00:00"/>
    <n v="1"/>
    <x v="1"/>
    <x v="0"/>
  </r>
  <r>
    <n v="220414853"/>
    <x v="352"/>
    <m/>
    <n v="39"/>
    <s v="month"/>
    <s v="Yes"/>
    <d v="2023-09-30T00:00:00"/>
    <n v="1"/>
    <x v="1"/>
    <x v="0"/>
  </r>
  <r>
    <n v="220366524"/>
    <x v="352"/>
    <m/>
    <n v="39"/>
    <s v="month"/>
    <s v="Yes"/>
    <d v="2023-09-30T00:00:00"/>
    <n v="1"/>
    <x v="1"/>
    <x v="0"/>
  </r>
  <r>
    <n v="220407436"/>
    <x v="352"/>
    <d v="2023-08-23T00:00:00"/>
    <n v="39"/>
    <s v="month"/>
    <s v="No"/>
    <d v="2023-08-23T00:00:00"/>
    <n v="0"/>
    <x v="1"/>
    <x v="1"/>
  </r>
  <r>
    <n v="192182455"/>
    <x v="353"/>
    <m/>
    <n v="39"/>
    <s v="month"/>
    <s v="Yes"/>
    <d v="2023-09-30T00:00:00"/>
    <n v="1"/>
    <x v="1"/>
    <x v="0"/>
  </r>
  <r>
    <n v="219439597"/>
    <x v="353"/>
    <m/>
    <n v="39"/>
    <s v="month"/>
    <s v="Yes"/>
    <d v="2023-09-30T00:00:00"/>
    <n v="1"/>
    <x v="1"/>
    <x v="0"/>
  </r>
  <r>
    <n v="219576812"/>
    <x v="353"/>
    <m/>
    <n v="39"/>
    <s v="month"/>
    <s v="Yes"/>
    <d v="2023-09-30T00:00:00"/>
    <n v="1"/>
    <x v="1"/>
    <x v="0"/>
  </r>
  <r>
    <n v="143111905"/>
    <x v="353"/>
    <m/>
    <n v="39"/>
    <s v="month"/>
    <s v="Yes"/>
    <d v="2023-09-30T00:00:00"/>
    <n v="1"/>
    <x v="1"/>
    <x v="0"/>
  </r>
  <r>
    <n v="123297208"/>
    <x v="353"/>
    <m/>
    <n v="39"/>
    <s v="month"/>
    <s v="Yes"/>
    <d v="2023-09-30T00:00:00"/>
    <n v="1"/>
    <x v="1"/>
    <x v="0"/>
  </r>
  <r>
    <n v="213194584"/>
    <x v="353"/>
    <m/>
    <n v="39"/>
    <s v="month"/>
    <s v="Yes"/>
    <d v="2023-09-30T00:00:00"/>
    <n v="1"/>
    <x v="1"/>
    <x v="0"/>
  </r>
  <r>
    <n v="220455205"/>
    <x v="353"/>
    <m/>
    <n v="39"/>
    <s v="month"/>
    <s v="Yes"/>
    <d v="2023-09-30T00:00:00"/>
    <n v="1"/>
    <x v="1"/>
    <x v="0"/>
  </r>
  <r>
    <n v="220425056"/>
    <x v="353"/>
    <m/>
    <n v="39"/>
    <s v="month"/>
    <s v="Yes"/>
    <d v="2023-09-30T00:00:00"/>
    <n v="1"/>
    <x v="1"/>
    <x v="0"/>
  </r>
  <r>
    <n v="219685108"/>
    <x v="353"/>
    <m/>
    <n v="39"/>
    <s v="month"/>
    <s v="Yes"/>
    <d v="2023-09-30T00:00:00"/>
    <n v="1"/>
    <x v="1"/>
    <x v="0"/>
  </r>
  <r>
    <n v="220531090"/>
    <x v="354"/>
    <m/>
    <n v="39"/>
    <s v="month"/>
    <s v="Yes"/>
    <d v="2023-09-30T00:00:00"/>
    <n v="1"/>
    <x v="1"/>
    <x v="0"/>
  </r>
  <r>
    <n v="220510482"/>
    <x v="354"/>
    <m/>
    <n v="39"/>
    <s v="month"/>
    <s v="Yes"/>
    <d v="2023-09-30T00:00:00"/>
    <n v="1"/>
    <x v="1"/>
    <x v="0"/>
  </r>
  <r>
    <n v="149856123"/>
    <x v="354"/>
    <m/>
    <n v="39"/>
    <s v="month"/>
    <s v="Yes"/>
    <d v="2023-09-30T00:00:00"/>
    <n v="1"/>
    <x v="1"/>
    <x v="0"/>
  </r>
  <r>
    <n v="217506938"/>
    <x v="354"/>
    <m/>
    <n v="39"/>
    <s v="month"/>
    <s v="Yes"/>
    <d v="2023-09-30T00:00:00"/>
    <n v="1"/>
    <x v="1"/>
    <x v="0"/>
  </r>
  <r>
    <n v="189403535"/>
    <x v="354"/>
    <m/>
    <n v="39"/>
    <s v="month"/>
    <s v="Yes"/>
    <d v="2023-09-30T00:00:00"/>
    <n v="1"/>
    <x v="1"/>
    <x v="0"/>
  </r>
  <r>
    <n v="132318451"/>
    <x v="354"/>
    <d v="2023-08-25T00:00:00"/>
    <n v="39"/>
    <s v="month"/>
    <s v="Yes"/>
    <d v="2023-08-25T00:00:00"/>
    <n v="0"/>
    <x v="1"/>
    <x v="1"/>
  </r>
  <r>
    <n v="220495479"/>
    <x v="354"/>
    <d v="2023-08-25T00:00:00"/>
    <n v="39"/>
    <s v="month"/>
    <s v="No"/>
    <d v="2023-08-25T00:00:00"/>
    <n v="0"/>
    <x v="1"/>
    <x v="1"/>
  </r>
  <r>
    <n v="164903790"/>
    <x v="355"/>
    <m/>
    <n v="39"/>
    <s v="month"/>
    <s v="Yes"/>
    <d v="2023-09-30T00:00:00"/>
    <n v="1"/>
    <x v="1"/>
    <x v="0"/>
  </r>
  <r>
    <n v="220371835"/>
    <x v="355"/>
    <m/>
    <n v="39"/>
    <s v="month"/>
    <s v="Yes"/>
    <d v="2023-09-30T00:00:00"/>
    <n v="1"/>
    <x v="1"/>
    <x v="0"/>
  </r>
  <r>
    <n v="125932988"/>
    <x v="355"/>
    <m/>
    <n v="39"/>
    <s v="month"/>
    <s v="Yes"/>
    <d v="2023-09-30T00:00:00"/>
    <n v="1"/>
    <x v="1"/>
    <x v="0"/>
  </r>
  <r>
    <n v="214924190"/>
    <x v="355"/>
    <m/>
    <n v="39"/>
    <s v="month"/>
    <s v="Yes"/>
    <d v="2023-09-30T00:00:00"/>
    <n v="1"/>
    <x v="1"/>
    <x v="0"/>
  </r>
  <r>
    <n v="117300170"/>
    <x v="355"/>
    <m/>
    <n v="39"/>
    <s v="month"/>
    <s v="Yes"/>
    <d v="2023-09-30T00:00:00"/>
    <n v="1"/>
    <x v="1"/>
    <x v="0"/>
  </r>
  <r>
    <n v="162913792"/>
    <x v="355"/>
    <m/>
    <n v="39"/>
    <s v="month"/>
    <s v="Yes"/>
    <d v="2023-09-30T00:00:00"/>
    <n v="1"/>
    <x v="1"/>
    <x v="0"/>
  </r>
  <r>
    <n v="220551506"/>
    <x v="355"/>
    <m/>
    <n v="39"/>
    <s v="month"/>
    <s v="Yes"/>
    <d v="2023-09-30T00:00:00"/>
    <n v="1"/>
    <x v="1"/>
    <x v="0"/>
  </r>
  <r>
    <n v="161187523"/>
    <x v="355"/>
    <m/>
    <n v="39"/>
    <s v="month"/>
    <s v="Yes"/>
    <d v="2023-09-30T00:00:00"/>
    <n v="1"/>
    <x v="1"/>
    <x v="0"/>
  </r>
  <r>
    <n v="220562110"/>
    <x v="355"/>
    <d v="2023-08-26T00:00:00"/>
    <n v="39"/>
    <s v="month"/>
    <s v="No"/>
    <d v="2023-08-26T00:00:00"/>
    <n v="0"/>
    <x v="1"/>
    <x v="1"/>
  </r>
  <r>
    <n v="220589305"/>
    <x v="356"/>
    <m/>
    <n v="39"/>
    <s v="month"/>
    <s v="Yes"/>
    <d v="2023-09-30T00:00:00"/>
    <n v="1"/>
    <x v="1"/>
    <x v="0"/>
  </r>
  <r>
    <n v="220496139"/>
    <x v="356"/>
    <m/>
    <n v="39"/>
    <s v="month"/>
    <s v="Yes"/>
    <d v="2023-09-30T00:00:00"/>
    <n v="1"/>
    <x v="1"/>
    <x v="0"/>
  </r>
  <r>
    <n v="219211334"/>
    <x v="356"/>
    <m/>
    <n v="39"/>
    <s v="month"/>
    <s v="Yes"/>
    <d v="2023-09-30T00:00:00"/>
    <n v="1"/>
    <x v="1"/>
    <x v="0"/>
  </r>
  <r>
    <n v="220582817"/>
    <x v="356"/>
    <m/>
    <n v="39"/>
    <s v="month"/>
    <s v="Yes"/>
    <d v="2023-09-30T00:00:00"/>
    <n v="1"/>
    <x v="1"/>
    <x v="0"/>
  </r>
  <r>
    <n v="217513777"/>
    <x v="356"/>
    <d v="2023-08-28T00:00:00"/>
    <n v="39"/>
    <s v="month"/>
    <s v="Yes"/>
    <d v="2023-08-28T00:00:00"/>
    <n v="0"/>
    <x v="1"/>
    <x v="1"/>
  </r>
  <r>
    <n v="220576148"/>
    <x v="356"/>
    <d v="2023-09-05T00:00:00"/>
    <n v="39"/>
    <s v="month"/>
    <s v="Yes"/>
    <d v="2023-09-05T00:00:00"/>
    <n v="1"/>
    <x v="1"/>
    <x v="0"/>
  </r>
  <r>
    <n v="219294264"/>
    <x v="357"/>
    <m/>
    <n v="39"/>
    <s v="month"/>
    <s v="Yes"/>
    <d v="2023-09-30T00:00:00"/>
    <n v="1"/>
    <x v="1"/>
    <x v="0"/>
  </r>
  <r>
    <n v="220617197"/>
    <x v="357"/>
    <m/>
    <n v="39"/>
    <s v="month"/>
    <s v="Yes"/>
    <d v="2023-09-30T00:00:00"/>
    <n v="1"/>
    <x v="1"/>
    <x v="0"/>
  </r>
  <r>
    <n v="220227691"/>
    <x v="357"/>
    <m/>
    <n v="39"/>
    <s v="month"/>
    <s v="Yes"/>
    <d v="2023-09-30T00:00:00"/>
    <n v="1"/>
    <x v="1"/>
    <x v="0"/>
  </r>
  <r>
    <n v="220672607"/>
    <x v="358"/>
    <m/>
    <n v="39"/>
    <s v="month"/>
    <s v="Yes"/>
    <d v="2023-09-30T00:00:00"/>
    <n v="1"/>
    <x v="1"/>
    <x v="0"/>
  </r>
  <r>
    <n v="218608353"/>
    <x v="358"/>
    <m/>
    <n v="39"/>
    <s v="month"/>
    <s v="Yes"/>
    <d v="2023-09-30T00:00:00"/>
    <n v="1"/>
    <x v="1"/>
    <x v="0"/>
  </r>
  <r>
    <n v="135128238"/>
    <x v="358"/>
    <m/>
    <n v="39"/>
    <s v="month"/>
    <s v="Yes"/>
    <d v="2023-09-30T00:00:00"/>
    <n v="1"/>
    <x v="1"/>
    <x v="0"/>
  </r>
  <r>
    <n v="220285147"/>
    <x v="358"/>
    <m/>
    <n v="39"/>
    <s v="month"/>
    <s v="Yes"/>
    <d v="2023-09-30T00:00:00"/>
    <n v="1"/>
    <x v="1"/>
    <x v="0"/>
  </r>
  <r>
    <n v="218645057"/>
    <x v="358"/>
    <m/>
    <n v="39"/>
    <s v="month"/>
    <s v="Yes"/>
    <d v="2023-09-30T00:00:00"/>
    <n v="1"/>
    <x v="1"/>
    <x v="0"/>
  </r>
  <r>
    <n v="128199550"/>
    <x v="358"/>
    <d v="2023-08-31T00:00:00"/>
    <n v="39"/>
    <s v="month"/>
    <s v="Yes"/>
    <d v="2023-08-31T00:00:00"/>
    <n v="0"/>
    <x v="1"/>
    <x v="1"/>
  </r>
  <r>
    <n v="220747618"/>
    <x v="359"/>
    <m/>
    <n v="39"/>
    <s v="month"/>
    <s v="Yes"/>
    <d v="2023-09-30T00:00:00"/>
    <n v="1"/>
    <x v="1"/>
    <x v="0"/>
  </r>
  <r>
    <n v="207386830"/>
    <x v="359"/>
    <m/>
    <n v="39"/>
    <s v="month"/>
    <s v="Yes"/>
    <d v="2023-09-30T00:00:00"/>
    <n v="1"/>
    <x v="1"/>
    <x v="0"/>
  </r>
  <r>
    <n v="205109812"/>
    <x v="359"/>
    <m/>
    <n v="39"/>
    <s v="month"/>
    <s v="Yes"/>
    <d v="2023-09-30T00:00:00"/>
    <n v="1"/>
    <x v="1"/>
    <x v="0"/>
  </r>
  <r>
    <n v="132318451"/>
    <x v="359"/>
    <m/>
    <n v="39"/>
    <s v="month"/>
    <s v="Yes"/>
    <d v="2023-09-30T00:00:00"/>
    <n v="1"/>
    <x v="1"/>
    <x v="0"/>
  </r>
  <r>
    <n v="218596318"/>
    <x v="359"/>
    <m/>
    <n v="39"/>
    <s v="month"/>
    <s v="Yes"/>
    <d v="2023-09-30T00:00:00"/>
    <n v="1"/>
    <x v="1"/>
    <x v="0"/>
  </r>
  <r>
    <n v="220699520"/>
    <x v="359"/>
    <m/>
    <n v="39"/>
    <s v="month"/>
    <s v="Yes"/>
    <d v="2023-09-30T00:00:00"/>
    <n v="1"/>
    <x v="1"/>
    <x v="0"/>
  </r>
  <r>
    <n v="218307579"/>
    <x v="359"/>
    <m/>
    <n v="39"/>
    <s v="month"/>
    <s v="Yes"/>
    <d v="2023-09-30T00:00:00"/>
    <n v="1"/>
    <x v="1"/>
    <x v="0"/>
  </r>
  <r>
    <n v="218514844"/>
    <x v="360"/>
    <m/>
    <n v="39"/>
    <s v="month"/>
    <s v="Yes"/>
    <d v="2023-09-30T00:00:00"/>
    <n v="1"/>
    <x v="1"/>
    <x v="0"/>
  </r>
  <r>
    <n v="188622328"/>
    <x v="360"/>
    <m/>
    <n v="39"/>
    <s v="month"/>
    <s v="Yes"/>
    <d v="2023-09-30T00:00:00"/>
    <n v="1"/>
    <x v="1"/>
    <x v="0"/>
  </r>
  <r>
    <n v="220790640"/>
    <x v="360"/>
    <m/>
    <n v="39"/>
    <s v="month"/>
    <s v="Yes"/>
    <d v="2023-09-30T00:00:00"/>
    <n v="1"/>
    <x v="1"/>
    <x v="0"/>
  </r>
  <r>
    <n v="220675005"/>
    <x v="360"/>
    <m/>
    <n v="39"/>
    <s v="month"/>
    <s v="Yes"/>
    <d v="2023-09-30T00:00:00"/>
    <n v="1"/>
    <x v="1"/>
    <x v="0"/>
  </r>
  <r>
    <n v="142757196"/>
    <x v="360"/>
    <m/>
    <n v="39"/>
    <s v="month"/>
    <s v="Yes"/>
    <d v="2023-09-30T00:00:00"/>
    <n v="1"/>
    <x v="1"/>
    <x v="0"/>
  </r>
  <r>
    <n v="220411940"/>
    <x v="360"/>
    <m/>
    <n v="39"/>
    <s v="month"/>
    <s v="Yes"/>
    <d v="2023-09-30T00:00:00"/>
    <n v="1"/>
    <x v="1"/>
    <x v="0"/>
  </r>
  <r>
    <n v="155613371"/>
    <x v="360"/>
    <m/>
    <n v="39"/>
    <s v="month"/>
    <s v="Yes"/>
    <d v="2023-09-30T00:00:00"/>
    <n v="1"/>
    <x v="1"/>
    <x v="0"/>
  </r>
  <r>
    <n v="164548755"/>
    <x v="360"/>
    <m/>
    <n v="39"/>
    <s v="month"/>
    <s v="Yes"/>
    <d v="2023-09-30T00:00:00"/>
    <n v="1"/>
    <x v="1"/>
    <x v="0"/>
  </r>
  <r>
    <n v="220546810"/>
    <x v="360"/>
    <m/>
    <n v="39"/>
    <s v="month"/>
    <s v="Yes"/>
    <d v="2023-09-30T00:00:00"/>
    <n v="1"/>
    <x v="1"/>
    <x v="0"/>
  </r>
  <r>
    <n v="215202566"/>
    <x v="360"/>
    <d v="2023-08-30T00:00:00"/>
    <n v="39"/>
    <s v="month"/>
    <s v="Yes"/>
    <d v="2023-08-30T00:00:00"/>
    <n v="0"/>
    <x v="1"/>
    <x v="1"/>
  </r>
  <r>
    <n v="135092264"/>
    <x v="361"/>
    <m/>
    <n v="39"/>
    <s v="month"/>
    <s v="Yes"/>
    <d v="2023-09-30T00:00:00"/>
    <n v="1"/>
    <x v="1"/>
    <x v="0"/>
  </r>
  <r>
    <n v="220854418"/>
    <x v="361"/>
    <m/>
    <n v="39"/>
    <s v="month"/>
    <s v="Yes"/>
    <d v="2023-09-30T00:00:00"/>
    <n v="1"/>
    <x v="1"/>
    <x v="0"/>
  </r>
  <r>
    <n v="220851140"/>
    <x v="361"/>
    <m/>
    <n v="39"/>
    <s v="month"/>
    <s v="Yes"/>
    <d v="2023-09-30T00:00:00"/>
    <n v="1"/>
    <x v="1"/>
    <x v="0"/>
  </r>
  <r>
    <n v="220843911"/>
    <x v="361"/>
    <m/>
    <n v="39"/>
    <s v="month"/>
    <s v="Yes"/>
    <d v="2023-09-30T00:00:00"/>
    <n v="1"/>
    <x v="1"/>
    <x v="0"/>
  </r>
  <r>
    <n v="216137022"/>
    <x v="361"/>
    <m/>
    <n v="39"/>
    <s v="month"/>
    <s v="Yes"/>
    <d v="2023-09-30T00:00:00"/>
    <n v="1"/>
    <x v="1"/>
    <x v="0"/>
  </r>
  <r>
    <n v="161151062"/>
    <x v="361"/>
    <m/>
    <n v="39"/>
    <s v="month"/>
    <s v="Yes"/>
    <d v="2023-09-30T00:00:00"/>
    <n v="1"/>
    <x v="1"/>
    <x v="0"/>
  </r>
  <r>
    <n v="148085880"/>
    <x v="361"/>
    <m/>
    <n v="39"/>
    <s v="month"/>
    <s v="Yes"/>
    <d v="2023-09-30T00:00:00"/>
    <n v="1"/>
    <x v="1"/>
    <x v="0"/>
  </r>
  <r>
    <n v="182061738"/>
    <x v="362"/>
    <m/>
    <n v="39"/>
    <s v="month"/>
    <s v="Yes"/>
    <d v="2023-09-30T00:00:00"/>
    <n v="0"/>
    <x v="1"/>
    <x v="1"/>
  </r>
  <r>
    <n v="220860582"/>
    <x v="362"/>
    <m/>
    <n v="39"/>
    <s v="month"/>
    <s v="Yes"/>
    <d v="2023-09-30T00:00:00"/>
    <n v="0"/>
    <x v="1"/>
    <x v="1"/>
  </r>
  <r>
    <n v="218315334"/>
    <x v="362"/>
    <m/>
    <n v="39"/>
    <s v="month"/>
    <s v="Yes"/>
    <d v="2023-09-30T00:00:00"/>
    <n v="0"/>
    <x v="1"/>
    <x v="1"/>
  </r>
  <r>
    <n v="217246008"/>
    <x v="362"/>
    <m/>
    <n v="39"/>
    <s v="month"/>
    <s v="Yes"/>
    <d v="2023-09-30T00:00:00"/>
    <n v="0"/>
    <x v="1"/>
    <x v="1"/>
  </r>
  <r>
    <n v="220835326"/>
    <x v="362"/>
    <m/>
    <n v="39"/>
    <s v="month"/>
    <s v="Yes"/>
    <d v="2023-09-30T00:00:00"/>
    <n v="0"/>
    <x v="1"/>
    <x v="1"/>
  </r>
  <r>
    <n v="219470485"/>
    <x v="362"/>
    <m/>
    <n v="39"/>
    <s v="month"/>
    <s v="Yes"/>
    <d v="2023-09-30T00:00:00"/>
    <n v="0"/>
    <x v="1"/>
    <x v="1"/>
  </r>
  <r>
    <n v="182153913"/>
    <x v="363"/>
    <m/>
    <n v="39"/>
    <s v="month"/>
    <s v="Yes"/>
    <d v="2023-09-30T00:00:00"/>
    <n v="0"/>
    <x v="1"/>
    <x v="1"/>
  </r>
  <r>
    <n v="217223132"/>
    <x v="363"/>
    <m/>
    <n v="39"/>
    <s v="month"/>
    <s v="Yes"/>
    <d v="2023-09-30T00:00:00"/>
    <n v="0"/>
    <x v="1"/>
    <x v="1"/>
  </r>
  <r>
    <n v="219643599"/>
    <x v="363"/>
    <m/>
    <n v="39"/>
    <s v="month"/>
    <s v="Yes"/>
    <d v="2023-09-30T00:00:00"/>
    <n v="0"/>
    <x v="1"/>
    <x v="1"/>
  </r>
  <r>
    <n v="152851458"/>
    <x v="363"/>
    <m/>
    <n v="39"/>
    <s v="month"/>
    <s v="Yes"/>
    <d v="2023-09-30T00:00:00"/>
    <n v="0"/>
    <x v="1"/>
    <x v="1"/>
  </r>
  <r>
    <n v="219657672"/>
    <x v="363"/>
    <m/>
    <n v="39"/>
    <s v="month"/>
    <s v="Yes"/>
    <d v="2023-09-30T00:00:00"/>
    <n v="0"/>
    <x v="1"/>
    <x v="1"/>
  </r>
  <r>
    <n v="220973656"/>
    <x v="364"/>
    <m/>
    <n v="39"/>
    <s v="month"/>
    <s v="Yes"/>
    <d v="2023-09-30T00:00:00"/>
    <n v="0"/>
    <x v="1"/>
    <x v="1"/>
  </r>
  <r>
    <n v="159717680"/>
    <x v="364"/>
    <m/>
    <n v="39"/>
    <s v="month"/>
    <s v="Yes"/>
    <d v="2023-09-30T00:00:00"/>
    <n v="0"/>
    <x v="1"/>
    <x v="1"/>
  </r>
  <r>
    <n v="220420126"/>
    <x v="364"/>
    <m/>
    <n v="39"/>
    <s v="month"/>
    <s v="Yes"/>
    <d v="2023-09-30T00:00:00"/>
    <n v="0"/>
    <x v="1"/>
    <x v="1"/>
  </r>
  <r>
    <n v="220965750"/>
    <x v="364"/>
    <m/>
    <n v="39"/>
    <s v="month"/>
    <s v="Yes"/>
    <d v="2023-09-30T00:00:00"/>
    <n v="0"/>
    <x v="1"/>
    <x v="1"/>
  </r>
  <r>
    <n v="219065931"/>
    <x v="364"/>
    <m/>
    <n v="39"/>
    <s v="month"/>
    <s v="Yes"/>
    <d v="2023-09-30T00:00:00"/>
    <n v="0"/>
    <x v="1"/>
    <x v="1"/>
  </r>
  <r>
    <n v="220707034"/>
    <x v="364"/>
    <m/>
    <n v="39"/>
    <s v="month"/>
    <s v="Yes"/>
    <d v="2023-09-30T00:00:00"/>
    <n v="0"/>
    <x v="1"/>
    <x v="1"/>
  </r>
  <r>
    <n v="220875396"/>
    <x v="364"/>
    <m/>
    <n v="39"/>
    <s v="month"/>
    <s v="Yes"/>
    <d v="2023-09-30T00:00:00"/>
    <n v="0"/>
    <x v="1"/>
    <x v="1"/>
  </r>
  <r>
    <n v="134054676"/>
    <x v="364"/>
    <d v="2023-09-05T00:00:00"/>
    <n v="39"/>
    <s v="month"/>
    <s v="Yes"/>
    <d v="2023-09-05T00:00:00"/>
    <n v="0"/>
    <x v="1"/>
    <x v="1"/>
  </r>
  <r>
    <n v="183702574"/>
    <x v="364"/>
    <d v="2023-09-03T00:00:00"/>
    <n v="39"/>
    <s v="month"/>
    <s v="Yes"/>
    <d v="2023-09-03T00:00:00"/>
    <n v="0"/>
    <x v="1"/>
    <x v="1"/>
  </r>
  <r>
    <n v="220997288"/>
    <x v="365"/>
    <m/>
    <n v="39"/>
    <s v="month"/>
    <s v="Yes"/>
    <d v="2023-09-30T00:00:00"/>
    <n v="0"/>
    <x v="1"/>
    <x v="1"/>
  </r>
  <r>
    <n v="218617631"/>
    <x v="365"/>
    <m/>
    <n v="39"/>
    <s v="month"/>
    <s v="Yes"/>
    <d v="2023-09-30T00:00:00"/>
    <n v="0"/>
    <x v="1"/>
    <x v="1"/>
  </r>
  <r>
    <n v="220952702"/>
    <x v="365"/>
    <m/>
    <n v="39"/>
    <s v="month"/>
    <s v="Yes"/>
    <d v="2023-09-30T00:00:00"/>
    <n v="0"/>
    <x v="1"/>
    <x v="1"/>
  </r>
  <r>
    <n v="156460574"/>
    <x v="365"/>
    <m/>
    <n v="39"/>
    <s v="month"/>
    <s v="Yes"/>
    <d v="2023-09-30T00:00:00"/>
    <n v="0"/>
    <x v="1"/>
    <x v="1"/>
  </r>
  <r>
    <n v="221012872"/>
    <x v="365"/>
    <m/>
    <n v="39"/>
    <s v="month"/>
    <s v="Yes"/>
    <d v="2023-09-30T00:00:00"/>
    <n v="0"/>
    <x v="1"/>
    <x v="1"/>
  </r>
  <r>
    <n v="220845656"/>
    <x v="365"/>
    <m/>
    <n v="39"/>
    <s v="month"/>
    <s v="Yes"/>
    <d v="2023-09-30T00:00:00"/>
    <n v="0"/>
    <x v="1"/>
    <x v="1"/>
  </r>
  <r>
    <n v="220989516"/>
    <x v="365"/>
    <m/>
    <n v="39"/>
    <s v="month"/>
    <s v="Yes"/>
    <d v="2023-09-30T00:00:00"/>
    <n v="0"/>
    <x v="1"/>
    <x v="1"/>
  </r>
  <r>
    <n v="135317128"/>
    <x v="365"/>
    <m/>
    <n v="39"/>
    <s v="month"/>
    <s v="Yes"/>
    <d v="2023-09-30T00:00:00"/>
    <n v="0"/>
    <x v="1"/>
    <x v="1"/>
  </r>
  <r>
    <n v="220984730"/>
    <x v="365"/>
    <m/>
    <n v="39"/>
    <s v="month"/>
    <s v="Yes"/>
    <d v="2023-09-30T00:00:00"/>
    <n v="0"/>
    <x v="1"/>
    <x v="1"/>
  </r>
  <r>
    <n v="220984628"/>
    <x v="365"/>
    <m/>
    <n v="39"/>
    <s v="month"/>
    <s v="Yes"/>
    <d v="2023-09-30T00:00:00"/>
    <n v="0"/>
    <x v="1"/>
    <x v="1"/>
  </r>
  <r>
    <n v="220989226"/>
    <x v="365"/>
    <m/>
    <n v="39"/>
    <s v="month"/>
    <s v="Yes"/>
    <d v="2023-09-30T00:00:00"/>
    <n v="0"/>
    <x v="1"/>
    <x v="1"/>
  </r>
  <r>
    <n v="220988969"/>
    <x v="365"/>
    <m/>
    <n v="39"/>
    <s v="month"/>
    <s v="Yes"/>
    <d v="2023-09-30T00:00:00"/>
    <n v="0"/>
    <x v="1"/>
    <x v="1"/>
  </r>
  <r>
    <n v="220988022"/>
    <x v="365"/>
    <m/>
    <n v="39"/>
    <s v="month"/>
    <s v="Yes"/>
    <d v="2023-09-30T00:00:00"/>
    <n v="0"/>
    <x v="1"/>
    <x v="1"/>
  </r>
  <r>
    <n v="220984390"/>
    <x v="365"/>
    <m/>
    <n v="39"/>
    <s v="month"/>
    <s v="Yes"/>
    <d v="2023-09-30T00:00:00"/>
    <n v="0"/>
    <x v="1"/>
    <x v="1"/>
  </r>
  <r>
    <n v="181480437"/>
    <x v="365"/>
    <m/>
    <n v="39"/>
    <s v="month"/>
    <s v="Yes"/>
    <d v="2023-09-30T00:00:00"/>
    <n v="0"/>
    <x v="1"/>
    <x v="1"/>
  </r>
  <r>
    <n v="125219153"/>
    <x v="366"/>
    <m/>
    <n v="39"/>
    <s v="month"/>
    <s v="Yes"/>
    <d v="2023-09-30T00:00:00"/>
    <n v="0"/>
    <x v="1"/>
    <x v="1"/>
  </r>
  <r>
    <n v="160833652"/>
    <x v="366"/>
    <m/>
    <n v="39"/>
    <s v="month"/>
    <s v="Yes"/>
    <d v="2023-09-30T00:00:00"/>
    <n v="0"/>
    <x v="1"/>
    <x v="1"/>
  </r>
  <r>
    <n v="221073196"/>
    <x v="366"/>
    <m/>
    <n v="39"/>
    <s v="month"/>
    <s v="Yes"/>
    <d v="2023-09-30T00:00:00"/>
    <n v="0"/>
    <x v="1"/>
    <x v="1"/>
  </r>
  <r>
    <n v="153733292"/>
    <x v="366"/>
    <m/>
    <n v="39"/>
    <s v="month"/>
    <s v="Yes"/>
    <d v="2023-09-30T00:00:00"/>
    <n v="0"/>
    <x v="1"/>
    <x v="1"/>
  </r>
  <r>
    <n v="152692003"/>
    <x v="366"/>
    <m/>
    <n v="39"/>
    <s v="month"/>
    <s v="Yes"/>
    <d v="2023-09-30T00:00:00"/>
    <n v="0"/>
    <x v="1"/>
    <x v="1"/>
  </r>
  <r>
    <n v="220528931"/>
    <x v="366"/>
    <m/>
    <n v="39"/>
    <s v="month"/>
    <s v="Yes"/>
    <d v="2023-09-30T00:00:00"/>
    <n v="0"/>
    <x v="1"/>
    <x v="1"/>
  </r>
  <r>
    <n v="221052611"/>
    <x v="366"/>
    <m/>
    <n v="39"/>
    <s v="month"/>
    <s v="Yes"/>
    <d v="2023-09-30T00:00:00"/>
    <n v="0"/>
    <x v="1"/>
    <x v="1"/>
  </r>
  <r>
    <n v="220665801"/>
    <x v="366"/>
    <m/>
    <n v="39"/>
    <s v="month"/>
    <s v="Yes"/>
    <d v="2023-09-30T00:00:00"/>
    <n v="0"/>
    <x v="1"/>
    <x v="1"/>
  </r>
  <r>
    <n v="221028388"/>
    <x v="366"/>
    <m/>
    <n v="39"/>
    <s v="month"/>
    <s v="Yes"/>
    <d v="2023-09-30T00:00:00"/>
    <n v="0"/>
    <x v="1"/>
    <x v="1"/>
  </r>
  <r>
    <n v="206284545"/>
    <x v="366"/>
    <m/>
    <n v="39"/>
    <s v="month"/>
    <s v="Yes"/>
    <d v="2023-09-30T00:00:00"/>
    <n v="0"/>
    <x v="1"/>
    <x v="1"/>
  </r>
  <r>
    <n v="178531928"/>
    <x v="366"/>
    <m/>
    <n v="39"/>
    <s v="month"/>
    <s v="Yes"/>
    <d v="2023-09-30T00:00:00"/>
    <n v="0"/>
    <x v="1"/>
    <x v="1"/>
  </r>
  <r>
    <n v="220994271"/>
    <x v="366"/>
    <m/>
    <n v="39"/>
    <s v="month"/>
    <s v="Yes"/>
    <d v="2023-09-30T00:00:00"/>
    <n v="0"/>
    <x v="1"/>
    <x v="1"/>
  </r>
  <r>
    <n v="218720472"/>
    <x v="366"/>
    <m/>
    <n v="39"/>
    <s v="month"/>
    <s v="Yes"/>
    <d v="2023-09-30T00:00:00"/>
    <n v="0"/>
    <x v="1"/>
    <x v="1"/>
  </r>
  <r>
    <n v="218900441"/>
    <x v="367"/>
    <m/>
    <n v="39"/>
    <s v="month"/>
    <s v="Yes"/>
    <d v="2023-09-30T00:00:00"/>
    <n v="0"/>
    <x v="1"/>
    <x v="1"/>
  </r>
  <r>
    <n v="221123938"/>
    <x v="367"/>
    <m/>
    <n v="39"/>
    <s v="month"/>
    <s v="Yes"/>
    <d v="2023-09-30T00:00:00"/>
    <n v="0"/>
    <x v="1"/>
    <x v="1"/>
  </r>
  <r>
    <n v="166750222"/>
    <x v="367"/>
    <m/>
    <n v="39"/>
    <s v="month"/>
    <s v="Yes"/>
    <d v="2023-09-30T00:00:00"/>
    <n v="0"/>
    <x v="1"/>
    <x v="1"/>
  </r>
  <r>
    <n v="154783053"/>
    <x v="367"/>
    <m/>
    <n v="39"/>
    <s v="month"/>
    <s v="Yes"/>
    <d v="2023-09-30T00:00:00"/>
    <n v="0"/>
    <x v="1"/>
    <x v="1"/>
  </r>
  <r>
    <n v="221100604"/>
    <x v="367"/>
    <m/>
    <n v="39"/>
    <s v="month"/>
    <s v="Yes"/>
    <d v="2023-09-30T00:00:00"/>
    <n v="0"/>
    <x v="1"/>
    <x v="1"/>
  </r>
  <r>
    <n v="220703723"/>
    <x v="367"/>
    <m/>
    <n v="39"/>
    <s v="month"/>
    <s v="Yes"/>
    <d v="2023-09-30T00:00:00"/>
    <n v="0"/>
    <x v="1"/>
    <x v="1"/>
  </r>
  <r>
    <n v="220815627"/>
    <x v="367"/>
    <m/>
    <n v="39"/>
    <s v="month"/>
    <s v="Yes"/>
    <d v="2023-09-30T00:00:00"/>
    <n v="0"/>
    <x v="1"/>
    <x v="1"/>
  </r>
  <r>
    <n v="214764106"/>
    <x v="367"/>
    <m/>
    <n v="39"/>
    <s v="month"/>
    <s v="Yes"/>
    <d v="2023-09-30T00:00:00"/>
    <n v="0"/>
    <x v="1"/>
    <x v="1"/>
  </r>
  <r>
    <n v="158763940"/>
    <x v="368"/>
    <m/>
    <n v="39"/>
    <s v="month"/>
    <s v="Yes"/>
    <d v="2023-09-30T00:00:00"/>
    <n v="0"/>
    <x v="1"/>
    <x v="1"/>
  </r>
  <r>
    <n v="220065316"/>
    <x v="368"/>
    <m/>
    <n v="39"/>
    <s v="month"/>
    <s v="Yes"/>
    <d v="2023-09-30T00:00:00"/>
    <n v="0"/>
    <x v="1"/>
    <x v="1"/>
  </r>
  <r>
    <n v="217662862"/>
    <x v="368"/>
    <m/>
    <n v="39"/>
    <s v="month"/>
    <s v="Yes"/>
    <d v="2023-09-30T00:00:00"/>
    <n v="0"/>
    <x v="1"/>
    <x v="1"/>
  </r>
  <r>
    <n v="220328388"/>
    <x v="368"/>
    <m/>
    <n v="39"/>
    <s v="month"/>
    <s v="Yes"/>
    <d v="2023-09-30T00:00:00"/>
    <n v="0"/>
    <x v="1"/>
    <x v="1"/>
  </r>
  <r>
    <n v="219521019"/>
    <x v="368"/>
    <m/>
    <n v="39"/>
    <s v="month"/>
    <s v="Yes"/>
    <d v="2023-09-30T00:00:00"/>
    <n v="0"/>
    <x v="1"/>
    <x v="1"/>
  </r>
  <r>
    <n v="221145374"/>
    <x v="368"/>
    <m/>
    <n v="39"/>
    <s v="month"/>
    <s v="Yes"/>
    <d v="2023-09-30T00:00:00"/>
    <n v="0"/>
    <x v="1"/>
    <x v="1"/>
  </r>
  <r>
    <n v="221130434"/>
    <x v="368"/>
    <m/>
    <n v="39"/>
    <s v="month"/>
    <s v="Yes"/>
    <d v="2023-09-30T00:00:00"/>
    <n v="0"/>
    <x v="1"/>
    <x v="1"/>
  </r>
  <r>
    <n v="221189604"/>
    <x v="369"/>
    <m/>
    <n v="39"/>
    <s v="month"/>
    <s v="Yes"/>
    <d v="2023-09-30T00:00:00"/>
    <n v="0"/>
    <x v="1"/>
    <x v="1"/>
  </r>
  <r>
    <n v="215174643"/>
    <x v="369"/>
    <m/>
    <n v="39"/>
    <s v="month"/>
    <s v="Yes"/>
    <d v="2023-09-30T00:00:00"/>
    <n v="0"/>
    <x v="1"/>
    <x v="1"/>
  </r>
  <r>
    <n v="188354637"/>
    <x v="369"/>
    <m/>
    <n v="39"/>
    <s v="month"/>
    <s v="Yes"/>
    <d v="2023-09-30T00:00:00"/>
    <n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B464B-D7E9-4AAF-8B69-1F97556A59DE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22:L38" firstHeaderRow="1" firstDataRow="1" firstDataCol="1"/>
  <pivotFields count="13">
    <pivotField showAll="0"/>
    <pivotField numFmtId="14" showAll="0">
      <items count="3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dataField="1" showAll="0">
      <items count="3">
        <item x="1"/>
        <item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2"/>
    <field x="10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Average of retained_month" fld="9" subtotal="average" baseField="12" baseItem="1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2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32AF-18F5-42CB-AFB6-A7ABEF1F6F75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5:B28" firstHeaderRow="1" firstDataRow="1" firstDataCol="1"/>
  <pivotFields count="13">
    <pivotField showAll="0"/>
    <pivotField numFmtId="14" showAll="0">
      <items count="3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showAll="0"/>
    <pivotField showAll="0"/>
    <pivotField showAll="0"/>
    <pivotField showAll="0"/>
    <pivotField numFmtId="14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is_5_months" fld="8" subtotal="count" showDataAs="percentOfTotal" baseField="8" baseItem="0" numFmtId="17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4796F-3F5B-4AB0-AAAC-FB8950D444F3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3:L19" firstHeaderRow="1" firstDataRow="1" firstDataCol="1"/>
  <pivotFields count="13">
    <pivotField dataField="1" showAll="0"/>
    <pivotField numFmtId="14" showAll="0">
      <items count="3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2"/>
    <field x="10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customer_id" fld="0" subtotal="count" baseField="11" baseItem="1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E6F72-C18A-4550-9DC3-FB9B747554F6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9" firstHeaderRow="1" firstDataRow="1" firstDataCol="1"/>
  <pivotFields count="13">
    <pivotField dataField="1" showAll="0"/>
    <pivotField numFmtId="14" showAll="0">
      <items count="3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2"/>
    <field x="10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customer_id" fld="0" subtotal="count" baseField="11" baseItem="1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66285-241C-491B-B728-C2E28005826E}" name="Table1" displayName="Table1" ref="A1:J3070" totalsRowShown="0">
  <autoFilter ref="A1:J3070" xr:uid="{92266285-241C-491B-B728-C2E28005826E}"/>
  <tableColumns count="10">
    <tableColumn id="1" xr3:uid="{8B9CD289-4D29-4F6F-B446-9039FF8FE8A9}" name="customer_id"/>
    <tableColumn id="2" xr3:uid="{520DC96F-5917-4DE6-8748-3E3500F545AE}" name="created_date" dataDxfId="2"/>
    <tableColumn id="3" xr3:uid="{96336E78-AB08-455B-8012-EBFBFBEB4945}" name="canceled_date"/>
    <tableColumn id="4" xr3:uid="{B1708574-C3F2-4B22-A509-8BEB69CADC9C}" name="subscription_cost"/>
    <tableColumn id="5" xr3:uid="{CA98E994-0FF8-4EA6-AFCB-B54326F2A6BE}" name="subscription_interval"/>
    <tableColumn id="6" xr3:uid="{E8A1EAAC-586A-4622-9728-842DE17FBBD7}" name="was_subscription_paid"/>
    <tableColumn id="7" xr3:uid="{62679759-2928-490C-80CD-103A2804D491}" name="r_canceled_date" dataDxfId="1">
      <calculatedColumnFormula>IF(ISBLANK(C2), DATE(2023,9,30), C2)</calculatedColumnFormula>
    </tableColumn>
    <tableColumn id="8" xr3:uid="{C81D8DD1-6D6C-46E6-885B-FC3DB7DC48F3}" name="Active_months">
      <calculatedColumnFormula>(YEAR(G2)-YEAR(B2))*12 + (MONTH(G2)-MONTH(B2))</calculatedColumnFormula>
    </tableColumn>
    <tableColumn id="9" xr3:uid="{7CF0747A-4EB5-40D0-AD94-596E3A6B0CDE}" name="is_5_months">
      <calculatedColumnFormula>IF(H2 &gt;=5, 1, 0)</calculatedColumnFormula>
    </tableColumn>
    <tableColumn id="10" xr3:uid="{BF26AACA-D0DB-4C19-A31D-547BB26E2B2C}" name="retained_month" dataDxfId="0">
      <calculatedColumnFormula>IF(Table1[[#This Row],[Active_months]]&gt;=1,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812252-53E4-4C31-8A26-5101390DAB0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b8d7f52-fb8d-4eb4-942d-b8dd9d47dd2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AA28-3DD1-4208-B785-852E06C0D147}">
  <dimension ref="A1:F3070"/>
  <sheetViews>
    <sheetView workbookViewId="0">
      <selection activeCell="F3" sqref="A1:F3070"/>
    </sheetView>
  </sheetViews>
  <sheetFormatPr defaultRowHeight="14.4" x14ac:dyDescent="0.3"/>
  <cols>
    <col min="1" max="1" width="10.88671875" bestFit="1" customWidth="1"/>
    <col min="2" max="2" width="11.5546875" bestFit="1" customWidth="1"/>
    <col min="3" max="3" width="12.77734375" bestFit="1" customWidth="1"/>
    <col min="4" max="4" width="15.21875" bestFit="1" customWidth="1"/>
    <col min="5" max="5" width="17.77734375" bestFit="1" customWidth="1"/>
    <col min="6" max="6" width="1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154536156</v>
      </c>
      <c r="B2" s="1">
        <v>44805</v>
      </c>
      <c r="D2">
        <v>39</v>
      </c>
      <c r="E2" t="s">
        <v>6</v>
      </c>
      <c r="F2" t="s">
        <v>7</v>
      </c>
    </row>
    <row r="3" spans="1:6" x14ac:dyDescent="0.3">
      <c r="A3">
        <v>149713408</v>
      </c>
      <c r="B3" s="1">
        <v>44805</v>
      </c>
      <c r="C3" s="1">
        <v>44806</v>
      </c>
      <c r="D3">
        <v>39</v>
      </c>
      <c r="E3" t="s">
        <v>6</v>
      </c>
      <c r="F3" t="s">
        <v>8</v>
      </c>
    </row>
    <row r="4" spans="1:6" x14ac:dyDescent="0.3">
      <c r="A4">
        <v>153756284</v>
      </c>
      <c r="B4" s="1">
        <v>44805</v>
      </c>
      <c r="C4" s="1">
        <v>44806</v>
      </c>
      <c r="D4">
        <v>39</v>
      </c>
      <c r="E4" t="s">
        <v>6</v>
      </c>
      <c r="F4" t="s">
        <v>8</v>
      </c>
    </row>
    <row r="5" spans="1:6" x14ac:dyDescent="0.3">
      <c r="A5">
        <v>121253113</v>
      </c>
      <c r="B5" s="1">
        <v>44805</v>
      </c>
      <c r="C5" s="1">
        <v>44827</v>
      </c>
      <c r="D5">
        <v>39</v>
      </c>
      <c r="E5" t="s">
        <v>6</v>
      </c>
      <c r="F5" t="s">
        <v>7</v>
      </c>
    </row>
    <row r="6" spans="1:6" x14ac:dyDescent="0.3">
      <c r="A6">
        <v>154467210</v>
      </c>
      <c r="B6" s="1">
        <v>44805</v>
      </c>
      <c r="C6" s="1">
        <v>45106</v>
      </c>
      <c r="D6">
        <v>39</v>
      </c>
      <c r="E6" t="s">
        <v>6</v>
      </c>
      <c r="F6" t="s">
        <v>7</v>
      </c>
    </row>
    <row r="7" spans="1:6" x14ac:dyDescent="0.3">
      <c r="A7">
        <v>154510811</v>
      </c>
      <c r="B7" s="1">
        <v>44805</v>
      </c>
      <c r="C7" s="1">
        <v>45054</v>
      </c>
      <c r="D7">
        <v>39</v>
      </c>
      <c r="E7" t="s">
        <v>6</v>
      </c>
      <c r="F7" t="s">
        <v>7</v>
      </c>
    </row>
    <row r="8" spans="1:6" x14ac:dyDescent="0.3">
      <c r="A8">
        <v>154494346</v>
      </c>
      <c r="B8" s="1">
        <v>44805</v>
      </c>
      <c r="C8" s="1">
        <v>44891</v>
      </c>
      <c r="D8">
        <v>39</v>
      </c>
      <c r="E8" t="s">
        <v>6</v>
      </c>
      <c r="F8" t="s">
        <v>7</v>
      </c>
    </row>
    <row r="9" spans="1:6" x14ac:dyDescent="0.3">
      <c r="A9">
        <v>148671505</v>
      </c>
      <c r="B9" s="1">
        <v>44805</v>
      </c>
      <c r="C9" s="1">
        <v>44888</v>
      </c>
      <c r="D9">
        <v>39</v>
      </c>
      <c r="E9" t="s">
        <v>6</v>
      </c>
      <c r="F9" t="s">
        <v>7</v>
      </c>
    </row>
    <row r="10" spans="1:6" x14ac:dyDescent="0.3">
      <c r="A10">
        <v>154568379</v>
      </c>
      <c r="B10" s="1">
        <v>44805</v>
      </c>
      <c r="C10" s="1">
        <v>44859</v>
      </c>
      <c r="D10">
        <v>39</v>
      </c>
      <c r="E10" t="s">
        <v>6</v>
      </c>
      <c r="F10" t="s">
        <v>7</v>
      </c>
    </row>
    <row r="11" spans="1:6" x14ac:dyDescent="0.3">
      <c r="A11">
        <v>154428434</v>
      </c>
      <c r="B11" s="1">
        <v>44805</v>
      </c>
      <c r="C11" s="1">
        <v>44865</v>
      </c>
      <c r="D11">
        <v>39</v>
      </c>
      <c r="E11" t="s">
        <v>6</v>
      </c>
      <c r="F11" t="s">
        <v>7</v>
      </c>
    </row>
    <row r="12" spans="1:6" x14ac:dyDescent="0.3">
      <c r="A12">
        <v>154601651</v>
      </c>
      <c r="B12" s="1">
        <v>44805</v>
      </c>
      <c r="C12" s="1">
        <v>44830</v>
      </c>
      <c r="D12">
        <v>39</v>
      </c>
      <c r="E12" t="s">
        <v>6</v>
      </c>
      <c r="F12" t="s">
        <v>7</v>
      </c>
    </row>
    <row r="13" spans="1:6" x14ac:dyDescent="0.3">
      <c r="A13">
        <v>122824692</v>
      </c>
      <c r="B13" s="1">
        <v>44805</v>
      </c>
      <c r="C13" s="1">
        <v>44819</v>
      </c>
      <c r="D13">
        <v>39</v>
      </c>
      <c r="E13" t="s">
        <v>6</v>
      </c>
      <c r="F13" t="s">
        <v>7</v>
      </c>
    </row>
    <row r="14" spans="1:6" x14ac:dyDescent="0.3">
      <c r="A14">
        <v>152925600</v>
      </c>
      <c r="B14" s="1">
        <v>44806</v>
      </c>
      <c r="D14">
        <v>39</v>
      </c>
      <c r="E14" t="s">
        <v>6</v>
      </c>
      <c r="F14" t="s">
        <v>7</v>
      </c>
    </row>
    <row r="15" spans="1:6" x14ac:dyDescent="0.3">
      <c r="A15">
        <v>151154171</v>
      </c>
      <c r="B15" s="1">
        <v>44806</v>
      </c>
      <c r="C15" s="1">
        <v>44806</v>
      </c>
      <c r="D15">
        <v>39</v>
      </c>
      <c r="E15" t="s">
        <v>6</v>
      </c>
      <c r="F15" t="s">
        <v>7</v>
      </c>
    </row>
    <row r="16" spans="1:6" x14ac:dyDescent="0.3">
      <c r="A16">
        <v>154640950</v>
      </c>
      <c r="B16" s="1">
        <v>44806</v>
      </c>
      <c r="C16" s="1">
        <v>44904</v>
      </c>
      <c r="D16">
        <v>39</v>
      </c>
      <c r="E16" t="s">
        <v>6</v>
      </c>
      <c r="F16" t="s">
        <v>7</v>
      </c>
    </row>
    <row r="17" spans="1:6" x14ac:dyDescent="0.3">
      <c r="A17">
        <v>154617329</v>
      </c>
      <c r="B17" s="1">
        <v>44806</v>
      </c>
      <c r="C17" s="1">
        <v>44861</v>
      </c>
      <c r="D17">
        <v>39</v>
      </c>
      <c r="E17" t="s">
        <v>6</v>
      </c>
      <c r="F17" t="s">
        <v>7</v>
      </c>
    </row>
    <row r="18" spans="1:6" x14ac:dyDescent="0.3">
      <c r="A18">
        <v>154089211</v>
      </c>
      <c r="B18" s="1">
        <v>44806</v>
      </c>
      <c r="C18" s="1">
        <v>44843</v>
      </c>
      <c r="D18">
        <v>39</v>
      </c>
      <c r="E18" t="s">
        <v>6</v>
      </c>
      <c r="F18" t="s">
        <v>7</v>
      </c>
    </row>
    <row r="19" spans="1:6" x14ac:dyDescent="0.3">
      <c r="A19">
        <v>154653820</v>
      </c>
      <c r="B19" s="1">
        <v>44806</v>
      </c>
      <c r="C19" s="1">
        <v>44830</v>
      </c>
      <c r="D19">
        <v>39</v>
      </c>
      <c r="E19" t="s">
        <v>6</v>
      </c>
      <c r="F19" t="s">
        <v>7</v>
      </c>
    </row>
    <row r="20" spans="1:6" x14ac:dyDescent="0.3">
      <c r="A20">
        <v>154131290</v>
      </c>
      <c r="B20" s="1">
        <v>44807</v>
      </c>
      <c r="D20">
        <v>39</v>
      </c>
      <c r="E20" t="s">
        <v>6</v>
      </c>
      <c r="F20" t="s">
        <v>7</v>
      </c>
    </row>
    <row r="21" spans="1:6" x14ac:dyDescent="0.3">
      <c r="A21">
        <v>154434009</v>
      </c>
      <c r="B21" s="1">
        <v>44807</v>
      </c>
      <c r="D21">
        <v>39</v>
      </c>
      <c r="E21" t="s">
        <v>6</v>
      </c>
      <c r="F21" t="s">
        <v>7</v>
      </c>
    </row>
    <row r="22" spans="1:6" x14ac:dyDescent="0.3">
      <c r="A22">
        <v>136108848</v>
      </c>
      <c r="B22" s="1">
        <v>44807</v>
      </c>
      <c r="C22" s="1">
        <v>44808</v>
      </c>
      <c r="D22">
        <v>39</v>
      </c>
      <c r="E22" t="s">
        <v>6</v>
      </c>
      <c r="F22" t="s">
        <v>7</v>
      </c>
    </row>
    <row r="23" spans="1:6" x14ac:dyDescent="0.3">
      <c r="A23">
        <v>135185873</v>
      </c>
      <c r="B23" s="1">
        <v>44807</v>
      </c>
      <c r="C23" s="1">
        <v>45056</v>
      </c>
      <c r="D23">
        <v>39</v>
      </c>
      <c r="E23" t="s">
        <v>6</v>
      </c>
      <c r="F23" t="s">
        <v>7</v>
      </c>
    </row>
    <row r="24" spans="1:6" x14ac:dyDescent="0.3">
      <c r="A24">
        <v>154592664</v>
      </c>
      <c r="B24" s="1">
        <v>44807</v>
      </c>
      <c r="C24" s="1">
        <v>45017</v>
      </c>
      <c r="D24">
        <v>39</v>
      </c>
      <c r="E24" t="s">
        <v>6</v>
      </c>
      <c r="F24" t="s">
        <v>7</v>
      </c>
    </row>
    <row r="25" spans="1:6" x14ac:dyDescent="0.3">
      <c r="A25">
        <v>119436804</v>
      </c>
      <c r="B25" s="1">
        <v>44807</v>
      </c>
      <c r="C25" s="1">
        <v>45026</v>
      </c>
      <c r="D25">
        <v>39</v>
      </c>
      <c r="E25" t="s">
        <v>6</v>
      </c>
      <c r="F25" t="s">
        <v>7</v>
      </c>
    </row>
    <row r="26" spans="1:6" x14ac:dyDescent="0.3">
      <c r="A26">
        <v>152929657</v>
      </c>
      <c r="B26" s="1">
        <v>44807</v>
      </c>
      <c r="C26" s="1">
        <v>44888</v>
      </c>
      <c r="D26">
        <v>39</v>
      </c>
      <c r="E26" t="s">
        <v>6</v>
      </c>
      <c r="F26" t="s">
        <v>7</v>
      </c>
    </row>
    <row r="27" spans="1:6" x14ac:dyDescent="0.3">
      <c r="A27">
        <v>154708974</v>
      </c>
      <c r="B27" s="1">
        <v>44807</v>
      </c>
      <c r="C27" s="1">
        <v>44852</v>
      </c>
      <c r="D27">
        <v>39</v>
      </c>
      <c r="E27" t="s">
        <v>6</v>
      </c>
      <c r="F27" t="s">
        <v>7</v>
      </c>
    </row>
    <row r="28" spans="1:6" x14ac:dyDescent="0.3">
      <c r="A28">
        <v>154567722</v>
      </c>
      <c r="B28" s="1">
        <v>44807</v>
      </c>
      <c r="C28" s="1">
        <v>44833</v>
      </c>
      <c r="D28">
        <v>39</v>
      </c>
      <c r="E28" t="s">
        <v>6</v>
      </c>
      <c r="F28" t="s">
        <v>7</v>
      </c>
    </row>
    <row r="29" spans="1:6" x14ac:dyDescent="0.3">
      <c r="A29">
        <v>154719788</v>
      </c>
      <c r="B29" s="1">
        <v>44807</v>
      </c>
      <c r="C29" s="1">
        <v>44829</v>
      </c>
      <c r="D29">
        <v>39</v>
      </c>
      <c r="E29" t="s">
        <v>6</v>
      </c>
      <c r="F29" t="s">
        <v>7</v>
      </c>
    </row>
    <row r="30" spans="1:6" x14ac:dyDescent="0.3">
      <c r="A30">
        <v>154809306</v>
      </c>
      <c r="B30" s="1">
        <v>44808</v>
      </c>
      <c r="C30" s="1">
        <v>44809</v>
      </c>
      <c r="D30">
        <v>39</v>
      </c>
      <c r="E30" t="s">
        <v>6</v>
      </c>
      <c r="F30" t="s">
        <v>7</v>
      </c>
    </row>
    <row r="31" spans="1:6" x14ac:dyDescent="0.3">
      <c r="A31">
        <v>140391539</v>
      </c>
      <c r="B31" s="1">
        <v>44808</v>
      </c>
      <c r="C31" s="1">
        <v>45021</v>
      </c>
      <c r="D31">
        <v>39</v>
      </c>
      <c r="E31" t="s">
        <v>6</v>
      </c>
      <c r="F31" t="s">
        <v>7</v>
      </c>
    </row>
    <row r="32" spans="1:6" x14ac:dyDescent="0.3">
      <c r="A32">
        <v>153194806</v>
      </c>
      <c r="B32" s="1">
        <v>44808</v>
      </c>
      <c r="C32" s="1">
        <v>45032</v>
      </c>
      <c r="D32">
        <v>39</v>
      </c>
      <c r="E32" t="s">
        <v>6</v>
      </c>
      <c r="F32" t="s">
        <v>7</v>
      </c>
    </row>
    <row r="33" spans="1:6" x14ac:dyDescent="0.3">
      <c r="A33">
        <v>144402204</v>
      </c>
      <c r="B33" s="1">
        <v>44808</v>
      </c>
      <c r="C33" s="1">
        <v>44826</v>
      </c>
      <c r="D33">
        <v>39</v>
      </c>
      <c r="E33" t="s">
        <v>6</v>
      </c>
      <c r="F33" t="s">
        <v>7</v>
      </c>
    </row>
    <row r="34" spans="1:6" x14ac:dyDescent="0.3">
      <c r="A34">
        <v>154747678</v>
      </c>
      <c r="B34" s="1">
        <v>44808</v>
      </c>
      <c r="C34" s="1">
        <v>44941</v>
      </c>
      <c r="D34">
        <v>39</v>
      </c>
      <c r="E34" t="s">
        <v>6</v>
      </c>
      <c r="F34" t="s">
        <v>7</v>
      </c>
    </row>
    <row r="35" spans="1:6" x14ac:dyDescent="0.3">
      <c r="A35">
        <v>130939158</v>
      </c>
      <c r="B35" s="1">
        <v>44808</v>
      </c>
      <c r="C35" s="1">
        <v>44976</v>
      </c>
      <c r="D35">
        <v>39</v>
      </c>
      <c r="E35" t="s">
        <v>6</v>
      </c>
      <c r="F35" t="s">
        <v>7</v>
      </c>
    </row>
    <row r="36" spans="1:6" x14ac:dyDescent="0.3">
      <c r="A36">
        <v>150912359</v>
      </c>
      <c r="B36" s="1">
        <v>44808</v>
      </c>
      <c r="C36" s="1">
        <v>44867</v>
      </c>
      <c r="D36">
        <v>39</v>
      </c>
      <c r="E36" t="s">
        <v>6</v>
      </c>
      <c r="F36" t="s">
        <v>7</v>
      </c>
    </row>
    <row r="37" spans="1:6" x14ac:dyDescent="0.3">
      <c r="A37">
        <v>154132592</v>
      </c>
      <c r="B37" s="1">
        <v>44808</v>
      </c>
      <c r="C37" s="1">
        <v>44866</v>
      </c>
      <c r="D37">
        <v>39</v>
      </c>
      <c r="E37" t="s">
        <v>6</v>
      </c>
      <c r="F37" t="s">
        <v>7</v>
      </c>
    </row>
    <row r="38" spans="1:6" x14ac:dyDescent="0.3">
      <c r="A38">
        <v>153368891</v>
      </c>
      <c r="B38" s="1">
        <v>44808</v>
      </c>
      <c r="C38" s="1">
        <v>44845</v>
      </c>
      <c r="D38">
        <v>39</v>
      </c>
      <c r="E38" t="s">
        <v>6</v>
      </c>
      <c r="F38" t="s">
        <v>7</v>
      </c>
    </row>
    <row r="39" spans="1:6" x14ac:dyDescent="0.3">
      <c r="A39">
        <v>154225450</v>
      </c>
      <c r="B39" s="1">
        <v>44809</v>
      </c>
      <c r="D39">
        <v>39</v>
      </c>
      <c r="E39" t="s">
        <v>6</v>
      </c>
      <c r="F39" t="s">
        <v>7</v>
      </c>
    </row>
    <row r="40" spans="1:6" x14ac:dyDescent="0.3">
      <c r="A40">
        <v>154904040</v>
      </c>
      <c r="B40" s="1">
        <v>44809</v>
      </c>
      <c r="C40" s="1">
        <v>44810</v>
      </c>
      <c r="D40">
        <v>39</v>
      </c>
      <c r="E40" t="s">
        <v>6</v>
      </c>
      <c r="F40" t="s">
        <v>7</v>
      </c>
    </row>
    <row r="41" spans="1:6" x14ac:dyDescent="0.3">
      <c r="A41">
        <v>127604200</v>
      </c>
      <c r="B41" s="1">
        <v>44809</v>
      </c>
      <c r="C41" s="1">
        <v>44840</v>
      </c>
      <c r="D41">
        <v>39</v>
      </c>
      <c r="E41" t="s">
        <v>6</v>
      </c>
      <c r="F41" t="s">
        <v>7</v>
      </c>
    </row>
    <row r="42" spans="1:6" x14ac:dyDescent="0.3">
      <c r="A42">
        <v>154913576</v>
      </c>
      <c r="B42" s="1">
        <v>44809</v>
      </c>
      <c r="C42" s="1">
        <v>44998</v>
      </c>
      <c r="D42">
        <v>39</v>
      </c>
      <c r="E42" t="s">
        <v>6</v>
      </c>
      <c r="F42" t="s">
        <v>7</v>
      </c>
    </row>
    <row r="43" spans="1:6" x14ac:dyDescent="0.3">
      <c r="A43">
        <v>154910432</v>
      </c>
      <c r="B43" s="1">
        <v>44809</v>
      </c>
      <c r="C43" s="1">
        <v>44998</v>
      </c>
      <c r="D43">
        <v>39</v>
      </c>
      <c r="E43" t="s">
        <v>6</v>
      </c>
      <c r="F43" t="s">
        <v>7</v>
      </c>
    </row>
    <row r="44" spans="1:6" x14ac:dyDescent="0.3">
      <c r="A44">
        <v>154911229</v>
      </c>
      <c r="B44" s="1">
        <v>44809</v>
      </c>
      <c r="C44" s="1">
        <v>44997</v>
      </c>
      <c r="D44">
        <v>39</v>
      </c>
      <c r="E44" t="s">
        <v>6</v>
      </c>
      <c r="F44" t="s">
        <v>7</v>
      </c>
    </row>
    <row r="45" spans="1:6" x14ac:dyDescent="0.3">
      <c r="A45">
        <v>154518837</v>
      </c>
      <c r="B45" s="1">
        <v>44809</v>
      </c>
      <c r="C45" s="1">
        <v>44929</v>
      </c>
      <c r="D45">
        <v>39</v>
      </c>
      <c r="E45" t="s">
        <v>6</v>
      </c>
      <c r="F45" t="s">
        <v>7</v>
      </c>
    </row>
    <row r="46" spans="1:6" x14ac:dyDescent="0.3">
      <c r="A46">
        <v>154910009</v>
      </c>
      <c r="B46" s="1">
        <v>44809</v>
      </c>
      <c r="C46" s="1">
        <v>44965</v>
      </c>
      <c r="D46">
        <v>39</v>
      </c>
      <c r="E46" t="s">
        <v>6</v>
      </c>
      <c r="F46" t="s">
        <v>7</v>
      </c>
    </row>
    <row r="47" spans="1:6" x14ac:dyDescent="0.3">
      <c r="A47">
        <v>154911693</v>
      </c>
      <c r="B47" s="1">
        <v>44809</v>
      </c>
      <c r="C47" s="1">
        <v>44965</v>
      </c>
      <c r="D47">
        <v>39</v>
      </c>
      <c r="E47" t="s">
        <v>6</v>
      </c>
      <c r="F47" t="s">
        <v>7</v>
      </c>
    </row>
    <row r="48" spans="1:6" x14ac:dyDescent="0.3">
      <c r="A48">
        <v>154894177</v>
      </c>
      <c r="B48" s="1">
        <v>44809</v>
      </c>
      <c r="C48" s="1">
        <v>44907</v>
      </c>
      <c r="D48">
        <v>39</v>
      </c>
      <c r="E48" t="s">
        <v>6</v>
      </c>
      <c r="F48" t="s">
        <v>7</v>
      </c>
    </row>
    <row r="49" spans="1:6" x14ac:dyDescent="0.3">
      <c r="A49">
        <v>154494026</v>
      </c>
      <c r="B49" s="1">
        <v>44809</v>
      </c>
      <c r="C49" s="1">
        <v>44907</v>
      </c>
      <c r="D49">
        <v>39</v>
      </c>
      <c r="E49" t="s">
        <v>6</v>
      </c>
      <c r="F49" t="s">
        <v>7</v>
      </c>
    </row>
    <row r="50" spans="1:6" x14ac:dyDescent="0.3">
      <c r="A50">
        <v>154245189</v>
      </c>
      <c r="B50" s="1">
        <v>44809</v>
      </c>
      <c r="C50" s="1">
        <v>44891</v>
      </c>
      <c r="D50">
        <v>39</v>
      </c>
      <c r="E50" t="s">
        <v>6</v>
      </c>
      <c r="F50" t="s">
        <v>7</v>
      </c>
    </row>
    <row r="51" spans="1:6" x14ac:dyDescent="0.3">
      <c r="A51">
        <v>154604182</v>
      </c>
      <c r="B51" s="1">
        <v>44809</v>
      </c>
      <c r="C51" s="1">
        <v>44853</v>
      </c>
      <c r="D51">
        <v>39</v>
      </c>
      <c r="E51" t="s">
        <v>6</v>
      </c>
      <c r="F51" t="s">
        <v>7</v>
      </c>
    </row>
    <row r="52" spans="1:6" x14ac:dyDescent="0.3">
      <c r="A52">
        <v>154711552</v>
      </c>
      <c r="B52" s="1">
        <v>44809</v>
      </c>
      <c r="C52" s="1">
        <v>44839</v>
      </c>
      <c r="D52">
        <v>39</v>
      </c>
      <c r="E52" t="s">
        <v>6</v>
      </c>
      <c r="F52" t="s">
        <v>7</v>
      </c>
    </row>
    <row r="53" spans="1:6" x14ac:dyDescent="0.3">
      <c r="A53">
        <v>154827564</v>
      </c>
      <c r="B53" s="1">
        <v>44809</v>
      </c>
      <c r="C53" s="1">
        <v>44843</v>
      </c>
      <c r="D53">
        <v>39</v>
      </c>
      <c r="E53" t="s">
        <v>6</v>
      </c>
      <c r="F53" t="s">
        <v>7</v>
      </c>
    </row>
    <row r="54" spans="1:6" x14ac:dyDescent="0.3">
      <c r="A54">
        <v>143581543</v>
      </c>
      <c r="B54" s="1">
        <v>44809</v>
      </c>
      <c r="C54" s="1">
        <v>44846</v>
      </c>
      <c r="D54">
        <v>39</v>
      </c>
      <c r="E54" t="s">
        <v>6</v>
      </c>
      <c r="F54" t="s">
        <v>7</v>
      </c>
    </row>
    <row r="55" spans="1:6" x14ac:dyDescent="0.3">
      <c r="A55">
        <v>154867798</v>
      </c>
      <c r="B55" s="1">
        <v>44809</v>
      </c>
      <c r="C55" s="1">
        <v>44839</v>
      </c>
      <c r="D55">
        <v>39</v>
      </c>
      <c r="E55" t="s">
        <v>6</v>
      </c>
      <c r="F55" t="s">
        <v>7</v>
      </c>
    </row>
    <row r="56" spans="1:6" x14ac:dyDescent="0.3">
      <c r="A56">
        <v>154863996</v>
      </c>
      <c r="B56" s="1">
        <v>44809</v>
      </c>
      <c r="C56" s="1">
        <v>44813</v>
      </c>
      <c r="D56">
        <v>39</v>
      </c>
      <c r="E56" t="s">
        <v>6</v>
      </c>
      <c r="F56" t="s">
        <v>7</v>
      </c>
    </row>
    <row r="57" spans="1:6" x14ac:dyDescent="0.3">
      <c r="A57">
        <v>154923423</v>
      </c>
      <c r="B57" s="1">
        <v>44810</v>
      </c>
      <c r="D57">
        <v>39</v>
      </c>
      <c r="E57" t="s">
        <v>6</v>
      </c>
      <c r="F57" t="s">
        <v>7</v>
      </c>
    </row>
    <row r="58" spans="1:6" x14ac:dyDescent="0.3">
      <c r="A58">
        <v>134664128</v>
      </c>
      <c r="B58" s="1">
        <v>44810</v>
      </c>
      <c r="D58">
        <v>39</v>
      </c>
      <c r="E58" t="s">
        <v>6</v>
      </c>
      <c r="F58" t="s">
        <v>7</v>
      </c>
    </row>
    <row r="59" spans="1:6" x14ac:dyDescent="0.3">
      <c r="A59">
        <v>154828806</v>
      </c>
      <c r="B59" s="1">
        <v>44810</v>
      </c>
      <c r="C59" s="1">
        <v>44885</v>
      </c>
      <c r="D59">
        <v>39</v>
      </c>
      <c r="E59" t="s">
        <v>6</v>
      </c>
      <c r="F59" t="s">
        <v>7</v>
      </c>
    </row>
    <row r="60" spans="1:6" x14ac:dyDescent="0.3">
      <c r="A60">
        <v>154934030</v>
      </c>
      <c r="B60" s="1">
        <v>44810</v>
      </c>
      <c r="C60" s="1">
        <v>44878</v>
      </c>
      <c r="D60">
        <v>39</v>
      </c>
      <c r="E60" t="s">
        <v>6</v>
      </c>
      <c r="F60" t="s">
        <v>7</v>
      </c>
    </row>
    <row r="61" spans="1:6" x14ac:dyDescent="0.3">
      <c r="A61">
        <v>153671424</v>
      </c>
      <c r="B61" s="1">
        <v>44810</v>
      </c>
      <c r="C61" s="1">
        <v>44847</v>
      </c>
      <c r="D61">
        <v>39</v>
      </c>
      <c r="E61" t="s">
        <v>6</v>
      </c>
      <c r="F61" t="s">
        <v>7</v>
      </c>
    </row>
    <row r="62" spans="1:6" x14ac:dyDescent="0.3">
      <c r="A62">
        <v>154693818</v>
      </c>
      <c r="B62" s="1">
        <v>44810</v>
      </c>
      <c r="C62" s="1">
        <v>44847</v>
      </c>
      <c r="D62">
        <v>39</v>
      </c>
      <c r="E62" t="s">
        <v>6</v>
      </c>
      <c r="F62" t="s">
        <v>7</v>
      </c>
    </row>
    <row r="63" spans="1:6" x14ac:dyDescent="0.3">
      <c r="A63">
        <v>154110938</v>
      </c>
      <c r="B63" s="1">
        <v>44810</v>
      </c>
      <c r="C63" s="1">
        <v>44830</v>
      </c>
      <c r="D63">
        <v>39</v>
      </c>
      <c r="E63" t="s">
        <v>6</v>
      </c>
      <c r="F63" t="s">
        <v>7</v>
      </c>
    </row>
    <row r="64" spans="1:6" x14ac:dyDescent="0.3">
      <c r="A64">
        <v>154809306</v>
      </c>
      <c r="B64" s="1">
        <v>44810</v>
      </c>
      <c r="C64" s="1">
        <v>44832</v>
      </c>
      <c r="D64">
        <v>39</v>
      </c>
      <c r="E64" t="s">
        <v>6</v>
      </c>
      <c r="F64" t="s">
        <v>7</v>
      </c>
    </row>
    <row r="65" spans="1:6" x14ac:dyDescent="0.3">
      <c r="A65">
        <v>154537244</v>
      </c>
      <c r="B65" s="1">
        <v>44811</v>
      </c>
      <c r="D65">
        <v>39</v>
      </c>
      <c r="E65" t="s">
        <v>6</v>
      </c>
      <c r="F65" t="s">
        <v>7</v>
      </c>
    </row>
    <row r="66" spans="1:6" x14ac:dyDescent="0.3">
      <c r="A66">
        <v>154163218</v>
      </c>
      <c r="B66" s="1">
        <v>44811</v>
      </c>
      <c r="D66">
        <v>39</v>
      </c>
      <c r="E66" t="s">
        <v>6</v>
      </c>
      <c r="F66" t="s">
        <v>7</v>
      </c>
    </row>
    <row r="67" spans="1:6" x14ac:dyDescent="0.3">
      <c r="A67">
        <v>129467426</v>
      </c>
      <c r="B67" s="1">
        <v>44811</v>
      </c>
      <c r="C67" s="1">
        <v>45071</v>
      </c>
      <c r="D67">
        <v>39</v>
      </c>
      <c r="E67" t="s">
        <v>6</v>
      </c>
      <c r="F67" t="s">
        <v>7</v>
      </c>
    </row>
    <row r="68" spans="1:6" x14ac:dyDescent="0.3">
      <c r="A68">
        <v>152498330</v>
      </c>
      <c r="B68" s="1">
        <v>44811</v>
      </c>
      <c r="C68" s="1">
        <v>44979</v>
      </c>
      <c r="D68">
        <v>39</v>
      </c>
      <c r="E68" t="s">
        <v>6</v>
      </c>
      <c r="F68" t="s">
        <v>7</v>
      </c>
    </row>
    <row r="69" spans="1:6" x14ac:dyDescent="0.3">
      <c r="A69">
        <v>125335731</v>
      </c>
      <c r="B69" s="1">
        <v>44811</v>
      </c>
      <c r="C69" s="1">
        <v>44818</v>
      </c>
      <c r="D69">
        <v>39</v>
      </c>
      <c r="E69" t="s">
        <v>6</v>
      </c>
      <c r="F69" t="s">
        <v>7</v>
      </c>
    </row>
    <row r="70" spans="1:6" x14ac:dyDescent="0.3">
      <c r="A70">
        <v>155113805</v>
      </c>
      <c r="B70" s="1">
        <v>44812</v>
      </c>
      <c r="D70">
        <v>39</v>
      </c>
      <c r="E70" t="s">
        <v>6</v>
      </c>
      <c r="F70" t="s">
        <v>7</v>
      </c>
    </row>
    <row r="71" spans="1:6" x14ac:dyDescent="0.3">
      <c r="A71">
        <v>148864769</v>
      </c>
      <c r="B71" s="1">
        <v>44812</v>
      </c>
      <c r="C71" s="1">
        <v>44862</v>
      </c>
      <c r="D71">
        <v>39</v>
      </c>
      <c r="E71" t="s">
        <v>6</v>
      </c>
      <c r="F71" t="s">
        <v>7</v>
      </c>
    </row>
    <row r="72" spans="1:6" x14ac:dyDescent="0.3">
      <c r="A72">
        <v>123850281</v>
      </c>
      <c r="B72" s="1">
        <v>44812</v>
      </c>
      <c r="C72" s="1">
        <v>44849</v>
      </c>
      <c r="D72">
        <v>39</v>
      </c>
      <c r="E72" t="s">
        <v>6</v>
      </c>
      <c r="F72" t="s">
        <v>7</v>
      </c>
    </row>
    <row r="73" spans="1:6" x14ac:dyDescent="0.3">
      <c r="A73">
        <v>155167073</v>
      </c>
      <c r="B73" s="1">
        <v>44812</v>
      </c>
      <c r="C73" s="1">
        <v>44840</v>
      </c>
      <c r="D73">
        <v>39</v>
      </c>
      <c r="E73" t="s">
        <v>6</v>
      </c>
      <c r="F73" t="s">
        <v>7</v>
      </c>
    </row>
    <row r="74" spans="1:6" x14ac:dyDescent="0.3">
      <c r="A74">
        <v>153684891</v>
      </c>
      <c r="B74" s="1">
        <v>44812</v>
      </c>
      <c r="C74" s="1">
        <v>44813</v>
      </c>
      <c r="D74">
        <v>39</v>
      </c>
      <c r="E74" t="s">
        <v>6</v>
      </c>
      <c r="F74" t="s">
        <v>7</v>
      </c>
    </row>
    <row r="75" spans="1:6" x14ac:dyDescent="0.3">
      <c r="A75">
        <v>131277340</v>
      </c>
      <c r="B75" s="1">
        <v>44813</v>
      </c>
      <c r="C75" s="1">
        <v>44986</v>
      </c>
      <c r="D75">
        <v>39</v>
      </c>
      <c r="E75" t="s">
        <v>6</v>
      </c>
      <c r="F75" t="s">
        <v>7</v>
      </c>
    </row>
    <row r="76" spans="1:6" x14ac:dyDescent="0.3">
      <c r="A76">
        <v>152027172</v>
      </c>
      <c r="B76" s="1">
        <v>44813</v>
      </c>
      <c r="C76" s="1">
        <v>44897</v>
      </c>
      <c r="D76">
        <v>39</v>
      </c>
      <c r="E76" t="s">
        <v>6</v>
      </c>
      <c r="F76" t="s">
        <v>7</v>
      </c>
    </row>
    <row r="77" spans="1:6" x14ac:dyDescent="0.3">
      <c r="A77">
        <v>155212612</v>
      </c>
      <c r="B77" s="1">
        <v>44813</v>
      </c>
      <c r="C77" s="1">
        <v>44868</v>
      </c>
      <c r="D77">
        <v>39</v>
      </c>
      <c r="E77" t="s">
        <v>6</v>
      </c>
      <c r="F77" t="s">
        <v>7</v>
      </c>
    </row>
    <row r="78" spans="1:6" x14ac:dyDescent="0.3">
      <c r="A78">
        <v>155188498</v>
      </c>
      <c r="B78" s="1">
        <v>44813</v>
      </c>
      <c r="C78" s="1">
        <v>44843</v>
      </c>
      <c r="D78">
        <v>39</v>
      </c>
      <c r="E78" t="s">
        <v>6</v>
      </c>
      <c r="F78" t="s">
        <v>7</v>
      </c>
    </row>
    <row r="79" spans="1:6" x14ac:dyDescent="0.3">
      <c r="A79">
        <v>155145336</v>
      </c>
      <c r="B79" s="1">
        <v>44813</v>
      </c>
      <c r="C79" s="1">
        <v>44837</v>
      </c>
      <c r="D79">
        <v>39</v>
      </c>
      <c r="E79" t="s">
        <v>6</v>
      </c>
      <c r="F79" t="s">
        <v>7</v>
      </c>
    </row>
    <row r="80" spans="1:6" x14ac:dyDescent="0.3">
      <c r="A80">
        <v>152506474</v>
      </c>
      <c r="B80" s="1">
        <v>44813</v>
      </c>
      <c r="C80" s="1">
        <v>44850</v>
      </c>
      <c r="D80">
        <v>39</v>
      </c>
      <c r="E80" t="s">
        <v>6</v>
      </c>
      <c r="F80" t="s">
        <v>7</v>
      </c>
    </row>
    <row r="81" spans="1:6" x14ac:dyDescent="0.3">
      <c r="A81">
        <v>118029150</v>
      </c>
      <c r="B81" s="1">
        <v>44813</v>
      </c>
      <c r="C81" s="1">
        <v>45154</v>
      </c>
      <c r="D81">
        <v>39</v>
      </c>
      <c r="E81" t="s">
        <v>6</v>
      </c>
      <c r="F81" t="s">
        <v>7</v>
      </c>
    </row>
    <row r="82" spans="1:6" x14ac:dyDescent="0.3">
      <c r="A82">
        <v>155245796</v>
      </c>
      <c r="B82" s="1">
        <v>44814</v>
      </c>
      <c r="D82">
        <v>39</v>
      </c>
      <c r="E82" t="s">
        <v>6</v>
      </c>
      <c r="F82" t="s">
        <v>7</v>
      </c>
    </row>
    <row r="83" spans="1:6" x14ac:dyDescent="0.3">
      <c r="A83">
        <v>155326259</v>
      </c>
      <c r="B83" s="1">
        <v>44814</v>
      </c>
      <c r="C83" s="1">
        <v>44978</v>
      </c>
      <c r="D83">
        <v>39</v>
      </c>
      <c r="E83" t="s">
        <v>6</v>
      </c>
      <c r="F83" t="s">
        <v>7</v>
      </c>
    </row>
    <row r="84" spans="1:6" x14ac:dyDescent="0.3">
      <c r="A84">
        <v>155311918</v>
      </c>
      <c r="B84" s="1">
        <v>44814</v>
      </c>
      <c r="C84" s="1">
        <v>44907</v>
      </c>
      <c r="D84">
        <v>39</v>
      </c>
      <c r="E84" t="s">
        <v>6</v>
      </c>
      <c r="F84" t="s">
        <v>7</v>
      </c>
    </row>
    <row r="85" spans="1:6" x14ac:dyDescent="0.3">
      <c r="A85">
        <v>154391473</v>
      </c>
      <c r="B85" s="1">
        <v>44814</v>
      </c>
      <c r="C85" s="1">
        <v>44846</v>
      </c>
      <c r="D85">
        <v>39</v>
      </c>
      <c r="E85" t="s">
        <v>6</v>
      </c>
      <c r="F85" t="s">
        <v>7</v>
      </c>
    </row>
    <row r="86" spans="1:6" x14ac:dyDescent="0.3">
      <c r="A86">
        <v>155283495</v>
      </c>
      <c r="B86" s="1">
        <v>44814</v>
      </c>
      <c r="C86" s="1">
        <v>44842</v>
      </c>
      <c r="D86">
        <v>39</v>
      </c>
      <c r="E86" t="s">
        <v>6</v>
      </c>
      <c r="F86" t="s">
        <v>7</v>
      </c>
    </row>
    <row r="87" spans="1:6" x14ac:dyDescent="0.3">
      <c r="A87">
        <v>154597373</v>
      </c>
      <c r="B87" s="1">
        <v>44814</v>
      </c>
      <c r="C87" s="1">
        <v>44840</v>
      </c>
      <c r="D87">
        <v>39</v>
      </c>
      <c r="E87" t="s">
        <v>6</v>
      </c>
      <c r="F87" t="s">
        <v>7</v>
      </c>
    </row>
    <row r="88" spans="1:6" x14ac:dyDescent="0.3">
      <c r="A88">
        <v>155370310</v>
      </c>
      <c r="B88" s="1">
        <v>44815</v>
      </c>
      <c r="C88" s="1">
        <v>45062</v>
      </c>
      <c r="D88">
        <v>39</v>
      </c>
      <c r="E88" t="s">
        <v>6</v>
      </c>
      <c r="F88" t="s">
        <v>7</v>
      </c>
    </row>
    <row r="89" spans="1:6" x14ac:dyDescent="0.3">
      <c r="A89">
        <v>155289120</v>
      </c>
      <c r="B89" s="1">
        <v>44815</v>
      </c>
      <c r="C89" s="1">
        <v>44972</v>
      </c>
      <c r="D89">
        <v>39</v>
      </c>
      <c r="E89" t="s">
        <v>6</v>
      </c>
      <c r="F89" t="s">
        <v>7</v>
      </c>
    </row>
    <row r="90" spans="1:6" x14ac:dyDescent="0.3">
      <c r="A90">
        <v>155351408</v>
      </c>
      <c r="B90" s="1">
        <v>44815</v>
      </c>
      <c r="C90" s="1">
        <v>44906</v>
      </c>
      <c r="D90">
        <v>39</v>
      </c>
      <c r="E90" t="s">
        <v>6</v>
      </c>
      <c r="F90" t="s">
        <v>7</v>
      </c>
    </row>
    <row r="91" spans="1:6" x14ac:dyDescent="0.3">
      <c r="A91">
        <v>155336773</v>
      </c>
      <c r="B91" s="1">
        <v>44815</v>
      </c>
      <c r="C91" s="1">
        <v>44919</v>
      </c>
      <c r="D91">
        <v>39</v>
      </c>
      <c r="E91" t="s">
        <v>6</v>
      </c>
      <c r="F91" t="s">
        <v>7</v>
      </c>
    </row>
    <row r="92" spans="1:6" x14ac:dyDescent="0.3">
      <c r="A92">
        <v>155017581</v>
      </c>
      <c r="B92" s="1">
        <v>44815</v>
      </c>
      <c r="C92" s="1">
        <v>44867</v>
      </c>
      <c r="D92">
        <v>39</v>
      </c>
      <c r="E92" t="s">
        <v>6</v>
      </c>
      <c r="F92" t="s">
        <v>7</v>
      </c>
    </row>
    <row r="93" spans="1:6" x14ac:dyDescent="0.3">
      <c r="A93">
        <v>154401329</v>
      </c>
      <c r="B93" s="1">
        <v>44815</v>
      </c>
      <c r="C93" s="1">
        <v>44849</v>
      </c>
      <c r="D93">
        <v>39</v>
      </c>
      <c r="E93" t="s">
        <v>6</v>
      </c>
      <c r="F93" t="s">
        <v>7</v>
      </c>
    </row>
    <row r="94" spans="1:6" x14ac:dyDescent="0.3">
      <c r="A94">
        <v>155334828</v>
      </c>
      <c r="B94" s="1">
        <v>44815</v>
      </c>
      <c r="C94" s="1">
        <v>44845</v>
      </c>
      <c r="D94">
        <v>39</v>
      </c>
      <c r="E94" t="s">
        <v>6</v>
      </c>
      <c r="F94" t="s">
        <v>7</v>
      </c>
    </row>
    <row r="95" spans="1:6" x14ac:dyDescent="0.3">
      <c r="A95">
        <v>154815431</v>
      </c>
      <c r="B95" s="1">
        <v>44815</v>
      </c>
      <c r="C95" s="1">
        <v>44815</v>
      </c>
      <c r="D95">
        <v>39</v>
      </c>
      <c r="E95" t="s">
        <v>6</v>
      </c>
      <c r="F95" t="s">
        <v>7</v>
      </c>
    </row>
    <row r="96" spans="1:6" x14ac:dyDescent="0.3">
      <c r="A96">
        <v>155343938</v>
      </c>
      <c r="B96" s="1">
        <v>44815</v>
      </c>
      <c r="C96" s="1">
        <v>45156</v>
      </c>
      <c r="D96">
        <v>39</v>
      </c>
      <c r="E96" t="s">
        <v>6</v>
      </c>
      <c r="F96" t="s">
        <v>7</v>
      </c>
    </row>
    <row r="97" spans="1:6" x14ac:dyDescent="0.3">
      <c r="A97">
        <v>152436458</v>
      </c>
      <c r="B97" s="1">
        <v>44816</v>
      </c>
      <c r="C97" s="1">
        <v>44816</v>
      </c>
      <c r="D97">
        <v>39</v>
      </c>
      <c r="E97" t="s">
        <v>6</v>
      </c>
      <c r="F97" t="s">
        <v>7</v>
      </c>
    </row>
    <row r="98" spans="1:6" x14ac:dyDescent="0.3">
      <c r="A98">
        <v>154689541</v>
      </c>
      <c r="B98" s="1">
        <v>44816</v>
      </c>
      <c r="C98" s="1">
        <v>44817</v>
      </c>
      <c r="D98">
        <v>39</v>
      </c>
      <c r="E98" t="s">
        <v>6</v>
      </c>
      <c r="F98" t="s">
        <v>8</v>
      </c>
    </row>
    <row r="99" spans="1:6" x14ac:dyDescent="0.3">
      <c r="A99">
        <v>155425695</v>
      </c>
      <c r="B99" s="1">
        <v>44816</v>
      </c>
      <c r="C99" s="1">
        <v>44853</v>
      </c>
      <c r="D99">
        <v>39</v>
      </c>
      <c r="E99" t="s">
        <v>6</v>
      </c>
      <c r="F99" t="s">
        <v>7</v>
      </c>
    </row>
    <row r="100" spans="1:6" x14ac:dyDescent="0.3">
      <c r="A100">
        <v>152698255</v>
      </c>
      <c r="B100" s="1">
        <v>44816</v>
      </c>
      <c r="C100" s="1">
        <v>44846</v>
      </c>
      <c r="D100">
        <v>39</v>
      </c>
      <c r="E100" t="s">
        <v>6</v>
      </c>
      <c r="F100" t="s">
        <v>7</v>
      </c>
    </row>
    <row r="101" spans="1:6" x14ac:dyDescent="0.3">
      <c r="A101">
        <v>155406449</v>
      </c>
      <c r="B101" s="1">
        <v>44817</v>
      </c>
      <c r="C101" s="1">
        <v>45165</v>
      </c>
      <c r="D101">
        <v>39</v>
      </c>
      <c r="E101" t="s">
        <v>6</v>
      </c>
      <c r="F101" t="s">
        <v>7</v>
      </c>
    </row>
    <row r="102" spans="1:6" x14ac:dyDescent="0.3">
      <c r="A102">
        <v>137338480</v>
      </c>
      <c r="B102" s="1">
        <v>44817</v>
      </c>
      <c r="C102" s="1">
        <v>44818</v>
      </c>
      <c r="D102">
        <v>39</v>
      </c>
      <c r="E102" t="s">
        <v>6</v>
      </c>
      <c r="F102" t="s">
        <v>7</v>
      </c>
    </row>
    <row r="103" spans="1:6" x14ac:dyDescent="0.3">
      <c r="A103">
        <v>155508519</v>
      </c>
      <c r="B103" s="1">
        <v>44817</v>
      </c>
      <c r="C103" s="1">
        <v>44857</v>
      </c>
      <c r="D103">
        <v>39</v>
      </c>
      <c r="E103" t="s">
        <v>6</v>
      </c>
      <c r="F103" t="s">
        <v>7</v>
      </c>
    </row>
    <row r="104" spans="1:6" x14ac:dyDescent="0.3">
      <c r="A104">
        <v>155463846</v>
      </c>
      <c r="B104" s="1">
        <v>44817</v>
      </c>
      <c r="C104" s="1">
        <v>44837</v>
      </c>
      <c r="D104">
        <v>39</v>
      </c>
      <c r="E104" t="s">
        <v>6</v>
      </c>
      <c r="F104" t="s">
        <v>7</v>
      </c>
    </row>
    <row r="105" spans="1:6" x14ac:dyDescent="0.3">
      <c r="A105">
        <v>122335220</v>
      </c>
      <c r="B105" s="1">
        <v>44817</v>
      </c>
      <c r="C105" s="1">
        <v>44821</v>
      </c>
      <c r="D105">
        <v>39</v>
      </c>
      <c r="E105" t="s">
        <v>6</v>
      </c>
      <c r="F105" t="s">
        <v>7</v>
      </c>
    </row>
    <row r="106" spans="1:6" x14ac:dyDescent="0.3">
      <c r="A106">
        <v>155460904</v>
      </c>
      <c r="B106" s="1">
        <v>44817</v>
      </c>
      <c r="C106" s="1">
        <v>45091</v>
      </c>
      <c r="D106">
        <v>39</v>
      </c>
      <c r="E106" t="s">
        <v>6</v>
      </c>
      <c r="F106" t="s">
        <v>7</v>
      </c>
    </row>
    <row r="107" spans="1:6" x14ac:dyDescent="0.3">
      <c r="A107">
        <v>155534484</v>
      </c>
      <c r="B107" s="1">
        <v>44818</v>
      </c>
      <c r="C107" s="1">
        <v>44819</v>
      </c>
      <c r="D107">
        <v>39</v>
      </c>
      <c r="E107" t="s">
        <v>6</v>
      </c>
      <c r="F107" t="s">
        <v>8</v>
      </c>
    </row>
    <row r="108" spans="1:6" x14ac:dyDescent="0.3">
      <c r="A108">
        <v>155465332</v>
      </c>
      <c r="B108" s="1">
        <v>44818</v>
      </c>
      <c r="C108" s="1">
        <v>44991</v>
      </c>
      <c r="D108">
        <v>39</v>
      </c>
      <c r="E108" t="s">
        <v>6</v>
      </c>
      <c r="F108" t="s">
        <v>7</v>
      </c>
    </row>
    <row r="109" spans="1:6" x14ac:dyDescent="0.3">
      <c r="A109">
        <v>155562517</v>
      </c>
      <c r="B109" s="1">
        <v>44818</v>
      </c>
      <c r="C109" s="1">
        <v>44902</v>
      </c>
      <c r="D109">
        <v>39</v>
      </c>
      <c r="E109" t="s">
        <v>6</v>
      </c>
      <c r="F109" t="s">
        <v>7</v>
      </c>
    </row>
    <row r="110" spans="1:6" x14ac:dyDescent="0.3">
      <c r="A110">
        <v>153577096</v>
      </c>
      <c r="B110" s="1">
        <v>44818</v>
      </c>
      <c r="C110" s="1">
        <v>44855</v>
      </c>
      <c r="D110">
        <v>39</v>
      </c>
      <c r="E110" t="s">
        <v>6</v>
      </c>
      <c r="F110" t="s">
        <v>7</v>
      </c>
    </row>
    <row r="111" spans="1:6" x14ac:dyDescent="0.3">
      <c r="A111">
        <v>154937101</v>
      </c>
      <c r="B111" s="1">
        <v>44819</v>
      </c>
      <c r="D111">
        <v>39</v>
      </c>
      <c r="E111" t="s">
        <v>6</v>
      </c>
      <c r="F111" t="s">
        <v>7</v>
      </c>
    </row>
    <row r="112" spans="1:6" x14ac:dyDescent="0.3">
      <c r="A112">
        <v>144968444</v>
      </c>
      <c r="B112" s="1">
        <v>44819</v>
      </c>
      <c r="C112" s="1">
        <v>44819</v>
      </c>
      <c r="D112">
        <v>39</v>
      </c>
      <c r="E112" t="s">
        <v>6</v>
      </c>
      <c r="F112" t="s">
        <v>8</v>
      </c>
    </row>
    <row r="113" spans="1:6" x14ac:dyDescent="0.3">
      <c r="A113">
        <v>155270889</v>
      </c>
      <c r="B113" s="1">
        <v>44819</v>
      </c>
      <c r="C113" s="1">
        <v>44991</v>
      </c>
      <c r="D113">
        <v>39</v>
      </c>
      <c r="E113" t="s">
        <v>6</v>
      </c>
      <c r="F113" t="s">
        <v>7</v>
      </c>
    </row>
    <row r="114" spans="1:6" x14ac:dyDescent="0.3">
      <c r="A114">
        <v>155601465</v>
      </c>
      <c r="B114" s="1">
        <v>44819</v>
      </c>
      <c r="C114" s="1">
        <v>45078</v>
      </c>
      <c r="D114">
        <v>39</v>
      </c>
      <c r="E114" t="s">
        <v>6</v>
      </c>
      <c r="F114" t="s">
        <v>7</v>
      </c>
    </row>
    <row r="115" spans="1:6" x14ac:dyDescent="0.3">
      <c r="A115">
        <v>154045370</v>
      </c>
      <c r="B115" s="1">
        <v>44819</v>
      </c>
      <c r="C115" s="1">
        <v>44893</v>
      </c>
      <c r="D115">
        <v>39</v>
      </c>
      <c r="E115" t="s">
        <v>6</v>
      </c>
      <c r="F115" t="s">
        <v>7</v>
      </c>
    </row>
    <row r="116" spans="1:6" x14ac:dyDescent="0.3">
      <c r="A116">
        <v>155612742</v>
      </c>
      <c r="B116" s="1">
        <v>44819</v>
      </c>
      <c r="C116" s="1">
        <v>44873</v>
      </c>
      <c r="D116">
        <v>39</v>
      </c>
      <c r="E116" t="s">
        <v>6</v>
      </c>
      <c r="F116" t="s">
        <v>7</v>
      </c>
    </row>
    <row r="117" spans="1:6" x14ac:dyDescent="0.3">
      <c r="A117">
        <v>155621162</v>
      </c>
      <c r="B117" s="1">
        <v>44819</v>
      </c>
      <c r="C117" s="1">
        <v>44879</v>
      </c>
      <c r="D117">
        <v>39</v>
      </c>
      <c r="E117" t="s">
        <v>6</v>
      </c>
      <c r="F117" t="s">
        <v>7</v>
      </c>
    </row>
    <row r="118" spans="1:6" x14ac:dyDescent="0.3">
      <c r="A118">
        <v>154904040</v>
      </c>
      <c r="B118" s="1">
        <v>44819</v>
      </c>
      <c r="C118" s="1">
        <v>44856</v>
      </c>
      <c r="D118">
        <v>39</v>
      </c>
      <c r="E118" t="s">
        <v>6</v>
      </c>
      <c r="F118" t="s">
        <v>7</v>
      </c>
    </row>
    <row r="119" spans="1:6" x14ac:dyDescent="0.3">
      <c r="A119">
        <v>150810434</v>
      </c>
      <c r="B119" s="1">
        <v>44819</v>
      </c>
      <c r="C119" s="1">
        <v>44846</v>
      </c>
      <c r="D119">
        <v>39</v>
      </c>
      <c r="E119" t="s">
        <v>6</v>
      </c>
      <c r="F119" t="s">
        <v>7</v>
      </c>
    </row>
    <row r="120" spans="1:6" x14ac:dyDescent="0.3">
      <c r="A120">
        <v>150825802</v>
      </c>
      <c r="B120" s="1">
        <v>44819</v>
      </c>
      <c r="C120" s="1">
        <v>44847</v>
      </c>
      <c r="D120">
        <v>39</v>
      </c>
      <c r="E120" t="s">
        <v>6</v>
      </c>
      <c r="F120" t="s">
        <v>7</v>
      </c>
    </row>
    <row r="121" spans="1:6" x14ac:dyDescent="0.3">
      <c r="A121">
        <v>151907203</v>
      </c>
      <c r="B121" s="1">
        <v>44819</v>
      </c>
      <c r="C121" s="1">
        <v>44845</v>
      </c>
      <c r="D121">
        <v>39</v>
      </c>
      <c r="E121" t="s">
        <v>6</v>
      </c>
      <c r="F121" t="s">
        <v>7</v>
      </c>
    </row>
    <row r="122" spans="1:6" x14ac:dyDescent="0.3">
      <c r="A122">
        <v>149595273</v>
      </c>
      <c r="B122" s="1">
        <v>44819</v>
      </c>
      <c r="C122" s="1">
        <v>44833</v>
      </c>
      <c r="D122">
        <v>39</v>
      </c>
      <c r="E122" t="s">
        <v>6</v>
      </c>
      <c r="F122" t="s">
        <v>7</v>
      </c>
    </row>
    <row r="123" spans="1:6" x14ac:dyDescent="0.3">
      <c r="A123">
        <v>155596960</v>
      </c>
      <c r="B123" s="1">
        <v>44819</v>
      </c>
      <c r="C123" s="1">
        <v>44827</v>
      </c>
      <c r="D123">
        <v>39</v>
      </c>
      <c r="E123" t="s">
        <v>6</v>
      </c>
      <c r="F123" t="s">
        <v>7</v>
      </c>
    </row>
    <row r="124" spans="1:6" x14ac:dyDescent="0.3">
      <c r="A124">
        <v>155192606</v>
      </c>
      <c r="B124" s="1">
        <v>44820</v>
      </c>
      <c r="D124">
        <v>39</v>
      </c>
      <c r="E124" t="s">
        <v>6</v>
      </c>
      <c r="F124" t="s">
        <v>7</v>
      </c>
    </row>
    <row r="125" spans="1:6" x14ac:dyDescent="0.3">
      <c r="A125">
        <v>129111644</v>
      </c>
      <c r="B125" s="1">
        <v>44820</v>
      </c>
      <c r="C125" s="1">
        <v>45008</v>
      </c>
      <c r="D125">
        <v>39</v>
      </c>
      <c r="E125" t="s">
        <v>6</v>
      </c>
      <c r="F125" t="s">
        <v>7</v>
      </c>
    </row>
    <row r="126" spans="1:6" x14ac:dyDescent="0.3">
      <c r="A126">
        <v>155426674</v>
      </c>
      <c r="B126" s="1">
        <v>44820</v>
      </c>
      <c r="C126" s="1">
        <v>45026</v>
      </c>
      <c r="D126">
        <v>39</v>
      </c>
      <c r="E126" t="s">
        <v>6</v>
      </c>
      <c r="F126" t="s">
        <v>7</v>
      </c>
    </row>
    <row r="127" spans="1:6" x14ac:dyDescent="0.3">
      <c r="A127">
        <v>154389303</v>
      </c>
      <c r="B127" s="1">
        <v>44820</v>
      </c>
      <c r="C127" s="1">
        <v>44931</v>
      </c>
      <c r="D127">
        <v>39</v>
      </c>
      <c r="E127" t="s">
        <v>6</v>
      </c>
      <c r="F127" t="s">
        <v>7</v>
      </c>
    </row>
    <row r="128" spans="1:6" x14ac:dyDescent="0.3">
      <c r="A128">
        <v>155671632</v>
      </c>
      <c r="B128" s="1">
        <v>44820</v>
      </c>
      <c r="C128" s="1">
        <v>44917</v>
      </c>
      <c r="D128">
        <v>39</v>
      </c>
      <c r="E128" t="s">
        <v>6</v>
      </c>
      <c r="F128" t="s">
        <v>7</v>
      </c>
    </row>
    <row r="129" spans="1:6" x14ac:dyDescent="0.3">
      <c r="A129">
        <v>155663101</v>
      </c>
      <c r="B129" s="1">
        <v>44820</v>
      </c>
      <c r="C129" s="1">
        <v>44838</v>
      </c>
      <c r="D129">
        <v>39</v>
      </c>
      <c r="E129" t="s">
        <v>6</v>
      </c>
      <c r="F129" t="s">
        <v>7</v>
      </c>
    </row>
    <row r="130" spans="1:6" x14ac:dyDescent="0.3">
      <c r="A130">
        <v>152084572</v>
      </c>
      <c r="B130" s="1">
        <v>44821</v>
      </c>
      <c r="D130">
        <v>39</v>
      </c>
      <c r="E130" t="s">
        <v>6</v>
      </c>
      <c r="F130" t="s">
        <v>7</v>
      </c>
    </row>
    <row r="131" spans="1:6" x14ac:dyDescent="0.3">
      <c r="A131">
        <v>155783230</v>
      </c>
      <c r="B131" s="1">
        <v>44821</v>
      </c>
      <c r="C131" s="1">
        <v>45058</v>
      </c>
      <c r="D131">
        <v>39</v>
      </c>
      <c r="E131" t="s">
        <v>6</v>
      </c>
      <c r="F131" t="s">
        <v>7</v>
      </c>
    </row>
    <row r="132" spans="1:6" x14ac:dyDescent="0.3">
      <c r="A132">
        <v>155714315</v>
      </c>
      <c r="B132" s="1">
        <v>44821</v>
      </c>
      <c r="C132" s="1">
        <v>44940</v>
      </c>
      <c r="D132">
        <v>39</v>
      </c>
      <c r="E132" t="s">
        <v>6</v>
      </c>
      <c r="F132" t="s">
        <v>7</v>
      </c>
    </row>
    <row r="133" spans="1:6" x14ac:dyDescent="0.3">
      <c r="A133">
        <v>155774393</v>
      </c>
      <c r="B133" s="1">
        <v>44821</v>
      </c>
      <c r="C133" s="1">
        <v>44852</v>
      </c>
      <c r="D133">
        <v>39</v>
      </c>
      <c r="E133" t="s">
        <v>6</v>
      </c>
      <c r="F133" t="s">
        <v>7</v>
      </c>
    </row>
    <row r="134" spans="1:6" x14ac:dyDescent="0.3">
      <c r="A134">
        <v>152901090</v>
      </c>
      <c r="B134" s="1">
        <v>44822</v>
      </c>
      <c r="C134" s="1">
        <v>44951</v>
      </c>
      <c r="D134">
        <v>39</v>
      </c>
      <c r="E134" t="s">
        <v>6</v>
      </c>
      <c r="F134" t="s">
        <v>7</v>
      </c>
    </row>
    <row r="135" spans="1:6" x14ac:dyDescent="0.3">
      <c r="A135">
        <v>147029752</v>
      </c>
      <c r="B135" s="1">
        <v>44822</v>
      </c>
      <c r="C135" s="1">
        <v>44886</v>
      </c>
      <c r="D135">
        <v>39</v>
      </c>
      <c r="E135" t="s">
        <v>6</v>
      </c>
      <c r="F135" t="s">
        <v>7</v>
      </c>
    </row>
    <row r="136" spans="1:6" x14ac:dyDescent="0.3">
      <c r="A136">
        <v>155809043</v>
      </c>
      <c r="B136" s="1">
        <v>44822</v>
      </c>
      <c r="C136" s="1">
        <v>44903</v>
      </c>
      <c r="D136">
        <v>39</v>
      </c>
      <c r="E136" t="s">
        <v>6</v>
      </c>
      <c r="F136" t="s">
        <v>7</v>
      </c>
    </row>
    <row r="137" spans="1:6" x14ac:dyDescent="0.3">
      <c r="A137">
        <v>155180991</v>
      </c>
      <c r="B137" s="1">
        <v>44822</v>
      </c>
      <c r="C137" s="1">
        <v>44877</v>
      </c>
      <c r="D137">
        <v>39</v>
      </c>
      <c r="E137" t="s">
        <v>6</v>
      </c>
      <c r="F137" t="s">
        <v>7</v>
      </c>
    </row>
    <row r="138" spans="1:6" x14ac:dyDescent="0.3">
      <c r="A138">
        <v>155713732</v>
      </c>
      <c r="B138" s="1">
        <v>44822</v>
      </c>
      <c r="C138" s="1">
        <v>44834</v>
      </c>
      <c r="D138">
        <v>39</v>
      </c>
      <c r="E138" t="s">
        <v>6</v>
      </c>
      <c r="F138" t="s">
        <v>7</v>
      </c>
    </row>
    <row r="139" spans="1:6" x14ac:dyDescent="0.3">
      <c r="A139">
        <v>155204060</v>
      </c>
      <c r="B139" s="1">
        <v>44822</v>
      </c>
      <c r="C139" s="1">
        <v>44851</v>
      </c>
      <c r="D139">
        <v>39</v>
      </c>
      <c r="E139" t="s">
        <v>6</v>
      </c>
      <c r="F139" t="s">
        <v>7</v>
      </c>
    </row>
    <row r="140" spans="1:6" x14ac:dyDescent="0.3">
      <c r="A140">
        <v>136817161</v>
      </c>
      <c r="B140" s="1">
        <v>44823</v>
      </c>
      <c r="C140" s="1">
        <v>44851</v>
      </c>
      <c r="D140">
        <v>39</v>
      </c>
      <c r="E140" t="s">
        <v>6</v>
      </c>
      <c r="F140" t="s">
        <v>8</v>
      </c>
    </row>
    <row r="141" spans="1:6" x14ac:dyDescent="0.3">
      <c r="A141">
        <v>126212861</v>
      </c>
      <c r="B141" s="1">
        <v>44823</v>
      </c>
      <c r="C141" s="1">
        <v>44823</v>
      </c>
      <c r="D141">
        <v>39</v>
      </c>
      <c r="E141" t="s">
        <v>6</v>
      </c>
      <c r="F141" t="s">
        <v>7</v>
      </c>
    </row>
    <row r="142" spans="1:6" x14ac:dyDescent="0.3">
      <c r="A142">
        <v>155265877</v>
      </c>
      <c r="B142" s="1">
        <v>44823</v>
      </c>
      <c r="C142" s="1">
        <v>44967</v>
      </c>
      <c r="D142">
        <v>39</v>
      </c>
      <c r="E142" t="s">
        <v>6</v>
      </c>
      <c r="F142" t="s">
        <v>7</v>
      </c>
    </row>
    <row r="143" spans="1:6" x14ac:dyDescent="0.3">
      <c r="A143">
        <v>155916753</v>
      </c>
      <c r="B143" s="1">
        <v>44823</v>
      </c>
      <c r="C143" s="1">
        <v>44976</v>
      </c>
      <c r="D143">
        <v>39</v>
      </c>
      <c r="E143" t="s">
        <v>6</v>
      </c>
      <c r="F143" t="s">
        <v>7</v>
      </c>
    </row>
    <row r="144" spans="1:6" x14ac:dyDescent="0.3">
      <c r="A144">
        <v>155927984</v>
      </c>
      <c r="B144" s="1">
        <v>44823</v>
      </c>
      <c r="C144" s="1">
        <v>44912</v>
      </c>
      <c r="D144">
        <v>39</v>
      </c>
      <c r="E144" t="s">
        <v>6</v>
      </c>
      <c r="F144" t="s">
        <v>7</v>
      </c>
    </row>
    <row r="145" spans="1:6" x14ac:dyDescent="0.3">
      <c r="A145">
        <v>155876104</v>
      </c>
      <c r="B145" s="1">
        <v>44823</v>
      </c>
      <c r="C145" s="1">
        <v>44909</v>
      </c>
      <c r="D145">
        <v>39</v>
      </c>
      <c r="E145" t="s">
        <v>6</v>
      </c>
      <c r="F145" t="s">
        <v>7</v>
      </c>
    </row>
    <row r="146" spans="1:6" x14ac:dyDescent="0.3">
      <c r="A146">
        <v>155733164</v>
      </c>
      <c r="B146" s="1">
        <v>44823</v>
      </c>
      <c r="C146" s="1">
        <v>44823</v>
      </c>
      <c r="D146">
        <v>39</v>
      </c>
      <c r="E146" t="s">
        <v>6</v>
      </c>
      <c r="F146" t="s">
        <v>7</v>
      </c>
    </row>
    <row r="147" spans="1:6" x14ac:dyDescent="0.3">
      <c r="A147">
        <v>153832728</v>
      </c>
      <c r="B147" s="1">
        <v>44823</v>
      </c>
      <c r="C147" s="1">
        <v>44852</v>
      </c>
      <c r="D147">
        <v>39</v>
      </c>
      <c r="E147" t="s">
        <v>6</v>
      </c>
      <c r="F147" t="s">
        <v>7</v>
      </c>
    </row>
    <row r="148" spans="1:6" x14ac:dyDescent="0.3">
      <c r="A148">
        <v>155876188</v>
      </c>
      <c r="B148" s="1">
        <v>44823</v>
      </c>
      <c r="C148" s="1">
        <v>44854</v>
      </c>
      <c r="D148">
        <v>39</v>
      </c>
      <c r="E148" t="s">
        <v>6</v>
      </c>
      <c r="F148" t="s">
        <v>7</v>
      </c>
    </row>
    <row r="149" spans="1:6" x14ac:dyDescent="0.3">
      <c r="A149">
        <v>150687940</v>
      </c>
      <c r="B149" s="1">
        <v>44823</v>
      </c>
      <c r="C149" s="1">
        <v>44852</v>
      </c>
      <c r="D149">
        <v>39</v>
      </c>
      <c r="E149" t="s">
        <v>6</v>
      </c>
      <c r="F149" t="s">
        <v>7</v>
      </c>
    </row>
    <row r="150" spans="1:6" x14ac:dyDescent="0.3">
      <c r="A150">
        <v>155967446</v>
      </c>
      <c r="B150" s="1">
        <v>44824</v>
      </c>
      <c r="D150">
        <v>39</v>
      </c>
      <c r="E150" t="s">
        <v>6</v>
      </c>
      <c r="F150" t="s">
        <v>7</v>
      </c>
    </row>
    <row r="151" spans="1:6" x14ac:dyDescent="0.3">
      <c r="A151">
        <v>155687378</v>
      </c>
      <c r="B151" s="1">
        <v>44824</v>
      </c>
      <c r="C151" s="1">
        <v>45012</v>
      </c>
      <c r="D151">
        <v>39</v>
      </c>
      <c r="E151" t="s">
        <v>6</v>
      </c>
      <c r="F151" t="s">
        <v>7</v>
      </c>
    </row>
    <row r="152" spans="1:6" x14ac:dyDescent="0.3">
      <c r="A152">
        <v>156020667</v>
      </c>
      <c r="B152" s="1">
        <v>44824</v>
      </c>
      <c r="C152" s="1">
        <v>45055</v>
      </c>
      <c r="D152">
        <v>39</v>
      </c>
      <c r="E152" t="s">
        <v>6</v>
      </c>
      <c r="F152" t="s">
        <v>7</v>
      </c>
    </row>
    <row r="153" spans="1:6" x14ac:dyDescent="0.3">
      <c r="A153">
        <v>155869412</v>
      </c>
      <c r="B153" s="1">
        <v>44824</v>
      </c>
      <c r="C153" s="1">
        <v>44916</v>
      </c>
      <c r="D153">
        <v>39</v>
      </c>
      <c r="E153" t="s">
        <v>6</v>
      </c>
      <c r="F153" t="s">
        <v>7</v>
      </c>
    </row>
    <row r="154" spans="1:6" x14ac:dyDescent="0.3">
      <c r="A154">
        <v>156042204</v>
      </c>
      <c r="B154" s="1">
        <v>44824</v>
      </c>
      <c r="C154" s="1">
        <v>44873</v>
      </c>
      <c r="D154">
        <v>39</v>
      </c>
      <c r="E154" t="s">
        <v>6</v>
      </c>
      <c r="F154" t="s">
        <v>7</v>
      </c>
    </row>
    <row r="155" spans="1:6" x14ac:dyDescent="0.3">
      <c r="A155">
        <v>153568990</v>
      </c>
      <c r="B155" s="1">
        <v>44824</v>
      </c>
      <c r="C155" s="1">
        <v>44834</v>
      </c>
      <c r="D155">
        <v>39</v>
      </c>
      <c r="E155" t="s">
        <v>6</v>
      </c>
      <c r="F155" t="s">
        <v>7</v>
      </c>
    </row>
    <row r="156" spans="1:6" x14ac:dyDescent="0.3">
      <c r="A156">
        <v>155327111</v>
      </c>
      <c r="B156" s="1">
        <v>44824</v>
      </c>
      <c r="C156" s="1">
        <v>44865</v>
      </c>
      <c r="D156">
        <v>39</v>
      </c>
      <c r="E156" t="s">
        <v>6</v>
      </c>
      <c r="F156" t="s">
        <v>7</v>
      </c>
    </row>
    <row r="157" spans="1:6" x14ac:dyDescent="0.3">
      <c r="A157">
        <v>155270521</v>
      </c>
      <c r="B157" s="1">
        <v>44824</v>
      </c>
      <c r="C157" s="1">
        <v>45146</v>
      </c>
      <c r="D157">
        <v>39</v>
      </c>
      <c r="E157" t="s">
        <v>6</v>
      </c>
      <c r="F157" t="s">
        <v>7</v>
      </c>
    </row>
    <row r="158" spans="1:6" x14ac:dyDescent="0.3">
      <c r="A158">
        <v>155991618</v>
      </c>
      <c r="B158" s="1">
        <v>44825</v>
      </c>
      <c r="C158" s="1">
        <v>45105</v>
      </c>
      <c r="D158">
        <v>39</v>
      </c>
      <c r="E158" t="s">
        <v>6</v>
      </c>
      <c r="F158" t="s">
        <v>7</v>
      </c>
    </row>
    <row r="159" spans="1:6" x14ac:dyDescent="0.3">
      <c r="A159">
        <v>156045144</v>
      </c>
      <c r="B159" s="1">
        <v>44825</v>
      </c>
      <c r="C159" s="1">
        <v>44901</v>
      </c>
      <c r="D159">
        <v>39</v>
      </c>
      <c r="E159" t="s">
        <v>6</v>
      </c>
      <c r="F159" t="s">
        <v>7</v>
      </c>
    </row>
    <row r="160" spans="1:6" x14ac:dyDescent="0.3">
      <c r="A160">
        <v>155439932</v>
      </c>
      <c r="B160" s="1">
        <v>44825</v>
      </c>
      <c r="C160" s="1">
        <v>44879</v>
      </c>
      <c r="D160">
        <v>39</v>
      </c>
      <c r="E160" t="s">
        <v>6</v>
      </c>
      <c r="F160" t="s">
        <v>7</v>
      </c>
    </row>
    <row r="161" spans="1:6" x14ac:dyDescent="0.3">
      <c r="A161">
        <v>152674430</v>
      </c>
      <c r="B161" s="1">
        <v>44825</v>
      </c>
      <c r="C161" s="1">
        <v>44837</v>
      </c>
      <c r="D161">
        <v>39</v>
      </c>
      <c r="E161" t="s">
        <v>6</v>
      </c>
      <c r="F161" t="s">
        <v>7</v>
      </c>
    </row>
    <row r="162" spans="1:6" x14ac:dyDescent="0.3">
      <c r="A162">
        <v>156135106</v>
      </c>
      <c r="B162" s="1">
        <v>44826</v>
      </c>
      <c r="D162">
        <v>39</v>
      </c>
      <c r="E162" t="s">
        <v>6</v>
      </c>
      <c r="F162" t="s">
        <v>7</v>
      </c>
    </row>
    <row r="163" spans="1:6" x14ac:dyDescent="0.3">
      <c r="A163">
        <v>156185490</v>
      </c>
      <c r="B163" s="1">
        <v>44826</v>
      </c>
      <c r="C163" s="1">
        <v>45048</v>
      </c>
      <c r="D163">
        <v>39</v>
      </c>
      <c r="E163" t="s">
        <v>6</v>
      </c>
      <c r="F163" t="s">
        <v>7</v>
      </c>
    </row>
    <row r="164" spans="1:6" x14ac:dyDescent="0.3">
      <c r="A164">
        <v>156180312</v>
      </c>
      <c r="B164" s="1">
        <v>44826</v>
      </c>
      <c r="C164" s="1">
        <v>44880</v>
      </c>
      <c r="D164">
        <v>39</v>
      </c>
      <c r="E164" t="s">
        <v>6</v>
      </c>
      <c r="F164" t="s">
        <v>7</v>
      </c>
    </row>
    <row r="165" spans="1:6" x14ac:dyDescent="0.3">
      <c r="A165">
        <v>151263484</v>
      </c>
      <c r="B165" s="1">
        <v>44826</v>
      </c>
      <c r="C165" s="1">
        <v>44863</v>
      </c>
      <c r="D165">
        <v>39</v>
      </c>
      <c r="E165" t="s">
        <v>6</v>
      </c>
      <c r="F165" t="s">
        <v>7</v>
      </c>
    </row>
    <row r="166" spans="1:6" x14ac:dyDescent="0.3">
      <c r="A166">
        <v>156008989</v>
      </c>
      <c r="B166" s="1">
        <v>44826</v>
      </c>
      <c r="C166" s="1">
        <v>44855</v>
      </c>
      <c r="D166">
        <v>39</v>
      </c>
      <c r="E166" t="s">
        <v>6</v>
      </c>
      <c r="F166" t="s">
        <v>7</v>
      </c>
    </row>
    <row r="167" spans="1:6" x14ac:dyDescent="0.3">
      <c r="A167">
        <v>147687218</v>
      </c>
      <c r="B167" s="1">
        <v>44826</v>
      </c>
      <c r="C167" s="1">
        <v>44863</v>
      </c>
      <c r="D167">
        <v>39</v>
      </c>
      <c r="E167" t="s">
        <v>6</v>
      </c>
      <c r="F167" t="s">
        <v>7</v>
      </c>
    </row>
    <row r="168" spans="1:6" x14ac:dyDescent="0.3">
      <c r="A168">
        <v>156235650</v>
      </c>
      <c r="B168" s="1">
        <v>44827</v>
      </c>
      <c r="D168">
        <v>39</v>
      </c>
      <c r="E168" t="s">
        <v>6</v>
      </c>
      <c r="F168" t="s">
        <v>7</v>
      </c>
    </row>
    <row r="169" spans="1:6" x14ac:dyDescent="0.3">
      <c r="A169">
        <v>131128612</v>
      </c>
      <c r="B169" s="1">
        <v>44827</v>
      </c>
      <c r="C169" s="1">
        <v>44942</v>
      </c>
      <c r="D169">
        <v>39</v>
      </c>
      <c r="E169" t="s">
        <v>6</v>
      </c>
      <c r="F169" t="s">
        <v>7</v>
      </c>
    </row>
    <row r="170" spans="1:6" x14ac:dyDescent="0.3">
      <c r="A170">
        <v>156198840</v>
      </c>
      <c r="B170" s="1">
        <v>44827</v>
      </c>
      <c r="C170" s="1">
        <v>44947</v>
      </c>
      <c r="D170">
        <v>39</v>
      </c>
      <c r="E170" t="s">
        <v>6</v>
      </c>
      <c r="F170" t="s">
        <v>7</v>
      </c>
    </row>
    <row r="171" spans="1:6" x14ac:dyDescent="0.3">
      <c r="A171">
        <v>144166296</v>
      </c>
      <c r="B171" s="1">
        <v>44827</v>
      </c>
      <c r="C171" s="1">
        <v>44853</v>
      </c>
      <c r="D171">
        <v>39</v>
      </c>
      <c r="E171" t="s">
        <v>6</v>
      </c>
      <c r="F171" t="s">
        <v>7</v>
      </c>
    </row>
    <row r="172" spans="1:6" x14ac:dyDescent="0.3">
      <c r="A172">
        <v>136108848</v>
      </c>
      <c r="B172" s="1">
        <v>44827</v>
      </c>
      <c r="C172" s="1">
        <v>44895</v>
      </c>
      <c r="D172">
        <v>39</v>
      </c>
      <c r="E172" t="s">
        <v>6</v>
      </c>
      <c r="F172" t="s">
        <v>7</v>
      </c>
    </row>
    <row r="173" spans="1:6" x14ac:dyDescent="0.3">
      <c r="A173">
        <v>156225482</v>
      </c>
      <c r="B173" s="1">
        <v>44827</v>
      </c>
      <c r="C173" s="1">
        <v>44848</v>
      </c>
      <c r="D173">
        <v>39</v>
      </c>
      <c r="E173" t="s">
        <v>6</v>
      </c>
      <c r="F173" t="s">
        <v>7</v>
      </c>
    </row>
    <row r="174" spans="1:6" x14ac:dyDescent="0.3">
      <c r="A174">
        <v>156209360</v>
      </c>
      <c r="B174" s="1">
        <v>44827</v>
      </c>
      <c r="C174" s="1">
        <v>44864</v>
      </c>
      <c r="D174">
        <v>39</v>
      </c>
      <c r="E174" t="s">
        <v>6</v>
      </c>
      <c r="F174" t="s">
        <v>7</v>
      </c>
    </row>
    <row r="175" spans="1:6" x14ac:dyDescent="0.3">
      <c r="A175">
        <v>153492199</v>
      </c>
      <c r="B175" s="1">
        <v>44828</v>
      </c>
      <c r="C175" s="1">
        <v>44896</v>
      </c>
      <c r="D175">
        <v>39</v>
      </c>
      <c r="E175" t="s">
        <v>6</v>
      </c>
      <c r="F175" t="s">
        <v>7</v>
      </c>
    </row>
    <row r="176" spans="1:6" x14ac:dyDescent="0.3">
      <c r="A176">
        <v>156127439</v>
      </c>
      <c r="B176" s="1">
        <v>44828</v>
      </c>
      <c r="C176" s="1">
        <v>44866</v>
      </c>
      <c r="D176">
        <v>39</v>
      </c>
      <c r="E176" t="s">
        <v>6</v>
      </c>
      <c r="F176" t="s">
        <v>7</v>
      </c>
    </row>
    <row r="177" spans="1:6" x14ac:dyDescent="0.3">
      <c r="A177">
        <v>156197748</v>
      </c>
      <c r="B177" s="1">
        <v>44828</v>
      </c>
      <c r="C177" s="1">
        <v>44860</v>
      </c>
      <c r="D177">
        <v>39</v>
      </c>
      <c r="E177" t="s">
        <v>6</v>
      </c>
      <c r="F177" t="s">
        <v>7</v>
      </c>
    </row>
    <row r="178" spans="1:6" x14ac:dyDescent="0.3">
      <c r="A178">
        <v>156292980</v>
      </c>
      <c r="B178" s="1">
        <v>44829</v>
      </c>
      <c r="D178">
        <v>39</v>
      </c>
      <c r="E178" t="s">
        <v>6</v>
      </c>
      <c r="F178" t="s">
        <v>7</v>
      </c>
    </row>
    <row r="179" spans="1:6" x14ac:dyDescent="0.3">
      <c r="A179">
        <v>129284681</v>
      </c>
      <c r="B179" s="1">
        <v>44829</v>
      </c>
      <c r="C179" s="1">
        <v>44866</v>
      </c>
      <c r="D179">
        <v>39</v>
      </c>
      <c r="E179" t="s">
        <v>6</v>
      </c>
      <c r="F179" t="s">
        <v>7</v>
      </c>
    </row>
    <row r="180" spans="1:6" x14ac:dyDescent="0.3">
      <c r="A180">
        <v>156249750</v>
      </c>
      <c r="B180" s="1">
        <v>44829</v>
      </c>
      <c r="C180" s="1">
        <v>44867</v>
      </c>
      <c r="D180">
        <v>39</v>
      </c>
      <c r="E180" t="s">
        <v>6</v>
      </c>
      <c r="F180" t="s">
        <v>7</v>
      </c>
    </row>
    <row r="181" spans="1:6" x14ac:dyDescent="0.3">
      <c r="A181">
        <v>155143974</v>
      </c>
      <c r="B181" s="1">
        <v>44829</v>
      </c>
      <c r="C181" s="1">
        <v>44883</v>
      </c>
      <c r="D181">
        <v>39</v>
      </c>
      <c r="E181" t="s">
        <v>6</v>
      </c>
      <c r="F181" t="s">
        <v>7</v>
      </c>
    </row>
    <row r="182" spans="1:6" x14ac:dyDescent="0.3">
      <c r="A182">
        <v>151354965</v>
      </c>
      <c r="B182" s="1">
        <v>44829</v>
      </c>
      <c r="C182" s="1">
        <v>44863</v>
      </c>
      <c r="D182">
        <v>39</v>
      </c>
      <c r="E182" t="s">
        <v>6</v>
      </c>
      <c r="F182" t="s">
        <v>7</v>
      </c>
    </row>
    <row r="183" spans="1:6" x14ac:dyDescent="0.3">
      <c r="A183">
        <v>156178486</v>
      </c>
      <c r="B183" s="1">
        <v>44829</v>
      </c>
      <c r="C183" s="1">
        <v>44858</v>
      </c>
      <c r="D183">
        <v>39</v>
      </c>
      <c r="E183" t="s">
        <v>6</v>
      </c>
      <c r="F183" t="s">
        <v>7</v>
      </c>
    </row>
    <row r="184" spans="1:6" x14ac:dyDescent="0.3">
      <c r="A184">
        <v>132314522</v>
      </c>
      <c r="B184" s="1">
        <v>44830</v>
      </c>
      <c r="C184" s="1">
        <v>44899</v>
      </c>
      <c r="D184">
        <v>39</v>
      </c>
      <c r="E184" t="s">
        <v>6</v>
      </c>
      <c r="F184" t="s">
        <v>7</v>
      </c>
    </row>
    <row r="185" spans="1:6" x14ac:dyDescent="0.3">
      <c r="A185">
        <v>152505897</v>
      </c>
      <c r="B185" s="1">
        <v>44830</v>
      </c>
      <c r="C185" s="1">
        <v>45023</v>
      </c>
      <c r="D185">
        <v>39</v>
      </c>
      <c r="E185" t="s">
        <v>6</v>
      </c>
      <c r="F185" t="s">
        <v>7</v>
      </c>
    </row>
    <row r="186" spans="1:6" x14ac:dyDescent="0.3">
      <c r="A186">
        <v>151086770</v>
      </c>
      <c r="B186" s="1">
        <v>44830</v>
      </c>
      <c r="C186" s="1">
        <v>44949</v>
      </c>
      <c r="D186">
        <v>39</v>
      </c>
      <c r="E186" t="s">
        <v>6</v>
      </c>
      <c r="F186" t="s">
        <v>7</v>
      </c>
    </row>
    <row r="187" spans="1:6" x14ac:dyDescent="0.3">
      <c r="A187">
        <v>148713821</v>
      </c>
      <c r="B187" s="1">
        <v>44830</v>
      </c>
      <c r="C187" s="1">
        <v>44967</v>
      </c>
      <c r="D187">
        <v>39</v>
      </c>
      <c r="E187" t="s">
        <v>6</v>
      </c>
      <c r="F187" t="s">
        <v>7</v>
      </c>
    </row>
    <row r="188" spans="1:6" x14ac:dyDescent="0.3">
      <c r="A188">
        <v>146422602</v>
      </c>
      <c r="B188" s="1">
        <v>44830</v>
      </c>
      <c r="C188" s="1">
        <v>44868</v>
      </c>
      <c r="D188">
        <v>39</v>
      </c>
      <c r="E188" t="s">
        <v>6</v>
      </c>
      <c r="F188" t="s">
        <v>7</v>
      </c>
    </row>
    <row r="189" spans="1:6" x14ac:dyDescent="0.3">
      <c r="A189">
        <v>156460574</v>
      </c>
      <c r="B189" s="1">
        <v>44830</v>
      </c>
      <c r="C189" s="1">
        <v>44882</v>
      </c>
      <c r="D189">
        <v>39</v>
      </c>
      <c r="E189" t="s">
        <v>6</v>
      </c>
      <c r="F189" t="s">
        <v>7</v>
      </c>
    </row>
    <row r="190" spans="1:6" x14ac:dyDescent="0.3">
      <c r="A190">
        <v>156364063</v>
      </c>
      <c r="B190" s="1">
        <v>44830</v>
      </c>
      <c r="C190" s="1">
        <v>44879</v>
      </c>
      <c r="D190">
        <v>39</v>
      </c>
      <c r="E190" t="s">
        <v>6</v>
      </c>
      <c r="F190" t="s">
        <v>7</v>
      </c>
    </row>
    <row r="191" spans="1:6" x14ac:dyDescent="0.3">
      <c r="A191">
        <v>149139298</v>
      </c>
      <c r="B191" s="1">
        <v>44830</v>
      </c>
      <c r="C191" s="1">
        <v>44860</v>
      </c>
      <c r="D191">
        <v>39</v>
      </c>
      <c r="E191" t="s">
        <v>6</v>
      </c>
      <c r="F191" t="s">
        <v>7</v>
      </c>
    </row>
    <row r="192" spans="1:6" x14ac:dyDescent="0.3">
      <c r="A192">
        <v>156371514</v>
      </c>
      <c r="B192" s="1">
        <v>44830</v>
      </c>
      <c r="C192" s="1">
        <v>44858</v>
      </c>
      <c r="D192">
        <v>39</v>
      </c>
      <c r="E192" t="s">
        <v>6</v>
      </c>
      <c r="F192" t="s">
        <v>7</v>
      </c>
    </row>
    <row r="193" spans="1:6" x14ac:dyDescent="0.3">
      <c r="A193">
        <v>156423167</v>
      </c>
      <c r="B193" s="1">
        <v>44831</v>
      </c>
      <c r="C193" s="1">
        <v>44944</v>
      </c>
      <c r="D193">
        <v>39</v>
      </c>
      <c r="E193" t="s">
        <v>6</v>
      </c>
      <c r="F193" t="s">
        <v>7</v>
      </c>
    </row>
    <row r="194" spans="1:6" x14ac:dyDescent="0.3">
      <c r="A194">
        <v>155199164</v>
      </c>
      <c r="B194" s="1">
        <v>44831</v>
      </c>
      <c r="C194" s="1">
        <v>44929</v>
      </c>
      <c r="D194">
        <v>39</v>
      </c>
      <c r="E194" t="s">
        <v>6</v>
      </c>
      <c r="F194" t="s">
        <v>7</v>
      </c>
    </row>
    <row r="195" spans="1:6" x14ac:dyDescent="0.3">
      <c r="A195">
        <v>156373191</v>
      </c>
      <c r="B195" s="1">
        <v>44831</v>
      </c>
      <c r="C195" s="1">
        <v>44923</v>
      </c>
      <c r="D195">
        <v>39</v>
      </c>
      <c r="E195" t="s">
        <v>6</v>
      </c>
      <c r="F195" t="s">
        <v>7</v>
      </c>
    </row>
    <row r="196" spans="1:6" x14ac:dyDescent="0.3">
      <c r="A196">
        <v>156517374</v>
      </c>
      <c r="B196" s="1">
        <v>44831</v>
      </c>
      <c r="C196" s="1">
        <v>44831</v>
      </c>
      <c r="D196">
        <v>39</v>
      </c>
      <c r="E196" t="s">
        <v>6</v>
      </c>
      <c r="F196" t="s">
        <v>7</v>
      </c>
    </row>
    <row r="197" spans="1:6" x14ac:dyDescent="0.3">
      <c r="A197">
        <v>156032089</v>
      </c>
      <c r="B197" s="1">
        <v>44832</v>
      </c>
      <c r="D197">
        <v>39</v>
      </c>
      <c r="E197" t="s">
        <v>6</v>
      </c>
      <c r="F197" t="s">
        <v>7</v>
      </c>
    </row>
    <row r="198" spans="1:6" x14ac:dyDescent="0.3">
      <c r="A198">
        <v>154563706</v>
      </c>
      <c r="B198" s="1">
        <v>44832</v>
      </c>
      <c r="C198" s="1">
        <v>45010</v>
      </c>
      <c r="D198">
        <v>39</v>
      </c>
      <c r="E198" t="s">
        <v>6</v>
      </c>
      <c r="F198" t="s">
        <v>7</v>
      </c>
    </row>
    <row r="199" spans="1:6" x14ac:dyDescent="0.3">
      <c r="A199">
        <v>124481723</v>
      </c>
      <c r="B199" s="1">
        <v>44832</v>
      </c>
      <c r="C199" s="1">
        <v>44887</v>
      </c>
      <c r="D199">
        <v>39</v>
      </c>
      <c r="E199" t="s">
        <v>6</v>
      </c>
      <c r="F199" t="s">
        <v>7</v>
      </c>
    </row>
    <row r="200" spans="1:6" x14ac:dyDescent="0.3">
      <c r="A200">
        <v>146861757</v>
      </c>
      <c r="B200" s="1">
        <v>44832</v>
      </c>
      <c r="C200" s="1">
        <v>44917</v>
      </c>
      <c r="D200">
        <v>39</v>
      </c>
      <c r="E200" t="s">
        <v>6</v>
      </c>
      <c r="F200" t="s">
        <v>7</v>
      </c>
    </row>
    <row r="201" spans="1:6" x14ac:dyDescent="0.3">
      <c r="A201">
        <v>152476124</v>
      </c>
      <c r="B201" s="1">
        <v>44832</v>
      </c>
      <c r="C201" s="1">
        <v>44893</v>
      </c>
      <c r="D201">
        <v>39</v>
      </c>
      <c r="E201" t="s">
        <v>6</v>
      </c>
      <c r="F201" t="s">
        <v>7</v>
      </c>
    </row>
    <row r="202" spans="1:6" x14ac:dyDescent="0.3">
      <c r="A202">
        <v>156192628</v>
      </c>
      <c r="B202" s="1">
        <v>44832</v>
      </c>
      <c r="C202" s="1">
        <v>44885</v>
      </c>
      <c r="D202">
        <v>39</v>
      </c>
      <c r="E202" t="s">
        <v>6</v>
      </c>
      <c r="F202" t="s">
        <v>7</v>
      </c>
    </row>
    <row r="203" spans="1:6" x14ac:dyDescent="0.3">
      <c r="A203">
        <v>152109538</v>
      </c>
      <c r="B203" s="1">
        <v>44832</v>
      </c>
      <c r="C203" s="1">
        <v>44853</v>
      </c>
      <c r="D203">
        <v>39</v>
      </c>
      <c r="E203" t="s">
        <v>6</v>
      </c>
      <c r="F203" t="s">
        <v>7</v>
      </c>
    </row>
    <row r="204" spans="1:6" x14ac:dyDescent="0.3">
      <c r="A204">
        <v>156659071</v>
      </c>
      <c r="B204" s="1">
        <v>44832</v>
      </c>
      <c r="C204" s="1">
        <v>44833</v>
      </c>
      <c r="D204">
        <v>39</v>
      </c>
      <c r="E204" t="s">
        <v>6</v>
      </c>
      <c r="F204" t="s">
        <v>7</v>
      </c>
    </row>
    <row r="205" spans="1:6" x14ac:dyDescent="0.3">
      <c r="A205">
        <v>156717075</v>
      </c>
      <c r="B205" s="1">
        <v>44833</v>
      </c>
      <c r="C205" s="1">
        <v>45030</v>
      </c>
      <c r="D205">
        <v>39</v>
      </c>
      <c r="E205" t="s">
        <v>6</v>
      </c>
      <c r="F205" t="s">
        <v>7</v>
      </c>
    </row>
    <row r="206" spans="1:6" x14ac:dyDescent="0.3">
      <c r="A206">
        <v>156715443</v>
      </c>
      <c r="B206" s="1">
        <v>44833</v>
      </c>
      <c r="C206" s="1">
        <v>44924</v>
      </c>
      <c r="D206">
        <v>39</v>
      </c>
      <c r="E206" t="s">
        <v>6</v>
      </c>
      <c r="F206" t="s">
        <v>7</v>
      </c>
    </row>
    <row r="207" spans="1:6" x14ac:dyDescent="0.3">
      <c r="A207">
        <v>147656952</v>
      </c>
      <c r="B207" s="1">
        <v>44833</v>
      </c>
      <c r="C207" s="1">
        <v>44923</v>
      </c>
      <c r="D207">
        <v>39</v>
      </c>
      <c r="E207" t="s">
        <v>6</v>
      </c>
      <c r="F207" t="s">
        <v>7</v>
      </c>
    </row>
    <row r="208" spans="1:6" x14ac:dyDescent="0.3">
      <c r="A208">
        <v>152918862</v>
      </c>
      <c r="B208" s="1">
        <v>44833</v>
      </c>
      <c r="C208" s="1">
        <v>44885</v>
      </c>
      <c r="D208">
        <v>39</v>
      </c>
      <c r="E208" t="s">
        <v>6</v>
      </c>
      <c r="F208" t="s">
        <v>7</v>
      </c>
    </row>
    <row r="209" spans="1:6" x14ac:dyDescent="0.3">
      <c r="A209">
        <v>146866890</v>
      </c>
      <c r="B209" s="1">
        <v>44833</v>
      </c>
      <c r="C209" s="1">
        <v>44858</v>
      </c>
      <c r="D209">
        <v>39</v>
      </c>
      <c r="E209" t="s">
        <v>6</v>
      </c>
      <c r="F209" t="s">
        <v>7</v>
      </c>
    </row>
    <row r="210" spans="1:6" x14ac:dyDescent="0.3">
      <c r="A210">
        <v>151735444</v>
      </c>
      <c r="B210" s="1">
        <v>44834</v>
      </c>
      <c r="D210">
        <v>39</v>
      </c>
      <c r="E210" t="s">
        <v>6</v>
      </c>
      <c r="F210" t="s">
        <v>7</v>
      </c>
    </row>
    <row r="211" spans="1:6" x14ac:dyDescent="0.3">
      <c r="A211">
        <v>155608371</v>
      </c>
      <c r="B211" s="1">
        <v>44834</v>
      </c>
      <c r="C211" s="1">
        <v>44835</v>
      </c>
      <c r="D211">
        <v>39</v>
      </c>
      <c r="E211" t="s">
        <v>6</v>
      </c>
      <c r="F211" t="s">
        <v>8</v>
      </c>
    </row>
    <row r="212" spans="1:6" x14ac:dyDescent="0.3">
      <c r="A212">
        <v>156809544</v>
      </c>
      <c r="B212" s="1">
        <v>44834</v>
      </c>
      <c r="C212" s="1">
        <v>45013</v>
      </c>
      <c r="D212">
        <v>39</v>
      </c>
      <c r="E212" t="s">
        <v>6</v>
      </c>
      <c r="F212" t="s">
        <v>7</v>
      </c>
    </row>
    <row r="213" spans="1:6" x14ac:dyDescent="0.3">
      <c r="A213">
        <v>156813288</v>
      </c>
      <c r="B213" s="1">
        <v>44834</v>
      </c>
      <c r="C213" s="1">
        <v>45066</v>
      </c>
      <c r="D213">
        <v>39</v>
      </c>
      <c r="E213" t="s">
        <v>6</v>
      </c>
      <c r="F213" t="s">
        <v>7</v>
      </c>
    </row>
    <row r="214" spans="1:6" x14ac:dyDescent="0.3">
      <c r="A214">
        <v>156817946</v>
      </c>
      <c r="B214" s="1">
        <v>44834</v>
      </c>
      <c r="C214" s="1">
        <v>45080</v>
      </c>
      <c r="D214">
        <v>39</v>
      </c>
      <c r="E214" t="s">
        <v>6</v>
      </c>
      <c r="F214" t="s">
        <v>7</v>
      </c>
    </row>
    <row r="215" spans="1:6" x14ac:dyDescent="0.3">
      <c r="A215">
        <v>156194905</v>
      </c>
      <c r="B215" s="1">
        <v>44834</v>
      </c>
      <c r="C215" s="1">
        <v>45022</v>
      </c>
      <c r="D215">
        <v>39</v>
      </c>
      <c r="E215" t="s">
        <v>6</v>
      </c>
      <c r="F215" t="s">
        <v>7</v>
      </c>
    </row>
    <row r="216" spans="1:6" x14ac:dyDescent="0.3">
      <c r="A216">
        <v>148568942</v>
      </c>
      <c r="B216" s="1">
        <v>44834</v>
      </c>
      <c r="C216" s="1">
        <v>44932</v>
      </c>
      <c r="D216">
        <v>39</v>
      </c>
      <c r="E216" t="s">
        <v>6</v>
      </c>
      <c r="F216" t="s">
        <v>7</v>
      </c>
    </row>
    <row r="217" spans="1:6" x14ac:dyDescent="0.3">
      <c r="A217">
        <v>151154171</v>
      </c>
      <c r="B217" s="1">
        <v>44834</v>
      </c>
      <c r="C217" s="1">
        <v>44894</v>
      </c>
      <c r="D217">
        <v>39</v>
      </c>
      <c r="E217" t="s">
        <v>6</v>
      </c>
      <c r="F217" t="s">
        <v>7</v>
      </c>
    </row>
    <row r="218" spans="1:6" x14ac:dyDescent="0.3">
      <c r="A218">
        <v>122921842</v>
      </c>
      <c r="B218" s="1">
        <v>44834</v>
      </c>
      <c r="C218" s="1">
        <v>44871</v>
      </c>
      <c r="D218">
        <v>39</v>
      </c>
      <c r="E218" t="s">
        <v>6</v>
      </c>
      <c r="F218" t="s">
        <v>7</v>
      </c>
    </row>
    <row r="219" spans="1:6" x14ac:dyDescent="0.3">
      <c r="A219">
        <v>156754286</v>
      </c>
      <c r="B219" s="1">
        <v>44835</v>
      </c>
      <c r="D219">
        <v>39</v>
      </c>
      <c r="E219" t="s">
        <v>6</v>
      </c>
      <c r="F219" t="s">
        <v>7</v>
      </c>
    </row>
    <row r="220" spans="1:6" x14ac:dyDescent="0.3">
      <c r="A220">
        <v>144160302</v>
      </c>
      <c r="B220" s="1">
        <v>44835</v>
      </c>
      <c r="C220" s="1">
        <v>44836</v>
      </c>
      <c r="D220">
        <v>39</v>
      </c>
      <c r="E220" t="s">
        <v>6</v>
      </c>
      <c r="F220" t="s">
        <v>7</v>
      </c>
    </row>
    <row r="221" spans="1:6" x14ac:dyDescent="0.3">
      <c r="A221">
        <v>155045053</v>
      </c>
      <c r="B221" s="1">
        <v>44835</v>
      </c>
      <c r="C221" s="1">
        <v>44927</v>
      </c>
      <c r="D221">
        <v>39</v>
      </c>
      <c r="E221" t="s">
        <v>6</v>
      </c>
      <c r="F221" t="s">
        <v>7</v>
      </c>
    </row>
    <row r="222" spans="1:6" x14ac:dyDescent="0.3">
      <c r="A222">
        <v>133869989</v>
      </c>
      <c r="B222" s="1">
        <v>44835</v>
      </c>
      <c r="C222" s="1">
        <v>44867</v>
      </c>
      <c r="D222">
        <v>39</v>
      </c>
      <c r="E222" t="s">
        <v>6</v>
      </c>
      <c r="F222" t="s">
        <v>7</v>
      </c>
    </row>
    <row r="223" spans="1:6" x14ac:dyDescent="0.3">
      <c r="A223">
        <v>156863940</v>
      </c>
      <c r="B223" s="1">
        <v>44835</v>
      </c>
      <c r="C223" s="1">
        <v>44867</v>
      </c>
      <c r="D223">
        <v>39</v>
      </c>
      <c r="E223" t="s">
        <v>6</v>
      </c>
      <c r="F223" t="s">
        <v>7</v>
      </c>
    </row>
    <row r="224" spans="1:6" x14ac:dyDescent="0.3">
      <c r="A224">
        <v>156884323</v>
      </c>
      <c r="B224" s="1">
        <v>44835</v>
      </c>
      <c r="C224" s="1">
        <v>44859</v>
      </c>
      <c r="D224">
        <v>39</v>
      </c>
      <c r="E224" t="s">
        <v>6</v>
      </c>
      <c r="F224" t="s">
        <v>7</v>
      </c>
    </row>
    <row r="225" spans="1:6" x14ac:dyDescent="0.3">
      <c r="A225">
        <v>156365410</v>
      </c>
      <c r="B225" s="1">
        <v>44835</v>
      </c>
      <c r="C225" s="1">
        <v>44863</v>
      </c>
      <c r="D225">
        <v>39</v>
      </c>
      <c r="E225" t="s">
        <v>6</v>
      </c>
      <c r="F225" t="s">
        <v>7</v>
      </c>
    </row>
    <row r="226" spans="1:6" x14ac:dyDescent="0.3">
      <c r="A226">
        <v>153957162</v>
      </c>
      <c r="B226" s="1">
        <v>44836</v>
      </c>
      <c r="D226">
        <v>39</v>
      </c>
      <c r="E226" t="s">
        <v>6</v>
      </c>
      <c r="F226" t="s">
        <v>7</v>
      </c>
    </row>
    <row r="227" spans="1:6" x14ac:dyDescent="0.3">
      <c r="A227">
        <v>152436949</v>
      </c>
      <c r="B227" s="1">
        <v>44836</v>
      </c>
      <c r="C227" s="1">
        <v>44837</v>
      </c>
      <c r="D227">
        <v>39</v>
      </c>
      <c r="E227" t="s">
        <v>6</v>
      </c>
      <c r="F227" t="s">
        <v>8</v>
      </c>
    </row>
    <row r="228" spans="1:6" x14ac:dyDescent="0.3">
      <c r="A228">
        <v>156403612</v>
      </c>
      <c r="B228" s="1">
        <v>44836</v>
      </c>
      <c r="C228" s="1">
        <v>44952</v>
      </c>
      <c r="D228">
        <v>39</v>
      </c>
      <c r="E228" t="s">
        <v>6</v>
      </c>
      <c r="F228" t="s">
        <v>7</v>
      </c>
    </row>
    <row r="229" spans="1:6" x14ac:dyDescent="0.3">
      <c r="A229">
        <v>154198756</v>
      </c>
      <c r="B229" s="1">
        <v>44836</v>
      </c>
      <c r="C229" s="1">
        <v>44879</v>
      </c>
      <c r="D229">
        <v>39</v>
      </c>
      <c r="E229" t="s">
        <v>6</v>
      </c>
      <c r="F229" t="s">
        <v>7</v>
      </c>
    </row>
    <row r="230" spans="1:6" x14ac:dyDescent="0.3">
      <c r="A230">
        <v>156917754</v>
      </c>
      <c r="B230" s="1">
        <v>44836</v>
      </c>
      <c r="C230" s="1">
        <v>44862</v>
      </c>
      <c r="D230">
        <v>39</v>
      </c>
      <c r="E230" t="s">
        <v>6</v>
      </c>
      <c r="F230" t="s">
        <v>7</v>
      </c>
    </row>
    <row r="231" spans="1:6" x14ac:dyDescent="0.3">
      <c r="A231">
        <v>134975906</v>
      </c>
      <c r="B231" s="1">
        <v>44837</v>
      </c>
      <c r="C231" s="1">
        <v>44861</v>
      </c>
      <c r="D231">
        <v>39</v>
      </c>
      <c r="E231" t="s">
        <v>6</v>
      </c>
      <c r="F231" t="s">
        <v>7</v>
      </c>
    </row>
    <row r="232" spans="1:6" x14ac:dyDescent="0.3">
      <c r="A232">
        <v>156955735</v>
      </c>
      <c r="B232" s="1">
        <v>44837</v>
      </c>
      <c r="C232" s="1">
        <v>45109</v>
      </c>
      <c r="D232">
        <v>39</v>
      </c>
      <c r="E232" t="s">
        <v>6</v>
      </c>
      <c r="F232" t="s">
        <v>7</v>
      </c>
    </row>
    <row r="233" spans="1:6" x14ac:dyDescent="0.3">
      <c r="A233">
        <v>156982750</v>
      </c>
      <c r="B233" s="1">
        <v>44837</v>
      </c>
      <c r="C233" s="1">
        <v>44963</v>
      </c>
      <c r="D233">
        <v>39</v>
      </c>
      <c r="E233" t="s">
        <v>6</v>
      </c>
      <c r="F233" t="s">
        <v>7</v>
      </c>
    </row>
    <row r="234" spans="1:6" x14ac:dyDescent="0.3">
      <c r="A234">
        <v>156953312</v>
      </c>
      <c r="B234" s="1">
        <v>44837</v>
      </c>
      <c r="C234" s="1">
        <v>45002</v>
      </c>
      <c r="D234">
        <v>39</v>
      </c>
      <c r="E234" t="s">
        <v>6</v>
      </c>
      <c r="F234" t="s">
        <v>7</v>
      </c>
    </row>
    <row r="235" spans="1:6" x14ac:dyDescent="0.3">
      <c r="A235">
        <v>124642102</v>
      </c>
      <c r="B235" s="1">
        <v>44837</v>
      </c>
      <c r="C235" s="1">
        <v>44929</v>
      </c>
      <c r="D235">
        <v>39</v>
      </c>
      <c r="E235" t="s">
        <v>6</v>
      </c>
      <c r="F235" t="s">
        <v>7</v>
      </c>
    </row>
    <row r="236" spans="1:6" x14ac:dyDescent="0.3">
      <c r="A236">
        <v>156940530</v>
      </c>
      <c r="B236" s="1">
        <v>44837</v>
      </c>
      <c r="C236" s="1">
        <v>44936</v>
      </c>
      <c r="D236">
        <v>39</v>
      </c>
      <c r="E236" t="s">
        <v>6</v>
      </c>
      <c r="F236" t="s">
        <v>7</v>
      </c>
    </row>
    <row r="237" spans="1:6" x14ac:dyDescent="0.3">
      <c r="A237">
        <v>155602780</v>
      </c>
      <c r="B237" s="1">
        <v>44837</v>
      </c>
      <c r="C237" s="1">
        <v>44946</v>
      </c>
      <c r="D237">
        <v>39</v>
      </c>
      <c r="E237" t="s">
        <v>6</v>
      </c>
      <c r="F237" t="s">
        <v>7</v>
      </c>
    </row>
    <row r="238" spans="1:6" x14ac:dyDescent="0.3">
      <c r="A238">
        <v>149635726</v>
      </c>
      <c r="B238" s="1">
        <v>44837</v>
      </c>
      <c r="C238" s="1">
        <v>44873</v>
      </c>
      <c r="D238">
        <v>39</v>
      </c>
      <c r="E238" t="s">
        <v>6</v>
      </c>
      <c r="F238" t="s">
        <v>7</v>
      </c>
    </row>
    <row r="239" spans="1:6" x14ac:dyDescent="0.3">
      <c r="A239">
        <v>152660102</v>
      </c>
      <c r="B239" s="1">
        <v>44837</v>
      </c>
      <c r="C239" s="1">
        <v>44893</v>
      </c>
      <c r="D239">
        <v>39</v>
      </c>
      <c r="E239" t="s">
        <v>6</v>
      </c>
      <c r="F239" t="s">
        <v>7</v>
      </c>
    </row>
    <row r="240" spans="1:6" x14ac:dyDescent="0.3">
      <c r="A240">
        <v>153620734</v>
      </c>
      <c r="B240" s="1">
        <v>44837</v>
      </c>
      <c r="C240" s="1">
        <v>44894</v>
      </c>
      <c r="D240">
        <v>39</v>
      </c>
      <c r="E240" t="s">
        <v>6</v>
      </c>
      <c r="F240" t="s">
        <v>7</v>
      </c>
    </row>
    <row r="241" spans="1:6" x14ac:dyDescent="0.3">
      <c r="A241">
        <v>156940254</v>
      </c>
      <c r="B241" s="1">
        <v>44837</v>
      </c>
      <c r="C241" s="1">
        <v>44837</v>
      </c>
      <c r="D241">
        <v>39</v>
      </c>
      <c r="E241" t="s">
        <v>6</v>
      </c>
      <c r="F241" t="s">
        <v>7</v>
      </c>
    </row>
    <row r="242" spans="1:6" x14ac:dyDescent="0.3">
      <c r="A242">
        <v>156940060</v>
      </c>
      <c r="B242" s="1">
        <v>44837</v>
      </c>
      <c r="C242" s="1">
        <v>44844</v>
      </c>
      <c r="D242">
        <v>39</v>
      </c>
      <c r="E242" t="s">
        <v>6</v>
      </c>
      <c r="F242" t="s">
        <v>7</v>
      </c>
    </row>
    <row r="243" spans="1:6" x14ac:dyDescent="0.3">
      <c r="A243">
        <v>156938938</v>
      </c>
      <c r="B243" s="1">
        <v>44837</v>
      </c>
      <c r="C243" s="1">
        <v>44837</v>
      </c>
      <c r="D243">
        <v>39</v>
      </c>
      <c r="E243" t="s">
        <v>6</v>
      </c>
      <c r="F243" t="s">
        <v>7</v>
      </c>
    </row>
    <row r="244" spans="1:6" x14ac:dyDescent="0.3">
      <c r="A244">
        <v>156955272</v>
      </c>
      <c r="B244" s="1">
        <v>44838</v>
      </c>
      <c r="C244" s="1">
        <v>45037</v>
      </c>
      <c r="D244">
        <v>39</v>
      </c>
      <c r="E244" t="s">
        <v>6</v>
      </c>
      <c r="F244" t="s">
        <v>7</v>
      </c>
    </row>
    <row r="245" spans="1:6" x14ac:dyDescent="0.3">
      <c r="A245">
        <v>156941638</v>
      </c>
      <c r="B245" s="1">
        <v>44838</v>
      </c>
      <c r="C245" s="1">
        <v>45000</v>
      </c>
      <c r="D245">
        <v>39</v>
      </c>
      <c r="E245" t="s">
        <v>6</v>
      </c>
      <c r="F245" t="s">
        <v>7</v>
      </c>
    </row>
    <row r="246" spans="1:6" x14ac:dyDescent="0.3">
      <c r="A246">
        <v>157154624</v>
      </c>
      <c r="B246" s="1">
        <v>44838</v>
      </c>
      <c r="C246" s="1">
        <v>44956</v>
      </c>
      <c r="D246">
        <v>39</v>
      </c>
      <c r="E246" t="s">
        <v>6</v>
      </c>
      <c r="F246" t="s">
        <v>7</v>
      </c>
    </row>
    <row r="247" spans="1:6" x14ac:dyDescent="0.3">
      <c r="A247">
        <v>151677119</v>
      </c>
      <c r="B247" s="1">
        <v>44838</v>
      </c>
      <c r="C247" s="1">
        <v>44909</v>
      </c>
      <c r="D247">
        <v>39</v>
      </c>
      <c r="E247" t="s">
        <v>6</v>
      </c>
      <c r="F247" t="s">
        <v>7</v>
      </c>
    </row>
    <row r="248" spans="1:6" x14ac:dyDescent="0.3">
      <c r="A248">
        <v>139465940</v>
      </c>
      <c r="B248" s="1">
        <v>44838</v>
      </c>
      <c r="C248" s="1">
        <v>44870</v>
      </c>
      <c r="D248">
        <v>39</v>
      </c>
      <c r="E248" t="s">
        <v>6</v>
      </c>
      <c r="F248" t="s">
        <v>7</v>
      </c>
    </row>
    <row r="249" spans="1:6" x14ac:dyDescent="0.3">
      <c r="A249">
        <v>156895692</v>
      </c>
      <c r="B249" s="1">
        <v>44839</v>
      </c>
      <c r="D249">
        <v>39</v>
      </c>
      <c r="E249" t="s">
        <v>6</v>
      </c>
      <c r="F249" t="s">
        <v>7</v>
      </c>
    </row>
    <row r="250" spans="1:6" x14ac:dyDescent="0.3">
      <c r="A250">
        <v>153587226</v>
      </c>
      <c r="B250" s="1">
        <v>44839</v>
      </c>
      <c r="D250">
        <v>39</v>
      </c>
      <c r="E250" t="s">
        <v>6</v>
      </c>
      <c r="F250" t="s">
        <v>7</v>
      </c>
    </row>
    <row r="251" spans="1:6" x14ac:dyDescent="0.3">
      <c r="A251">
        <v>157295262</v>
      </c>
      <c r="B251" s="1">
        <v>44839</v>
      </c>
      <c r="C251" s="1">
        <v>45019</v>
      </c>
      <c r="D251">
        <v>39</v>
      </c>
      <c r="E251" t="s">
        <v>6</v>
      </c>
      <c r="F251" t="s">
        <v>7</v>
      </c>
    </row>
    <row r="252" spans="1:6" x14ac:dyDescent="0.3">
      <c r="A252">
        <v>157284386</v>
      </c>
      <c r="B252" s="1">
        <v>44839</v>
      </c>
      <c r="C252" s="1">
        <v>45018</v>
      </c>
      <c r="D252">
        <v>39</v>
      </c>
      <c r="E252" t="s">
        <v>6</v>
      </c>
      <c r="F252" t="s">
        <v>7</v>
      </c>
    </row>
    <row r="253" spans="1:6" x14ac:dyDescent="0.3">
      <c r="A253">
        <v>148762867</v>
      </c>
      <c r="B253" s="1">
        <v>44839</v>
      </c>
      <c r="C253" s="1">
        <v>45100</v>
      </c>
      <c r="D253">
        <v>39</v>
      </c>
      <c r="E253" t="s">
        <v>6</v>
      </c>
      <c r="F253" t="s">
        <v>7</v>
      </c>
    </row>
    <row r="254" spans="1:6" x14ac:dyDescent="0.3">
      <c r="A254">
        <v>150433978</v>
      </c>
      <c r="B254" s="1">
        <v>44839</v>
      </c>
      <c r="C254" s="1">
        <v>44870</v>
      </c>
      <c r="D254">
        <v>39</v>
      </c>
      <c r="E254" t="s">
        <v>6</v>
      </c>
      <c r="F254" t="s">
        <v>7</v>
      </c>
    </row>
    <row r="255" spans="1:6" x14ac:dyDescent="0.3">
      <c r="A255">
        <v>157272487</v>
      </c>
      <c r="B255" s="1">
        <v>44839</v>
      </c>
      <c r="C255" s="1">
        <v>44902</v>
      </c>
      <c r="D255">
        <v>39</v>
      </c>
      <c r="E255" t="s">
        <v>6</v>
      </c>
      <c r="F255" t="s">
        <v>7</v>
      </c>
    </row>
    <row r="256" spans="1:6" x14ac:dyDescent="0.3">
      <c r="A256">
        <v>153776370</v>
      </c>
      <c r="B256" s="1">
        <v>44840</v>
      </c>
      <c r="C256" s="1">
        <v>44901</v>
      </c>
      <c r="D256">
        <v>39</v>
      </c>
      <c r="E256" t="s">
        <v>6</v>
      </c>
      <c r="F256" t="s">
        <v>7</v>
      </c>
    </row>
    <row r="257" spans="1:6" x14ac:dyDescent="0.3">
      <c r="A257">
        <v>157371444</v>
      </c>
      <c r="B257" s="1">
        <v>44840</v>
      </c>
      <c r="C257" s="1">
        <v>44903</v>
      </c>
      <c r="D257">
        <v>39</v>
      </c>
      <c r="E257" t="s">
        <v>6</v>
      </c>
      <c r="F257" t="s">
        <v>7</v>
      </c>
    </row>
    <row r="258" spans="1:6" x14ac:dyDescent="0.3">
      <c r="A258">
        <v>157095464</v>
      </c>
      <c r="B258" s="1">
        <v>44840</v>
      </c>
      <c r="C258" s="1">
        <v>45120</v>
      </c>
      <c r="D258">
        <v>39</v>
      </c>
      <c r="E258" t="s">
        <v>6</v>
      </c>
      <c r="F258" t="s">
        <v>7</v>
      </c>
    </row>
    <row r="259" spans="1:6" x14ac:dyDescent="0.3">
      <c r="A259">
        <v>153554190</v>
      </c>
      <c r="B259" s="1">
        <v>44841</v>
      </c>
      <c r="D259">
        <v>39</v>
      </c>
      <c r="E259" t="s">
        <v>6</v>
      </c>
      <c r="F259" t="s">
        <v>7</v>
      </c>
    </row>
    <row r="260" spans="1:6" x14ac:dyDescent="0.3">
      <c r="A260">
        <v>157411994</v>
      </c>
      <c r="B260" s="1">
        <v>44841</v>
      </c>
      <c r="D260">
        <v>39</v>
      </c>
      <c r="E260" t="s">
        <v>6</v>
      </c>
      <c r="F260" t="s">
        <v>7</v>
      </c>
    </row>
    <row r="261" spans="1:6" x14ac:dyDescent="0.3">
      <c r="A261">
        <v>157374056</v>
      </c>
      <c r="B261" s="1">
        <v>44841</v>
      </c>
      <c r="C261" s="1">
        <v>44872</v>
      </c>
      <c r="D261">
        <v>39</v>
      </c>
      <c r="E261" t="s">
        <v>6</v>
      </c>
      <c r="F261" t="s">
        <v>7</v>
      </c>
    </row>
    <row r="262" spans="1:6" x14ac:dyDescent="0.3">
      <c r="A262">
        <v>157397941</v>
      </c>
      <c r="B262" s="1">
        <v>44841</v>
      </c>
      <c r="C262" s="1">
        <v>44868</v>
      </c>
      <c r="D262">
        <v>39</v>
      </c>
      <c r="E262" t="s">
        <v>6</v>
      </c>
      <c r="F262" t="s">
        <v>7</v>
      </c>
    </row>
    <row r="263" spans="1:6" x14ac:dyDescent="0.3">
      <c r="A263">
        <v>157234944</v>
      </c>
      <c r="B263" s="1">
        <v>44841</v>
      </c>
      <c r="C263" s="1">
        <v>44858</v>
      </c>
      <c r="D263">
        <v>39</v>
      </c>
      <c r="E263" t="s">
        <v>6</v>
      </c>
      <c r="F263" t="s">
        <v>7</v>
      </c>
    </row>
    <row r="264" spans="1:6" x14ac:dyDescent="0.3">
      <c r="A264">
        <v>157490039</v>
      </c>
      <c r="B264" s="1">
        <v>44842</v>
      </c>
      <c r="C264" s="1">
        <v>45000</v>
      </c>
      <c r="D264">
        <v>39</v>
      </c>
      <c r="E264" t="s">
        <v>6</v>
      </c>
      <c r="F264" t="s">
        <v>7</v>
      </c>
    </row>
    <row r="265" spans="1:6" x14ac:dyDescent="0.3">
      <c r="A265">
        <v>157484010</v>
      </c>
      <c r="B265" s="1">
        <v>44842</v>
      </c>
      <c r="C265" s="1">
        <v>45000</v>
      </c>
      <c r="D265">
        <v>39</v>
      </c>
      <c r="E265" t="s">
        <v>6</v>
      </c>
      <c r="F265" t="s">
        <v>7</v>
      </c>
    </row>
    <row r="266" spans="1:6" x14ac:dyDescent="0.3">
      <c r="A266">
        <v>125038257</v>
      </c>
      <c r="B266" s="1">
        <v>44842</v>
      </c>
      <c r="C266" s="1">
        <v>44882</v>
      </c>
      <c r="D266">
        <v>39</v>
      </c>
      <c r="E266" t="s">
        <v>6</v>
      </c>
      <c r="F266" t="s">
        <v>7</v>
      </c>
    </row>
    <row r="267" spans="1:6" x14ac:dyDescent="0.3">
      <c r="A267">
        <v>157400730</v>
      </c>
      <c r="B267" s="1">
        <v>44842</v>
      </c>
      <c r="C267" s="1">
        <v>44860</v>
      </c>
      <c r="D267">
        <v>39</v>
      </c>
      <c r="E267" t="s">
        <v>6</v>
      </c>
      <c r="F267" t="s">
        <v>7</v>
      </c>
    </row>
    <row r="268" spans="1:6" x14ac:dyDescent="0.3">
      <c r="A268">
        <v>157450645</v>
      </c>
      <c r="B268" s="1">
        <v>44842</v>
      </c>
      <c r="C268" s="1">
        <v>44852</v>
      </c>
      <c r="D268">
        <v>39</v>
      </c>
      <c r="E268" t="s">
        <v>6</v>
      </c>
      <c r="F268" t="s">
        <v>7</v>
      </c>
    </row>
    <row r="269" spans="1:6" x14ac:dyDescent="0.3">
      <c r="A269">
        <v>156943008</v>
      </c>
      <c r="B269" s="1">
        <v>44843</v>
      </c>
      <c r="C269" s="1">
        <v>44844</v>
      </c>
      <c r="D269">
        <v>39</v>
      </c>
      <c r="E269" t="s">
        <v>6</v>
      </c>
      <c r="F269" t="s">
        <v>7</v>
      </c>
    </row>
    <row r="270" spans="1:6" x14ac:dyDescent="0.3">
      <c r="A270">
        <v>127328047</v>
      </c>
      <c r="B270" s="1">
        <v>44843</v>
      </c>
      <c r="C270" s="1">
        <v>44942</v>
      </c>
      <c r="D270">
        <v>39</v>
      </c>
      <c r="E270" t="s">
        <v>6</v>
      </c>
      <c r="F270" t="s">
        <v>7</v>
      </c>
    </row>
    <row r="271" spans="1:6" x14ac:dyDescent="0.3">
      <c r="A271">
        <v>157506842</v>
      </c>
      <c r="B271" s="1">
        <v>44843</v>
      </c>
      <c r="C271" s="1">
        <v>44880</v>
      </c>
      <c r="D271">
        <v>39</v>
      </c>
      <c r="E271" t="s">
        <v>6</v>
      </c>
      <c r="F271" t="s">
        <v>7</v>
      </c>
    </row>
    <row r="272" spans="1:6" x14ac:dyDescent="0.3">
      <c r="A272">
        <v>150924853</v>
      </c>
      <c r="B272" s="1">
        <v>44843</v>
      </c>
      <c r="C272" s="1">
        <v>44888</v>
      </c>
      <c r="D272">
        <v>39</v>
      </c>
      <c r="E272" t="s">
        <v>6</v>
      </c>
      <c r="F272" t="s">
        <v>7</v>
      </c>
    </row>
    <row r="273" spans="1:6" x14ac:dyDescent="0.3">
      <c r="A273">
        <v>156996568</v>
      </c>
      <c r="B273" s="1">
        <v>44844</v>
      </c>
      <c r="D273">
        <v>39</v>
      </c>
      <c r="E273" t="s">
        <v>6</v>
      </c>
      <c r="F273" t="s">
        <v>7</v>
      </c>
    </row>
    <row r="274" spans="1:6" x14ac:dyDescent="0.3">
      <c r="A274">
        <v>157627904</v>
      </c>
      <c r="B274" s="1">
        <v>44844</v>
      </c>
      <c r="C274" s="1">
        <v>44937</v>
      </c>
      <c r="D274">
        <v>39</v>
      </c>
      <c r="E274" t="s">
        <v>6</v>
      </c>
      <c r="F274" t="s">
        <v>7</v>
      </c>
    </row>
    <row r="275" spans="1:6" x14ac:dyDescent="0.3">
      <c r="A275">
        <v>157058101</v>
      </c>
      <c r="B275" s="1">
        <v>44844</v>
      </c>
      <c r="C275" s="1">
        <v>44874</v>
      </c>
      <c r="D275">
        <v>39</v>
      </c>
      <c r="E275" t="s">
        <v>6</v>
      </c>
      <c r="F275" t="s">
        <v>7</v>
      </c>
    </row>
    <row r="276" spans="1:6" x14ac:dyDescent="0.3">
      <c r="A276">
        <v>157394598</v>
      </c>
      <c r="B276" s="1">
        <v>44845</v>
      </c>
      <c r="C276" s="1">
        <v>44846</v>
      </c>
      <c r="D276">
        <v>39</v>
      </c>
      <c r="E276" t="s">
        <v>6</v>
      </c>
      <c r="F276" t="s">
        <v>8</v>
      </c>
    </row>
    <row r="277" spans="1:6" x14ac:dyDescent="0.3">
      <c r="A277">
        <v>157765918</v>
      </c>
      <c r="B277" s="1">
        <v>44845</v>
      </c>
      <c r="C277" s="1">
        <v>44846</v>
      </c>
      <c r="D277">
        <v>39</v>
      </c>
      <c r="E277" t="s">
        <v>6</v>
      </c>
      <c r="F277" t="s">
        <v>8</v>
      </c>
    </row>
    <row r="278" spans="1:6" x14ac:dyDescent="0.3">
      <c r="A278">
        <v>157746458</v>
      </c>
      <c r="B278" s="1">
        <v>44845</v>
      </c>
      <c r="C278" s="1">
        <v>45041</v>
      </c>
      <c r="D278">
        <v>39</v>
      </c>
      <c r="E278" t="s">
        <v>6</v>
      </c>
      <c r="F278" t="s">
        <v>7</v>
      </c>
    </row>
    <row r="279" spans="1:6" x14ac:dyDescent="0.3">
      <c r="A279">
        <v>157590918</v>
      </c>
      <c r="B279" s="1">
        <v>44845</v>
      </c>
      <c r="C279" s="1">
        <v>44969</v>
      </c>
      <c r="D279">
        <v>39</v>
      </c>
      <c r="E279" t="s">
        <v>6</v>
      </c>
      <c r="F279" t="s">
        <v>7</v>
      </c>
    </row>
    <row r="280" spans="1:6" x14ac:dyDescent="0.3">
      <c r="A280">
        <v>157290992</v>
      </c>
      <c r="B280" s="1">
        <v>44845</v>
      </c>
      <c r="C280" s="1">
        <v>44936</v>
      </c>
      <c r="D280">
        <v>39</v>
      </c>
      <c r="E280" t="s">
        <v>6</v>
      </c>
      <c r="F280" t="s">
        <v>7</v>
      </c>
    </row>
    <row r="281" spans="1:6" x14ac:dyDescent="0.3">
      <c r="A281">
        <v>156895701</v>
      </c>
      <c r="B281" s="1">
        <v>44845</v>
      </c>
      <c r="C281" s="1">
        <v>44913</v>
      </c>
      <c r="D281">
        <v>39</v>
      </c>
      <c r="E281" t="s">
        <v>6</v>
      </c>
      <c r="F281" t="s">
        <v>7</v>
      </c>
    </row>
    <row r="282" spans="1:6" x14ac:dyDescent="0.3">
      <c r="A282">
        <v>155926313</v>
      </c>
      <c r="B282" s="1">
        <v>44845</v>
      </c>
      <c r="C282" s="1">
        <v>44893</v>
      </c>
      <c r="D282">
        <v>39</v>
      </c>
      <c r="E282" t="s">
        <v>6</v>
      </c>
      <c r="F282" t="s">
        <v>7</v>
      </c>
    </row>
    <row r="283" spans="1:6" x14ac:dyDescent="0.3">
      <c r="A283">
        <v>156110000</v>
      </c>
      <c r="B283" s="1">
        <v>44845</v>
      </c>
      <c r="C283" s="1">
        <v>44881</v>
      </c>
      <c r="D283">
        <v>39</v>
      </c>
      <c r="E283" t="s">
        <v>6</v>
      </c>
      <c r="F283" t="s">
        <v>7</v>
      </c>
    </row>
    <row r="284" spans="1:6" x14ac:dyDescent="0.3">
      <c r="A284">
        <v>157851493</v>
      </c>
      <c r="B284" s="1">
        <v>44846</v>
      </c>
      <c r="C284" s="1">
        <v>45020</v>
      </c>
      <c r="D284">
        <v>39</v>
      </c>
      <c r="E284" t="s">
        <v>6</v>
      </c>
      <c r="F284" t="s">
        <v>7</v>
      </c>
    </row>
    <row r="285" spans="1:6" x14ac:dyDescent="0.3">
      <c r="A285">
        <v>157792408</v>
      </c>
      <c r="B285" s="1">
        <v>44846</v>
      </c>
      <c r="C285" s="1">
        <v>45087</v>
      </c>
      <c r="D285">
        <v>39</v>
      </c>
      <c r="E285" t="s">
        <v>6</v>
      </c>
      <c r="F285" t="s">
        <v>7</v>
      </c>
    </row>
    <row r="286" spans="1:6" x14ac:dyDescent="0.3">
      <c r="A286">
        <v>157868778</v>
      </c>
      <c r="B286" s="1">
        <v>44846</v>
      </c>
      <c r="C286" s="1">
        <v>44872</v>
      </c>
      <c r="D286">
        <v>39</v>
      </c>
      <c r="E286" t="s">
        <v>6</v>
      </c>
      <c r="F286" t="s">
        <v>7</v>
      </c>
    </row>
    <row r="287" spans="1:6" x14ac:dyDescent="0.3">
      <c r="A287">
        <v>157833252</v>
      </c>
      <c r="B287" s="1">
        <v>44846</v>
      </c>
      <c r="C287" s="1">
        <v>44857</v>
      </c>
      <c r="D287">
        <v>39</v>
      </c>
      <c r="E287" t="s">
        <v>6</v>
      </c>
      <c r="F287" t="s">
        <v>7</v>
      </c>
    </row>
    <row r="288" spans="1:6" x14ac:dyDescent="0.3">
      <c r="A288">
        <v>149662340</v>
      </c>
      <c r="B288" s="1">
        <v>44847</v>
      </c>
      <c r="D288">
        <v>39</v>
      </c>
      <c r="E288" t="s">
        <v>6</v>
      </c>
      <c r="F288" t="s">
        <v>7</v>
      </c>
    </row>
    <row r="289" spans="1:6" x14ac:dyDescent="0.3">
      <c r="A289">
        <v>126918448</v>
      </c>
      <c r="B289" s="1">
        <v>44847</v>
      </c>
      <c r="D289">
        <v>39</v>
      </c>
      <c r="E289" t="s">
        <v>6</v>
      </c>
      <c r="F289" t="s">
        <v>7</v>
      </c>
    </row>
    <row r="290" spans="1:6" x14ac:dyDescent="0.3">
      <c r="A290">
        <v>136897370</v>
      </c>
      <c r="B290" s="1">
        <v>44847</v>
      </c>
      <c r="C290" s="1">
        <v>44943</v>
      </c>
      <c r="D290">
        <v>39</v>
      </c>
      <c r="E290" t="s">
        <v>6</v>
      </c>
      <c r="F290" t="s">
        <v>7</v>
      </c>
    </row>
    <row r="291" spans="1:6" x14ac:dyDescent="0.3">
      <c r="A291">
        <v>157921307</v>
      </c>
      <c r="B291" s="1">
        <v>44847</v>
      </c>
      <c r="C291" s="1">
        <v>45076</v>
      </c>
      <c r="D291">
        <v>39</v>
      </c>
      <c r="E291" t="s">
        <v>6</v>
      </c>
      <c r="F291" t="s">
        <v>7</v>
      </c>
    </row>
    <row r="292" spans="1:6" x14ac:dyDescent="0.3">
      <c r="A292">
        <v>157905868</v>
      </c>
      <c r="B292" s="1">
        <v>44847</v>
      </c>
      <c r="C292" s="1">
        <v>44963</v>
      </c>
      <c r="D292">
        <v>39</v>
      </c>
      <c r="E292" t="s">
        <v>6</v>
      </c>
      <c r="F292" t="s">
        <v>7</v>
      </c>
    </row>
    <row r="293" spans="1:6" x14ac:dyDescent="0.3">
      <c r="A293">
        <v>152377785</v>
      </c>
      <c r="B293" s="1">
        <v>44847</v>
      </c>
      <c r="C293" s="1">
        <v>44937</v>
      </c>
      <c r="D293">
        <v>39</v>
      </c>
      <c r="E293" t="s">
        <v>6</v>
      </c>
      <c r="F293" t="s">
        <v>7</v>
      </c>
    </row>
    <row r="294" spans="1:6" x14ac:dyDescent="0.3">
      <c r="A294">
        <v>157567612</v>
      </c>
      <c r="B294" s="1">
        <v>44847</v>
      </c>
      <c r="C294" s="1">
        <v>44868</v>
      </c>
      <c r="D294">
        <v>39</v>
      </c>
      <c r="E294" t="s">
        <v>6</v>
      </c>
      <c r="F294" t="s">
        <v>7</v>
      </c>
    </row>
    <row r="295" spans="1:6" x14ac:dyDescent="0.3">
      <c r="A295">
        <v>157993772</v>
      </c>
      <c r="B295" s="1">
        <v>44849</v>
      </c>
      <c r="C295" s="1">
        <v>44849</v>
      </c>
      <c r="D295">
        <v>39</v>
      </c>
      <c r="E295" t="s">
        <v>6</v>
      </c>
      <c r="F295" t="s">
        <v>8</v>
      </c>
    </row>
    <row r="296" spans="1:6" x14ac:dyDescent="0.3">
      <c r="A296">
        <v>148769034</v>
      </c>
      <c r="B296" s="1">
        <v>44849</v>
      </c>
      <c r="C296" s="1">
        <v>44998</v>
      </c>
      <c r="D296">
        <v>39</v>
      </c>
      <c r="E296" t="s">
        <v>6</v>
      </c>
      <c r="F296" t="s">
        <v>7</v>
      </c>
    </row>
    <row r="297" spans="1:6" x14ac:dyDescent="0.3">
      <c r="A297">
        <v>158050283</v>
      </c>
      <c r="B297" s="1">
        <v>44849</v>
      </c>
      <c r="C297" s="1">
        <v>45114</v>
      </c>
      <c r="D297">
        <v>39</v>
      </c>
      <c r="E297" t="s">
        <v>6</v>
      </c>
      <c r="F297" t="s">
        <v>7</v>
      </c>
    </row>
    <row r="298" spans="1:6" x14ac:dyDescent="0.3">
      <c r="A298">
        <v>157436507</v>
      </c>
      <c r="B298" s="1">
        <v>44850</v>
      </c>
      <c r="D298">
        <v>39</v>
      </c>
      <c r="E298" t="s">
        <v>6</v>
      </c>
      <c r="F298" t="s">
        <v>7</v>
      </c>
    </row>
    <row r="299" spans="1:6" x14ac:dyDescent="0.3">
      <c r="A299">
        <v>123808301</v>
      </c>
      <c r="B299" s="1">
        <v>44850</v>
      </c>
      <c r="C299" s="1">
        <v>44861</v>
      </c>
      <c r="D299">
        <v>39</v>
      </c>
      <c r="E299" t="s">
        <v>6</v>
      </c>
      <c r="F299" t="s">
        <v>7</v>
      </c>
    </row>
    <row r="300" spans="1:6" x14ac:dyDescent="0.3">
      <c r="A300">
        <v>158033452</v>
      </c>
      <c r="B300" s="1">
        <v>44850</v>
      </c>
      <c r="C300" s="1">
        <v>44987</v>
      </c>
      <c r="D300">
        <v>39</v>
      </c>
      <c r="E300" t="s">
        <v>6</v>
      </c>
      <c r="F300" t="s">
        <v>7</v>
      </c>
    </row>
    <row r="301" spans="1:6" x14ac:dyDescent="0.3">
      <c r="A301">
        <v>156796659</v>
      </c>
      <c r="B301" s="1">
        <v>44850</v>
      </c>
      <c r="C301" s="1">
        <v>44994</v>
      </c>
      <c r="D301">
        <v>39</v>
      </c>
      <c r="E301" t="s">
        <v>6</v>
      </c>
      <c r="F301" t="s">
        <v>7</v>
      </c>
    </row>
    <row r="302" spans="1:6" x14ac:dyDescent="0.3">
      <c r="A302">
        <v>158093021</v>
      </c>
      <c r="B302" s="1">
        <v>44850</v>
      </c>
      <c r="C302" s="1">
        <v>44922</v>
      </c>
      <c r="D302">
        <v>39</v>
      </c>
      <c r="E302" t="s">
        <v>6</v>
      </c>
      <c r="F302" t="s">
        <v>7</v>
      </c>
    </row>
    <row r="303" spans="1:6" x14ac:dyDescent="0.3">
      <c r="A303">
        <v>157900412</v>
      </c>
      <c r="B303" s="1">
        <v>44850</v>
      </c>
      <c r="C303" s="1">
        <v>44874</v>
      </c>
      <c r="D303">
        <v>39</v>
      </c>
      <c r="E303" t="s">
        <v>6</v>
      </c>
      <c r="F303" t="s">
        <v>7</v>
      </c>
    </row>
    <row r="304" spans="1:6" x14ac:dyDescent="0.3">
      <c r="A304">
        <v>152892719</v>
      </c>
      <c r="B304" s="1">
        <v>44850</v>
      </c>
      <c r="C304" s="1">
        <v>44850</v>
      </c>
      <c r="D304">
        <v>39</v>
      </c>
      <c r="E304" t="s">
        <v>6</v>
      </c>
      <c r="F304" t="s">
        <v>7</v>
      </c>
    </row>
    <row r="305" spans="1:6" x14ac:dyDescent="0.3">
      <c r="A305">
        <v>158009130</v>
      </c>
      <c r="B305" s="1">
        <v>44851</v>
      </c>
      <c r="D305">
        <v>39</v>
      </c>
      <c r="E305" t="s">
        <v>6</v>
      </c>
      <c r="F305" t="s">
        <v>7</v>
      </c>
    </row>
    <row r="306" spans="1:6" x14ac:dyDescent="0.3">
      <c r="A306">
        <v>157904656</v>
      </c>
      <c r="B306" s="1">
        <v>44851</v>
      </c>
      <c r="C306" s="1">
        <v>44910</v>
      </c>
      <c r="D306">
        <v>39</v>
      </c>
      <c r="E306" t="s">
        <v>6</v>
      </c>
      <c r="F306" t="s">
        <v>7</v>
      </c>
    </row>
    <row r="307" spans="1:6" x14ac:dyDescent="0.3">
      <c r="A307">
        <v>157838980</v>
      </c>
      <c r="B307" s="1">
        <v>44851</v>
      </c>
      <c r="C307" s="1">
        <v>44973</v>
      </c>
      <c r="D307">
        <v>39</v>
      </c>
      <c r="E307" t="s">
        <v>6</v>
      </c>
      <c r="F307" t="s">
        <v>7</v>
      </c>
    </row>
    <row r="308" spans="1:6" x14ac:dyDescent="0.3">
      <c r="A308">
        <v>123402996</v>
      </c>
      <c r="B308" s="1">
        <v>44851</v>
      </c>
      <c r="C308" s="1">
        <v>44930</v>
      </c>
      <c r="D308">
        <v>39</v>
      </c>
      <c r="E308" t="s">
        <v>6</v>
      </c>
      <c r="F308" t="s">
        <v>7</v>
      </c>
    </row>
    <row r="309" spans="1:6" x14ac:dyDescent="0.3">
      <c r="A309">
        <v>158112356</v>
      </c>
      <c r="B309" s="1">
        <v>44851</v>
      </c>
      <c r="C309" s="1">
        <v>44925</v>
      </c>
      <c r="D309">
        <v>39</v>
      </c>
      <c r="E309" t="s">
        <v>6</v>
      </c>
      <c r="F309" t="s">
        <v>7</v>
      </c>
    </row>
    <row r="310" spans="1:6" x14ac:dyDescent="0.3">
      <c r="A310">
        <v>152410420</v>
      </c>
      <c r="B310" s="1">
        <v>44851</v>
      </c>
      <c r="C310" s="1">
        <v>44883</v>
      </c>
      <c r="D310">
        <v>39</v>
      </c>
      <c r="E310" t="s">
        <v>6</v>
      </c>
      <c r="F310" t="s">
        <v>7</v>
      </c>
    </row>
    <row r="311" spans="1:6" x14ac:dyDescent="0.3">
      <c r="A311">
        <v>158164441</v>
      </c>
      <c r="B311" s="1">
        <v>44851</v>
      </c>
      <c r="C311" s="1">
        <v>44882</v>
      </c>
      <c r="D311">
        <v>39</v>
      </c>
      <c r="E311" t="s">
        <v>6</v>
      </c>
      <c r="F311" t="s">
        <v>7</v>
      </c>
    </row>
    <row r="312" spans="1:6" x14ac:dyDescent="0.3">
      <c r="A312">
        <v>153956466</v>
      </c>
      <c r="B312" s="1">
        <v>44851</v>
      </c>
      <c r="C312" s="1">
        <v>44882</v>
      </c>
      <c r="D312">
        <v>39</v>
      </c>
      <c r="E312" t="s">
        <v>6</v>
      </c>
      <c r="F312" t="s">
        <v>7</v>
      </c>
    </row>
    <row r="313" spans="1:6" x14ac:dyDescent="0.3">
      <c r="A313">
        <v>158100990</v>
      </c>
      <c r="B313" s="1">
        <v>44851</v>
      </c>
      <c r="C313" s="1">
        <v>44879</v>
      </c>
      <c r="D313">
        <v>39</v>
      </c>
      <c r="E313" t="s">
        <v>6</v>
      </c>
      <c r="F313" t="s">
        <v>7</v>
      </c>
    </row>
    <row r="314" spans="1:6" x14ac:dyDescent="0.3">
      <c r="A314">
        <v>158096894</v>
      </c>
      <c r="B314" s="1">
        <v>44851</v>
      </c>
      <c r="C314" s="1">
        <v>44879</v>
      </c>
      <c r="D314">
        <v>39</v>
      </c>
      <c r="E314" t="s">
        <v>6</v>
      </c>
      <c r="F314" t="s">
        <v>7</v>
      </c>
    </row>
    <row r="315" spans="1:6" x14ac:dyDescent="0.3">
      <c r="A315">
        <v>158066376</v>
      </c>
      <c r="B315" s="1">
        <v>44851</v>
      </c>
      <c r="C315" s="1">
        <v>44873</v>
      </c>
      <c r="D315">
        <v>39</v>
      </c>
      <c r="E315" t="s">
        <v>6</v>
      </c>
      <c r="F315" t="s">
        <v>7</v>
      </c>
    </row>
    <row r="316" spans="1:6" x14ac:dyDescent="0.3">
      <c r="A316">
        <v>158220808</v>
      </c>
      <c r="B316" s="1">
        <v>44852</v>
      </c>
      <c r="D316">
        <v>39</v>
      </c>
      <c r="E316" t="s">
        <v>6</v>
      </c>
      <c r="F316" t="s">
        <v>8</v>
      </c>
    </row>
    <row r="317" spans="1:6" x14ac:dyDescent="0.3">
      <c r="A317">
        <v>131779624</v>
      </c>
      <c r="B317" s="1">
        <v>44852</v>
      </c>
      <c r="C317" s="1">
        <v>44890</v>
      </c>
      <c r="D317">
        <v>39</v>
      </c>
      <c r="E317" t="s">
        <v>6</v>
      </c>
      <c r="F317" t="s">
        <v>7</v>
      </c>
    </row>
    <row r="318" spans="1:6" x14ac:dyDescent="0.3">
      <c r="A318">
        <v>158267390</v>
      </c>
      <c r="B318" s="1">
        <v>44852</v>
      </c>
      <c r="C318" s="1">
        <v>44920</v>
      </c>
      <c r="D318">
        <v>39</v>
      </c>
      <c r="E318" t="s">
        <v>6</v>
      </c>
      <c r="F318" t="s">
        <v>7</v>
      </c>
    </row>
    <row r="319" spans="1:6" x14ac:dyDescent="0.3">
      <c r="A319">
        <v>152354478</v>
      </c>
      <c r="B319" s="1">
        <v>44852</v>
      </c>
      <c r="C319" s="1">
        <v>44959</v>
      </c>
      <c r="D319">
        <v>39</v>
      </c>
      <c r="E319" t="s">
        <v>6</v>
      </c>
      <c r="F319" t="s">
        <v>7</v>
      </c>
    </row>
    <row r="320" spans="1:6" x14ac:dyDescent="0.3">
      <c r="A320">
        <v>146376235</v>
      </c>
      <c r="B320" s="1">
        <v>44852</v>
      </c>
      <c r="C320" s="1">
        <v>44902</v>
      </c>
      <c r="D320">
        <v>39</v>
      </c>
      <c r="E320" t="s">
        <v>6</v>
      </c>
      <c r="F320" t="s">
        <v>7</v>
      </c>
    </row>
    <row r="321" spans="1:6" x14ac:dyDescent="0.3">
      <c r="A321">
        <v>153953296</v>
      </c>
      <c r="B321" s="1">
        <v>44852</v>
      </c>
      <c r="C321" s="1">
        <v>44867</v>
      </c>
      <c r="D321">
        <v>39</v>
      </c>
      <c r="E321" t="s">
        <v>6</v>
      </c>
      <c r="F321" t="s">
        <v>7</v>
      </c>
    </row>
    <row r="322" spans="1:6" x14ac:dyDescent="0.3">
      <c r="A322">
        <v>154659594</v>
      </c>
      <c r="B322" s="1">
        <v>44852</v>
      </c>
      <c r="C322" s="1">
        <v>44879</v>
      </c>
      <c r="D322">
        <v>39</v>
      </c>
      <c r="E322" t="s">
        <v>6</v>
      </c>
      <c r="F322" t="s">
        <v>7</v>
      </c>
    </row>
    <row r="323" spans="1:6" x14ac:dyDescent="0.3">
      <c r="A323">
        <v>157998778</v>
      </c>
      <c r="B323" s="1">
        <v>44852</v>
      </c>
      <c r="C323" s="1">
        <v>44890</v>
      </c>
      <c r="D323">
        <v>39</v>
      </c>
      <c r="E323" t="s">
        <v>6</v>
      </c>
      <c r="F323" t="s">
        <v>7</v>
      </c>
    </row>
    <row r="324" spans="1:6" x14ac:dyDescent="0.3">
      <c r="A324">
        <v>150668840</v>
      </c>
      <c r="B324" s="1">
        <v>44852</v>
      </c>
      <c r="C324" s="1">
        <v>44866</v>
      </c>
      <c r="D324">
        <v>39</v>
      </c>
      <c r="E324" t="s">
        <v>6</v>
      </c>
      <c r="F324" t="s">
        <v>7</v>
      </c>
    </row>
    <row r="325" spans="1:6" x14ac:dyDescent="0.3">
      <c r="A325">
        <v>158184958</v>
      </c>
      <c r="B325" s="1">
        <v>44852</v>
      </c>
      <c r="C325" s="1">
        <v>44867</v>
      </c>
      <c r="D325">
        <v>39</v>
      </c>
      <c r="E325" t="s">
        <v>6</v>
      </c>
      <c r="F325" t="s">
        <v>7</v>
      </c>
    </row>
    <row r="326" spans="1:6" x14ac:dyDescent="0.3">
      <c r="A326">
        <v>158362440</v>
      </c>
      <c r="B326" s="1">
        <v>44853</v>
      </c>
      <c r="C326" s="1">
        <v>45065</v>
      </c>
      <c r="D326">
        <v>39</v>
      </c>
      <c r="E326" t="s">
        <v>6</v>
      </c>
      <c r="F326" t="s">
        <v>7</v>
      </c>
    </row>
    <row r="327" spans="1:6" x14ac:dyDescent="0.3">
      <c r="A327">
        <v>158477370</v>
      </c>
      <c r="B327" s="1">
        <v>44853</v>
      </c>
      <c r="C327" s="1">
        <v>44978</v>
      </c>
      <c r="D327">
        <v>39</v>
      </c>
      <c r="E327" t="s">
        <v>6</v>
      </c>
      <c r="F327" t="s">
        <v>7</v>
      </c>
    </row>
    <row r="328" spans="1:6" x14ac:dyDescent="0.3">
      <c r="A328">
        <v>158047538</v>
      </c>
      <c r="B328" s="1">
        <v>44853</v>
      </c>
      <c r="C328" s="1">
        <v>44948</v>
      </c>
      <c r="D328">
        <v>39</v>
      </c>
      <c r="E328" t="s">
        <v>6</v>
      </c>
      <c r="F328" t="s">
        <v>7</v>
      </c>
    </row>
    <row r="329" spans="1:6" x14ac:dyDescent="0.3">
      <c r="A329">
        <v>157910445</v>
      </c>
      <c r="B329" s="1">
        <v>44853</v>
      </c>
      <c r="C329" s="1">
        <v>44941</v>
      </c>
      <c r="D329">
        <v>39</v>
      </c>
      <c r="E329" t="s">
        <v>6</v>
      </c>
      <c r="F329" t="s">
        <v>7</v>
      </c>
    </row>
    <row r="330" spans="1:6" x14ac:dyDescent="0.3">
      <c r="A330">
        <v>154091460</v>
      </c>
      <c r="B330" s="1">
        <v>44853</v>
      </c>
      <c r="C330" s="1">
        <v>45098</v>
      </c>
      <c r="D330">
        <v>39</v>
      </c>
      <c r="E330" t="s">
        <v>6</v>
      </c>
      <c r="F330" t="s">
        <v>7</v>
      </c>
    </row>
    <row r="331" spans="1:6" x14ac:dyDescent="0.3">
      <c r="A331">
        <v>158532103</v>
      </c>
      <c r="B331" s="1">
        <v>44854</v>
      </c>
      <c r="C331" s="1">
        <v>45059</v>
      </c>
      <c r="D331">
        <v>39</v>
      </c>
      <c r="E331" t="s">
        <v>6</v>
      </c>
      <c r="F331" t="s">
        <v>7</v>
      </c>
    </row>
    <row r="332" spans="1:6" x14ac:dyDescent="0.3">
      <c r="A332">
        <v>158591698</v>
      </c>
      <c r="B332" s="1">
        <v>44854</v>
      </c>
      <c r="C332" s="1">
        <v>45002</v>
      </c>
      <c r="D332">
        <v>39</v>
      </c>
      <c r="E332" t="s">
        <v>6</v>
      </c>
      <c r="F332" t="s">
        <v>7</v>
      </c>
    </row>
    <row r="333" spans="1:6" x14ac:dyDescent="0.3">
      <c r="A333">
        <v>158533909</v>
      </c>
      <c r="B333" s="1">
        <v>44854</v>
      </c>
      <c r="C333" s="1">
        <v>44953</v>
      </c>
      <c r="D333">
        <v>39</v>
      </c>
      <c r="E333" t="s">
        <v>6</v>
      </c>
      <c r="F333" t="s">
        <v>7</v>
      </c>
    </row>
    <row r="334" spans="1:6" x14ac:dyDescent="0.3">
      <c r="A334">
        <v>156372496</v>
      </c>
      <c r="B334" s="1">
        <v>44854</v>
      </c>
      <c r="C334" s="1">
        <v>44910</v>
      </c>
      <c r="D334">
        <v>39</v>
      </c>
      <c r="E334" t="s">
        <v>6</v>
      </c>
      <c r="F334" t="s">
        <v>7</v>
      </c>
    </row>
    <row r="335" spans="1:6" x14ac:dyDescent="0.3">
      <c r="A335">
        <v>158620475</v>
      </c>
      <c r="B335" s="1">
        <v>44854</v>
      </c>
      <c r="C335" s="1">
        <v>45135</v>
      </c>
      <c r="D335">
        <v>39</v>
      </c>
      <c r="E335" t="s">
        <v>6</v>
      </c>
      <c r="F335" t="s">
        <v>7</v>
      </c>
    </row>
    <row r="336" spans="1:6" x14ac:dyDescent="0.3">
      <c r="A336">
        <v>158539824</v>
      </c>
      <c r="B336" s="1">
        <v>44854</v>
      </c>
      <c r="C336" s="1">
        <v>45097</v>
      </c>
      <c r="D336">
        <v>39</v>
      </c>
      <c r="E336" t="s">
        <v>6</v>
      </c>
      <c r="F336" t="s">
        <v>7</v>
      </c>
    </row>
    <row r="337" spans="1:6" x14ac:dyDescent="0.3">
      <c r="A337">
        <v>158499042</v>
      </c>
      <c r="B337" s="1">
        <v>44855</v>
      </c>
      <c r="D337">
        <v>39</v>
      </c>
      <c r="E337" t="s">
        <v>6</v>
      </c>
      <c r="F337" t="s">
        <v>7</v>
      </c>
    </row>
    <row r="338" spans="1:6" x14ac:dyDescent="0.3">
      <c r="A338">
        <v>158755464</v>
      </c>
      <c r="B338" s="1">
        <v>44855</v>
      </c>
      <c r="C338" s="1">
        <v>44893</v>
      </c>
      <c r="D338">
        <v>39</v>
      </c>
      <c r="E338" t="s">
        <v>6</v>
      </c>
      <c r="F338" t="s">
        <v>7</v>
      </c>
    </row>
    <row r="339" spans="1:6" x14ac:dyDescent="0.3">
      <c r="A339">
        <v>149112756</v>
      </c>
      <c r="B339" s="1">
        <v>44855</v>
      </c>
      <c r="C339" s="1">
        <v>45074</v>
      </c>
      <c r="D339">
        <v>39</v>
      </c>
      <c r="E339" t="s">
        <v>6</v>
      </c>
      <c r="F339" t="s">
        <v>7</v>
      </c>
    </row>
    <row r="340" spans="1:6" x14ac:dyDescent="0.3">
      <c r="A340">
        <v>149065622</v>
      </c>
      <c r="B340" s="1">
        <v>44855</v>
      </c>
      <c r="C340" s="1">
        <v>44923</v>
      </c>
      <c r="D340">
        <v>39</v>
      </c>
      <c r="E340" t="s">
        <v>6</v>
      </c>
      <c r="F340" t="s">
        <v>7</v>
      </c>
    </row>
    <row r="341" spans="1:6" x14ac:dyDescent="0.3">
      <c r="A341">
        <v>158656065</v>
      </c>
      <c r="B341" s="1">
        <v>44855</v>
      </c>
      <c r="C341" s="1">
        <v>44925</v>
      </c>
      <c r="D341">
        <v>39</v>
      </c>
      <c r="E341" t="s">
        <v>6</v>
      </c>
      <c r="F341" t="s">
        <v>7</v>
      </c>
    </row>
    <row r="342" spans="1:6" x14ac:dyDescent="0.3">
      <c r="A342">
        <v>158756090</v>
      </c>
      <c r="B342" s="1">
        <v>44855</v>
      </c>
      <c r="C342" s="1">
        <v>44867</v>
      </c>
      <c r="D342">
        <v>39</v>
      </c>
      <c r="E342" t="s">
        <v>6</v>
      </c>
      <c r="F342" t="s">
        <v>7</v>
      </c>
    </row>
    <row r="343" spans="1:6" x14ac:dyDescent="0.3">
      <c r="A343">
        <v>158447710</v>
      </c>
      <c r="B343" s="1">
        <v>44855</v>
      </c>
      <c r="C343" s="1">
        <v>44883</v>
      </c>
      <c r="D343">
        <v>39</v>
      </c>
      <c r="E343" t="s">
        <v>6</v>
      </c>
      <c r="F343" t="s">
        <v>7</v>
      </c>
    </row>
    <row r="344" spans="1:6" x14ac:dyDescent="0.3">
      <c r="A344">
        <v>157568391</v>
      </c>
      <c r="B344" s="1">
        <v>44855</v>
      </c>
      <c r="C344" s="1">
        <v>44886</v>
      </c>
      <c r="D344">
        <v>39</v>
      </c>
      <c r="E344" t="s">
        <v>6</v>
      </c>
      <c r="F344" t="s">
        <v>7</v>
      </c>
    </row>
    <row r="345" spans="1:6" x14ac:dyDescent="0.3">
      <c r="A345">
        <v>157505106</v>
      </c>
      <c r="B345" s="1">
        <v>44856</v>
      </c>
      <c r="D345">
        <v>39</v>
      </c>
      <c r="E345" t="s">
        <v>6</v>
      </c>
      <c r="F345" t="s">
        <v>7</v>
      </c>
    </row>
    <row r="346" spans="1:6" x14ac:dyDescent="0.3">
      <c r="A346">
        <v>158761363</v>
      </c>
      <c r="B346" s="1">
        <v>44856</v>
      </c>
      <c r="C346" s="1">
        <v>44983</v>
      </c>
      <c r="D346">
        <v>39</v>
      </c>
      <c r="E346" t="s">
        <v>6</v>
      </c>
      <c r="F346" t="s">
        <v>7</v>
      </c>
    </row>
    <row r="347" spans="1:6" x14ac:dyDescent="0.3">
      <c r="A347">
        <v>144858980</v>
      </c>
      <c r="B347" s="1">
        <v>44856</v>
      </c>
      <c r="C347" s="1">
        <v>44917</v>
      </c>
      <c r="D347">
        <v>39</v>
      </c>
      <c r="E347" t="s">
        <v>6</v>
      </c>
      <c r="F347" t="s">
        <v>7</v>
      </c>
    </row>
    <row r="348" spans="1:6" x14ac:dyDescent="0.3">
      <c r="A348">
        <v>151000288</v>
      </c>
      <c r="B348" s="1">
        <v>44856</v>
      </c>
      <c r="C348" s="1">
        <v>44917</v>
      </c>
      <c r="D348">
        <v>39</v>
      </c>
      <c r="E348" t="s">
        <v>6</v>
      </c>
      <c r="F348" t="s">
        <v>7</v>
      </c>
    </row>
    <row r="349" spans="1:6" x14ac:dyDescent="0.3">
      <c r="A349">
        <v>136276852</v>
      </c>
      <c r="B349" s="1">
        <v>44856</v>
      </c>
      <c r="C349" s="1">
        <v>44887</v>
      </c>
      <c r="D349">
        <v>39</v>
      </c>
      <c r="E349" t="s">
        <v>6</v>
      </c>
      <c r="F349" t="s">
        <v>7</v>
      </c>
    </row>
    <row r="350" spans="1:6" x14ac:dyDescent="0.3">
      <c r="A350">
        <v>158767852</v>
      </c>
      <c r="B350" s="1">
        <v>44856</v>
      </c>
      <c r="C350" s="1">
        <v>44894</v>
      </c>
      <c r="D350">
        <v>39</v>
      </c>
      <c r="E350" t="s">
        <v>6</v>
      </c>
      <c r="F350" t="s">
        <v>7</v>
      </c>
    </row>
    <row r="351" spans="1:6" x14ac:dyDescent="0.3">
      <c r="A351">
        <v>158849640</v>
      </c>
      <c r="B351" s="1">
        <v>44857</v>
      </c>
      <c r="D351">
        <v>39</v>
      </c>
      <c r="E351" t="s">
        <v>6</v>
      </c>
      <c r="F351" t="s">
        <v>7</v>
      </c>
    </row>
    <row r="352" spans="1:6" x14ac:dyDescent="0.3">
      <c r="A352">
        <v>151491892</v>
      </c>
      <c r="B352" s="1">
        <v>44857</v>
      </c>
      <c r="C352" s="1">
        <v>44858</v>
      </c>
      <c r="D352">
        <v>39</v>
      </c>
      <c r="E352" t="s">
        <v>6</v>
      </c>
      <c r="F352" t="s">
        <v>7</v>
      </c>
    </row>
    <row r="353" spans="1:6" x14ac:dyDescent="0.3">
      <c r="A353">
        <v>157474087</v>
      </c>
      <c r="B353" s="1">
        <v>44857</v>
      </c>
      <c r="C353" s="1">
        <v>44925</v>
      </c>
      <c r="D353">
        <v>39</v>
      </c>
      <c r="E353" t="s">
        <v>6</v>
      </c>
      <c r="F353" t="s">
        <v>7</v>
      </c>
    </row>
    <row r="354" spans="1:6" x14ac:dyDescent="0.3">
      <c r="A354">
        <v>157997679</v>
      </c>
      <c r="B354" s="1">
        <v>44857</v>
      </c>
      <c r="C354" s="1">
        <v>45095</v>
      </c>
      <c r="D354">
        <v>39</v>
      </c>
      <c r="E354" t="s">
        <v>6</v>
      </c>
      <c r="F354" t="s">
        <v>7</v>
      </c>
    </row>
    <row r="355" spans="1:6" x14ac:dyDescent="0.3">
      <c r="A355">
        <v>158566772</v>
      </c>
      <c r="B355" s="1">
        <v>44857</v>
      </c>
      <c r="C355" s="1">
        <v>44978</v>
      </c>
      <c r="D355">
        <v>39</v>
      </c>
      <c r="E355" t="s">
        <v>6</v>
      </c>
      <c r="F355" t="s">
        <v>7</v>
      </c>
    </row>
    <row r="356" spans="1:6" x14ac:dyDescent="0.3">
      <c r="A356">
        <v>157788656</v>
      </c>
      <c r="B356" s="1">
        <v>44857</v>
      </c>
      <c r="C356" s="1">
        <v>44915</v>
      </c>
      <c r="D356">
        <v>39</v>
      </c>
      <c r="E356" t="s">
        <v>6</v>
      </c>
      <c r="F356" t="s">
        <v>7</v>
      </c>
    </row>
    <row r="357" spans="1:6" x14ac:dyDescent="0.3">
      <c r="A357">
        <v>158832658</v>
      </c>
      <c r="B357" s="1">
        <v>44857</v>
      </c>
      <c r="C357" s="1">
        <v>44867</v>
      </c>
      <c r="D357">
        <v>39</v>
      </c>
      <c r="E357" t="s">
        <v>6</v>
      </c>
      <c r="F357" t="s">
        <v>7</v>
      </c>
    </row>
    <row r="358" spans="1:6" x14ac:dyDescent="0.3">
      <c r="A358">
        <v>130837976</v>
      </c>
      <c r="B358" s="1">
        <v>44857</v>
      </c>
      <c r="C358" s="1">
        <v>44888</v>
      </c>
      <c r="D358">
        <v>39</v>
      </c>
      <c r="E358" t="s">
        <v>6</v>
      </c>
      <c r="F358" t="s">
        <v>7</v>
      </c>
    </row>
    <row r="359" spans="1:6" x14ac:dyDescent="0.3">
      <c r="A359">
        <v>159095030</v>
      </c>
      <c r="B359" s="1">
        <v>44858</v>
      </c>
      <c r="C359" s="1">
        <v>44973</v>
      </c>
      <c r="D359">
        <v>39</v>
      </c>
      <c r="E359" t="s">
        <v>6</v>
      </c>
      <c r="F359" t="s">
        <v>7</v>
      </c>
    </row>
    <row r="360" spans="1:6" x14ac:dyDescent="0.3">
      <c r="A360">
        <v>159028041</v>
      </c>
      <c r="B360" s="1">
        <v>44858</v>
      </c>
      <c r="C360" s="1">
        <v>44896</v>
      </c>
      <c r="D360">
        <v>39</v>
      </c>
      <c r="E360" t="s">
        <v>6</v>
      </c>
      <c r="F360" t="s">
        <v>7</v>
      </c>
    </row>
    <row r="361" spans="1:6" x14ac:dyDescent="0.3">
      <c r="A361">
        <v>159018168</v>
      </c>
      <c r="B361" s="1">
        <v>44858</v>
      </c>
      <c r="C361" s="1">
        <v>44896</v>
      </c>
      <c r="D361">
        <v>39</v>
      </c>
      <c r="E361" t="s">
        <v>6</v>
      </c>
      <c r="F361" t="s">
        <v>7</v>
      </c>
    </row>
    <row r="362" spans="1:6" x14ac:dyDescent="0.3">
      <c r="A362">
        <v>157981870</v>
      </c>
      <c r="B362" s="1">
        <v>44858</v>
      </c>
      <c r="C362" s="1">
        <v>44872</v>
      </c>
      <c r="D362">
        <v>39</v>
      </c>
      <c r="E362" t="s">
        <v>6</v>
      </c>
      <c r="F362" t="s">
        <v>7</v>
      </c>
    </row>
    <row r="363" spans="1:6" x14ac:dyDescent="0.3">
      <c r="A363">
        <v>153061698</v>
      </c>
      <c r="B363" s="1">
        <v>44858</v>
      </c>
      <c r="C363" s="1">
        <v>44889</v>
      </c>
      <c r="D363">
        <v>39</v>
      </c>
      <c r="E363" t="s">
        <v>6</v>
      </c>
      <c r="F363" t="s">
        <v>7</v>
      </c>
    </row>
    <row r="364" spans="1:6" x14ac:dyDescent="0.3">
      <c r="A364">
        <v>159204523</v>
      </c>
      <c r="B364" s="1">
        <v>44859</v>
      </c>
      <c r="D364">
        <v>39</v>
      </c>
      <c r="E364" t="s">
        <v>6</v>
      </c>
      <c r="F364" t="s">
        <v>7</v>
      </c>
    </row>
    <row r="365" spans="1:6" x14ac:dyDescent="0.3">
      <c r="A365">
        <v>159236268</v>
      </c>
      <c r="B365" s="1">
        <v>44859</v>
      </c>
      <c r="D365">
        <v>39</v>
      </c>
      <c r="E365" t="s">
        <v>6</v>
      </c>
      <c r="F365" t="s">
        <v>8</v>
      </c>
    </row>
    <row r="366" spans="1:6" x14ac:dyDescent="0.3">
      <c r="A366">
        <v>159256553</v>
      </c>
      <c r="B366" s="1">
        <v>44859</v>
      </c>
      <c r="C366" s="1">
        <v>44936</v>
      </c>
      <c r="D366">
        <v>39</v>
      </c>
      <c r="E366" t="s">
        <v>6</v>
      </c>
      <c r="F366" t="s">
        <v>7</v>
      </c>
    </row>
    <row r="367" spans="1:6" x14ac:dyDescent="0.3">
      <c r="A367">
        <v>159211568</v>
      </c>
      <c r="B367" s="1">
        <v>44859</v>
      </c>
      <c r="C367" s="1">
        <v>44928</v>
      </c>
      <c r="D367">
        <v>39</v>
      </c>
      <c r="E367" t="s">
        <v>6</v>
      </c>
      <c r="F367" t="s">
        <v>7</v>
      </c>
    </row>
    <row r="368" spans="1:6" x14ac:dyDescent="0.3">
      <c r="A368">
        <v>154778395</v>
      </c>
      <c r="B368" s="1">
        <v>44859</v>
      </c>
      <c r="C368" s="1">
        <v>44893</v>
      </c>
      <c r="D368">
        <v>39</v>
      </c>
      <c r="E368" t="s">
        <v>6</v>
      </c>
      <c r="F368" t="s">
        <v>7</v>
      </c>
    </row>
    <row r="369" spans="1:6" x14ac:dyDescent="0.3">
      <c r="A369">
        <v>157961180</v>
      </c>
      <c r="B369" s="1">
        <v>44859</v>
      </c>
      <c r="C369" s="1">
        <v>44889</v>
      </c>
      <c r="D369">
        <v>39</v>
      </c>
      <c r="E369" t="s">
        <v>6</v>
      </c>
      <c r="F369" t="s">
        <v>7</v>
      </c>
    </row>
    <row r="370" spans="1:6" x14ac:dyDescent="0.3">
      <c r="A370">
        <v>159281338</v>
      </c>
      <c r="B370" s="1">
        <v>44860</v>
      </c>
      <c r="D370">
        <v>39</v>
      </c>
      <c r="E370" t="s">
        <v>6</v>
      </c>
      <c r="F370" t="s">
        <v>7</v>
      </c>
    </row>
    <row r="371" spans="1:6" x14ac:dyDescent="0.3">
      <c r="A371">
        <v>159364232</v>
      </c>
      <c r="B371" s="1">
        <v>44860</v>
      </c>
      <c r="D371">
        <v>39</v>
      </c>
      <c r="E371" t="s">
        <v>6</v>
      </c>
      <c r="F371" t="s">
        <v>7</v>
      </c>
    </row>
    <row r="372" spans="1:6" x14ac:dyDescent="0.3">
      <c r="A372">
        <v>159276280</v>
      </c>
      <c r="B372" s="1">
        <v>44860</v>
      </c>
      <c r="D372">
        <v>39</v>
      </c>
      <c r="E372" t="s">
        <v>6</v>
      </c>
      <c r="F372" t="s">
        <v>7</v>
      </c>
    </row>
    <row r="373" spans="1:6" x14ac:dyDescent="0.3">
      <c r="A373">
        <v>159326830</v>
      </c>
      <c r="B373" s="1">
        <v>44860</v>
      </c>
      <c r="C373" s="1">
        <v>44861</v>
      </c>
      <c r="D373">
        <v>39</v>
      </c>
      <c r="E373" t="s">
        <v>6</v>
      </c>
      <c r="F373" t="s">
        <v>7</v>
      </c>
    </row>
    <row r="374" spans="1:6" x14ac:dyDescent="0.3">
      <c r="A374">
        <v>158144924</v>
      </c>
      <c r="B374" s="1">
        <v>44860</v>
      </c>
      <c r="C374" s="1">
        <v>44980</v>
      </c>
      <c r="D374">
        <v>39</v>
      </c>
      <c r="E374" t="s">
        <v>6</v>
      </c>
      <c r="F374" t="s">
        <v>7</v>
      </c>
    </row>
    <row r="375" spans="1:6" x14ac:dyDescent="0.3">
      <c r="A375">
        <v>159239867</v>
      </c>
      <c r="B375" s="1">
        <v>44860</v>
      </c>
      <c r="C375" s="1">
        <v>44910</v>
      </c>
      <c r="D375">
        <v>39</v>
      </c>
      <c r="E375" t="s">
        <v>6</v>
      </c>
      <c r="F375" t="s">
        <v>7</v>
      </c>
    </row>
    <row r="376" spans="1:6" x14ac:dyDescent="0.3">
      <c r="A376">
        <v>159108970</v>
      </c>
      <c r="B376" s="1">
        <v>44860</v>
      </c>
      <c r="C376" s="1">
        <v>44915</v>
      </c>
      <c r="D376">
        <v>39</v>
      </c>
      <c r="E376" t="s">
        <v>6</v>
      </c>
      <c r="F376" t="s">
        <v>7</v>
      </c>
    </row>
    <row r="377" spans="1:6" x14ac:dyDescent="0.3">
      <c r="A377">
        <v>158644133</v>
      </c>
      <c r="B377" s="1">
        <v>44860</v>
      </c>
      <c r="C377" s="1">
        <v>44891</v>
      </c>
      <c r="D377">
        <v>39</v>
      </c>
      <c r="E377" t="s">
        <v>6</v>
      </c>
      <c r="F377" t="s">
        <v>7</v>
      </c>
    </row>
    <row r="378" spans="1:6" x14ac:dyDescent="0.3">
      <c r="A378">
        <v>153830193</v>
      </c>
      <c r="B378" s="1">
        <v>44860</v>
      </c>
      <c r="C378" s="1">
        <v>44861</v>
      </c>
      <c r="D378">
        <v>39</v>
      </c>
      <c r="E378" t="s">
        <v>6</v>
      </c>
      <c r="F378" t="s">
        <v>7</v>
      </c>
    </row>
    <row r="379" spans="1:6" x14ac:dyDescent="0.3">
      <c r="A379">
        <v>159664292</v>
      </c>
      <c r="B379" s="1">
        <v>44861</v>
      </c>
      <c r="D379">
        <v>39</v>
      </c>
      <c r="E379" t="s">
        <v>6</v>
      </c>
      <c r="F379" t="s">
        <v>7</v>
      </c>
    </row>
    <row r="380" spans="1:6" x14ac:dyDescent="0.3">
      <c r="A380">
        <v>152937944</v>
      </c>
      <c r="B380" s="1">
        <v>44861</v>
      </c>
      <c r="C380" s="1">
        <v>44862</v>
      </c>
      <c r="D380">
        <v>39</v>
      </c>
      <c r="E380" t="s">
        <v>6</v>
      </c>
      <c r="F380" t="s">
        <v>8</v>
      </c>
    </row>
    <row r="381" spans="1:6" x14ac:dyDescent="0.3">
      <c r="A381">
        <v>159446393</v>
      </c>
      <c r="B381" s="1">
        <v>44861</v>
      </c>
      <c r="C381" s="1">
        <v>45035</v>
      </c>
      <c r="D381">
        <v>39</v>
      </c>
      <c r="E381" t="s">
        <v>6</v>
      </c>
      <c r="F381" t="s">
        <v>7</v>
      </c>
    </row>
    <row r="382" spans="1:6" x14ac:dyDescent="0.3">
      <c r="A382">
        <v>156837717</v>
      </c>
      <c r="B382" s="1">
        <v>44861</v>
      </c>
      <c r="C382" s="1">
        <v>45088</v>
      </c>
      <c r="D382">
        <v>39</v>
      </c>
      <c r="E382" t="s">
        <v>6</v>
      </c>
      <c r="F382" t="s">
        <v>7</v>
      </c>
    </row>
    <row r="383" spans="1:6" x14ac:dyDescent="0.3">
      <c r="A383">
        <v>149000400</v>
      </c>
      <c r="B383" s="1">
        <v>44861</v>
      </c>
      <c r="C383" s="1">
        <v>44983</v>
      </c>
      <c r="D383">
        <v>39</v>
      </c>
      <c r="E383" t="s">
        <v>6</v>
      </c>
      <c r="F383" t="s">
        <v>7</v>
      </c>
    </row>
    <row r="384" spans="1:6" x14ac:dyDescent="0.3">
      <c r="A384">
        <v>157923615</v>
      </c>
      <c r="B384" s="1">
        <v>44861</v>
      </c>
      <c r="C384" s="1">
        <v>44929</v>
      </c>
      <c r="D384">
        <v>39</v>
      </c>
      <c r="E384" t="s">
        <v>6</v>
      </c>
      <c r="F384" t="s">
        <v>7</v>
      </c>
    </row>
    <row r="385" spans="1:6" x14ac:dyDescent="0.3">
      <c r="A385">
        <v>159699736</v>
      </c>
      <c r="B385" s="1">
        <v>44861</v>
      </c>
      <c r="C385" s="1">
        <v>44890</v>
      </c>
      <c r="D385">
        <v>39</v>
      </c>
      <c r="E385" t="s">
        <v>6</v>
      </c>
      <c r="F385" t="s">
        <v>7</v>
      </c>
    </row>
    <row r="386" spans="1:6" x14ac:dyDescent="0.3">
      <c r="A386">
        <v>150816815</v>
      </c>
      <c r="B386" s="1">
        <v>44861</v>
      </c>
      <c r="C386" s="1">
        <v>44881</v>
      </c>
      <c r="D386">
        <v>39</v>
      </c>
      <c r="E386" t="s">
        <v>6</v>
      </c>
      <c r="F386" t="s">
        <v>7</v>
      </c>
    </row>
    <row r="387" spans="1:6" x14ac:dyDescent="0.3">
      <c r="A387">
        <v>159634168</v>
      </c>
      <c r="B387" s="1">
        <v>44861</v>
      </c>
      <c r="C387" s="1">
        <v>45107</v>
      </c>
      <c r="D387">
        <v>39</v>
      </c>
      <c r="E387" t="s">
        <v>6</v>
      </c>
      <c r="F387" t="s">
        <v>7</v>
      </c>
    </row>
    <row r="388" spans="1:6" x14ac:dyDescent="0.3">
      <c r="A388">
        <v>158114418</v>
      </c>
      <c r="B388" s="1">
        <v>44862</v>
      </c>
      <c r="D388">
        <v>39</v>
      </c>
      <c r="E388" t="s">
        <v>6</v>
      </c>
      <c r="F388" t="s">
        <v>7</v>
      </c>
    </row>
    <row r="389" spans="1:6" x14ac:dyDescent="0.3">
      <c r="A389">
        <v>159706104</v>
      </c>
      <c r="B389" s="1">
        <v>44862</v>
      </c>
      <c r="D389">
        <v>39</v>
      </c>
      <c r="E389" t="s">
        <v>6</v>
      </c>
      <c r="F389" t="s">
        <v>7</v>
      </c>
    </row>
    <row r="390" spans="1:6" x14ac:dyDescent="0.3">
      <c r="A390">
        <v>150704581</v>
      </c>
      <c r="B390" s="1">
        <v>44862</v>
      </c>
      <c r="C390" s="1">
        <v>45056</v>
      </c>
      <c r="D390">
        <v>39</v>
      </c>
      <c r="E390" t="s">
        <v>6</v>
      </c>
      <c r="F390" t="s">
        <v>7</v>
      </c>
    </row>
    <row r="391" spans="1:6" x14ac:dyDescent="0.3">
      <c r="A391">
        <v>159733207</v>
      </c>
      <c r="B391" s="1">
        <v>44862</v>
      </c>
      <c r="C391" s="1">
        <v>44984</v>
      </c>
      <c r="D391">
        <v>39</v>
      </c>
      <c r="E391" t="s">
        <v>6</v>
      </c>
      <c r="F391" t="s">
        <v>7</v>
      </c>
    </row>
    <row r="392" spans="1:6" x14ac:dyDescent="0.3">
      <c r="A392">
        <v>159775056</v>
      </c>
      <c r="B392" s="1">
        <v>44862</v>
      </c>
      <c r="C392" s="1">
        <v>45016</v>
      </c>
      <c r="D392">
        <v>39</v>
      </c>
      <c r="E392" t="s">
        <v>6</v>
      </c>
      <c r="F392" t="s">
        <v>7</v>
      </c>
    </row>
    <row r="393" spans="1:6" x14ac:dyDescent="0.3">
      <c r="A393">
        <v>144328609</v>
      </c>
      <c r="B393" s="1">
        <v>44862</v>
      </c>
      <c r="C393" s="1">
        <v>44920</v>
      </c>
      <c r="D393">
        <v>39</v>
      </c>
      <c r="E393" t="s">
        <v>6</v>
      </c>
      <c r="F393" t="s">
        <v>7</v>
      </c>
    </row>
    <row r="394" spans="1:6" x14ac:dyDescent="0.3">
      <c r="A394">
        <v>153172687</v>
      </c>
      <c r="B394" s="1">
        <v>44862</v>
      </c>
      <c r="C394" s="1">
        <v>45159</v>
      </c>
      <c r="D394">
        <v>39</v>
      </c>
      <c r="E394" t="s">
        <v>6</v>
      </c>
      <c r="F394" t="s">
        <v>7</v>
      </c>
    </row>
    <row r="395" spans="1:6" x14ac:dyDescent="0.3">
      <c r="A395">
        <v>159861170</v>
      </c>
      <c r="B395" s="1">
        <v>44863</v>
      </c>
      <c r="D395">
        <v>39</v>
      </c>
      <c r="E395" t="s">
        <v>6</v>
      </c>
      <c r="F395" t="s">
        <v>7</v>
      </c>
    </row>
    <row r="396" spans="1:6" x14ac:dyDescent="0.3">
      <c r="A396">
        <v>133474642</v>
      </c>
      <c r="B396" s="1">
        <v>44863</v>
      </c>
      <c r="C396" s="1">
        <v>44915</v>
      </c>
      <c r="D396">
        <v>39</v>
      </c>
      <c r="E396" t="s">
        <v>6</v>
      </c>
      <c r="F396" t="s">
        <v>7</v>
      </c>
    </row>
    <row r="397" spans="1:6" x14ac:dyDescent="0.3">
      <c r="A397">
        <v>159817608</v>
      </c>
      <c r="B397" s="1">
        <v>44863</v>
      </c>
      <c r="C397" s="1">
        <v>45008</v>
      </c>
      <c r="D397">
        <v>39</v>
      </c>
      <c r="E397" t="s">
        <v>6</v>
      </c>
      <c r="F397" t="s">
        <v>7</v>
      </c>
    </row>
    <row r="398" spans="1:6" x14ac:dyDescent="0.3">
      <c r="A398">
        <v>159867686</v>
      </c>
      <c r="B398" s="1">
        <v>44863</v>
      </c>
      <c r="C398" s="1">
        <v>44931</v>
      </c>
      <c r="D398">
        <v>39</v>
      </c>
      <c r="E398" t="s">
        <v>6</v>
      </c>
      <c r="F398" t="s">
        <v>7</v>
      </c>
    </row>
    <row r="399" spans="1:6" x14ac:dyDescent="0.3">
      <c r="A399">
        <v>158484064</v>
      </c>
      <c r="B399" s="1">
        <v>44863</v>
      </c>
      <c r="C399" s="1">
        <v>44931</v>
      </c>
      <c r="D399">
        <v>39</v>
      </c>
      <c r="E399" t="s">
        <v>6</v>
      </c>
      <c r="F399" t="s">
        <v>7</v>
      </c>
    </row>
    <row r="400" spans="1:6" x14ac:dyDescent="0.3">
      <c r="A400">
        <v>159829834</v>
      </c>
      <c r="B400" s="1">
        <v>44864</v>
      </c>
      <c r="D400">
        <v>39</v>
      </c>
      <c r="E400" t="s">
        <v>6</v>
      </c>
      <c r="F400" t="s">
        <v>7</v>
      </c>
    </row>
    <row r="401" spans="1:6" x14ac:dyDescent="0.3">
      <c r="A401">
        <v>159875790</v>
      </c>
      <c r="B401" s="1">
        <v>44864</v>
      </c>
      <c r="C401" s="1">
        <v>44992</v>
      </c>
      <c r="D401">
        <v>39</v>
      </c>
      <c r="E401" t="s">
        <v>6</v>
      </c>
      <c r="F401" t="s">
        <v>7</v>
      </c>
    </row>
    <row r="402" spans="1:6" x14ac:dyDescent="0.3">
      <c r="A402">
        <v>155520280</v>
      </c>
      <c r="B402" s="1">
        <v>44864</v>
      </c>
      <c r="C402" s="1">
        <v>44902</v>
      </c>
      <c r="D402">
        <v>39</v>
      </c>
      <c r="E402" t="s">
        <v>6</v>
      </c>
      <c r="F402" t="s">
        <v>7</v>
      </c>
    </row>
    <row r="403" spans="1:6" x14ac:dyDescent="0.3">
      <c r="A403">
        <v>159783942</v>
      </c>
      <c r="B403" s="1">
        <v>44864</v>
      </c>
      <c r="C403" s="1">
        <v>44923</v>
      </c>
      <c r="D403">
        <v>39</v>
      </c>
      <c r="E403" t="s">
        <v>6</v>
      </c>
      <c r="F403" t="s">
        <v>7</v>
      </c>
    </row>
    <row r="404" spans="1:6" x14ac:dyDescent="0.3">
      <c r="A404">
        <v>149696432</v>
      </c>
      <c r="B404" s="1">
        <v>44864</v>
      </c>
      <c r="C404" s="1">
        <v>44891</v>
      </c>
      <c r="D404">
        <v>39</v>
      </c>
      <c r="E404" t="s">
        <v>6</v>
      </c>
      <c r="F404" t="s">
        <v>7</v>
      </c>
    </row>
    <row r="405" spans="1:6" x14ac:dyDescent="0.3">
      <c r="A405">
        <v>159979372</v>
      </c>
      <c r="B405" s="1">
        <v>44865</v>
      </c>
      <c r="D405">
        <v>39</v>
      </c>
      <c r="E405" t="s">
        <v>6</v>
      </c>
      <c r="F405" t="s">
        <v>7</v>
      </c>
    </row>
    <row r="406" spans="1:6" x14ac:dyDescent="0.3">
      <c r="A406">
        <v>153814649</v>
      </c>
      <c r="B406" s="1">
        <v>44865</v>
      </c>
      <c r="D406">
        <v>39</v>
      </c>
      <c r="E406" t="s">
        <v>6</v>
      </c>
      <c r="F406" t="s">
        <v>7</v>
      </c>
    </row>
    <row r="407" spans="1:6" x14ac:dyDescent="0.3">
      <c r="A407">
        <v>159931469</v>
      </c>
      <c r="B407" s="1">
        <v>44865</v>
      </c>
      <c r="D407">
        <v>39</v>
      </c>
      <c r="E407" t="s">
        <v>6</v>
      </c>
      <c r="F407" t="s">
        <v>7</v>
      </c>
    </row>
    <row r="408" spans="1:6" x14ac:dyDescent="0.3">
      <c r="A408">
        <v>138061210</v>
      </c>
      <c r="B408" s="1">
        <v>44865</v>
      </c>
      <c r="C408" s="1">
        <v>44865</v>
      </c>
      <c r="D408">
        <v>39</v>
      </c>
      <c r="E408" t="s">
        <v>6</v>
      </c>
      <c r="F408" t="s">
        <v>7</v>
      </c>
    </row>
    <row r="409" spans="1:6" x14ac:dyDescent="0.3">
      <c r="A409">
        <v>141403460</v>
      </c>
      <c r="B409" s="1">
        <v>44865</v>
      </c>
      <c r="C409" s="1">
        <v>44942</v>
      </c>
      <c r="D409">
        <v>39</v>
      </c>
      <c r="E409" t="s">
        <v>6</v>
      </c>
      <c r="F409" t="s">
        <v>7</v>
      </c>
    </row>
    <row r="410" spans="1:6" x14ac:dyDescent="0.3">
      <c r="A410">
        <v>159991922</v>
      </c>
      <c r="B410" s="1">
        <v>44865</v>
      </c>
      <c r="C410" s="1">
        <v>44912</v>
      </c>
      <c r="D410">
        <v>39</v>
      </c>
      <c r="E410" t="s">
        <v>6</v>
      </c>
      <c r="F410" t="s">
        <v>7</v>
      </c>
    </row>
    <row r="411" spans="1:6" x14ac:dyDescent="0.3">
      <c r="A411">
        <v>159241648</v>
      </c>
      <c r="B411" s="1">
        <v>44865</v>
      </c>
      <c r="C411" s="1">
        <v>44909</v>
      </c>
      <c r="D411">
        <v>39</v>
      </c>
      <c r="E411" t="s">
        <v>6</v>
      </c>
      <c r="F411" t="s">
        <v>7</v>
      </c>
    </row>
    <row r="412" spans="1:6" x14ac:dyDescent="0.3">
      <c r="A412">
        <v>150703411</v>
      </c>
      <c r="B412" s="1">
        <v>44865</v>
      </c>
      <c r="C412" s="1">
        <v>44896</v>
      </c>
      <c r="D412">
        <v>39</v>
      </c>
      <c r="E412" t="s">
        <v>6</v>
      </c>
      <c r="F412" t="s">
        <v>7</v>
      </c>
    </row>
    <row r="413" spans="1:6" x14ac:dyDescent="0.3">
      <c r="A413">
        <v>159773641</v>
      </c>
      <c r="B413" s="1">
        <v>44865</v>
      </c>
      <c r="C413" s="1">
        <v>44880</v>
      </c>
      <c r="D413">
        <v>39</v>
      </c>
      <c r="E413" t="s">
        <v>6</v>
      </c>
      <c r="F413" t="s">
        <v>7</v>
      </c>
    </row>
    <row r="414" spans="1:6" x14ac:dyDescent="0.3">
      <c r="A414">
        <v>128002797</v>
      </c>
      <c r="B414" s="1">
        <v>44865</v>
      </c>
      <c r="C414" s="1">
        <v>44895</v>
      </c>
      <c r="D414">
        <v>39</v>
      </c>
      <c r="E414" t="s">
        <v>6</v>
      </c>
      <c r="F414" t="s">
        <v>7</v>
      </c>
    </row>
    <row r="415" spans="1:6" x14ac:dyDescent="0.3">
      <c r="A415">
        <v>155807489</v>
      </c>
      <c r="B415" s="1">
        <v>44866</v>
      </c>
      <c r="C415" s="1">
        <v>44867</v>
      </c>
      <c r="D415">
        <v>39</v>
      </c>
      <c r="E415" t="s">
        <v>6</v>
      </c>
      <c r="F415" t="s">
        <v>8</v>
      </c>
    </row>
    <row r="416" spans="1:6" x14ac:dyDescent="0.3">
      <c r="A416">
        <v>143077712</v>
      </c>
      <c r="B416" s="1">
        <v>44866</v>
      </c>
      <c r="C416" s="1">
        <v>44867</v>
      </c>
      <c r="D416">
        <v>39</v>
      </c>
      <c r="E416" t="s">
        <v>6</v>
      </c>
      <c r="F416" t="s">
        <v>8</v>
      </c>
    </row>
    <row r="417" spans="1:6" x14ac:dyDescent="0.3">
      <c r="A417">
        <v>159745646</v>
      </c>
      <c r="B417" s="1">
        <v>44866</v>
      </c>
      <c r="C417" s="1">
        <v>45030</v>
      </c>
      <c r="D417">
        <v>39</v>
      </c>
      <c r="E417" t="s">
        <v>6</v>
      </c>
      <c r="F417" t="s">
        <v>7</v>
      </c>
    </row>
    <row r="418" spans="1:6" x14ac:dyDescent="0.3">
      <c r="A418">
        <v>139004918</v>
      </c>
      <c r="B418" s="1">
        <v>44866</v>
      </c>
      <c r="C418" s="1">
        <v>44896</v>
      </c>
      <c r="D418">
        <v>39</v>
      </c>
      <c r="E418" t="s">
        <v>6</v>
      </c>
      <c r="F418" t="s">
        <v>7</v>
      </c>
    </row>
    <row r="419" spans="1:6" x14ac:dyDescent="0.3">
      <c r="A419">
        <v>153255183</v>
      </c>
      <c r="B419" s="1">
        <v>44866</v>
      </c>
      <c r="C419" s="1">
        <v>44973</v>
      </c>
      <c r="D419">
        <v>39</v>
      </c>
      <c r="E419" t="s">
        <v>6</v>
      </c>
      <c r="F419" t="s">
        <v>7</v>
      </c>
    </row>
    <row r="420" spans="1:6" x14ac:dyDescent="0.3">
      <c r="A420">
        <v>157708746</v>
      </c>
      <c r="B420" s="1">
        <v>44866</v>
      </c>
      <c r="C420" s="1">
        <v>44957</v>
      </c>
      <c r="D420">
        <v>39</v>
      </c>
      <c r="E420" t="s">
        <v>6</v>
      </c>
      <c r="F420" t="s">
        <v>7</v>
      </c>
    </row>
    <row r="421" spans="1:6" x14ac:dyDescent="0.3">
      <c r="A421">
        <v>155652993</v>
      </c>
      <c r="B421" s="1">
        <v>44866</v>
      </c>
      <c r="C421" s="1">
        <v>44934</v>
      </c>
      <c r="D421">
        <v>39</v>
      </c>
      <c r="E421" t="s">
        <v>6</v>
      </c>
      <c r="F421" t="s">
        <v>7</v>
      </c>
    </row>
    <row r="422" spans="1:6" x14ac:dyDescent="0.3">
      <c r="A422">
        <v>159977918</v>
      </c>
      <c r="B422" s="1">
        <v>44866</v>
      </c>
      <c r="C422" s="1">
        <v>44950</v>
      </c>
      <c r="D422">
        <v>39</v>
      </c>
      <c r="E422" t="s">
        <v>6</v>
      </c>
      <c r="F422" t="s">
        <v>7</v>
      </c>
    </row>
    <row r="423" spans="1:6" x14ac:dyDescent="0.3">
      <c r="A423">
        <v>160108159</v>
      </c>
      <c r="B423" s="1">
        <v>44866</v>
      </c>
      <c r="C423" s="1">
        <v>44899</v>
      </c>
      <c r="D423">
        <v>39</v>
      </c>
      <c r="E423" t="s">
        <v>6</v>
      </c>
      <c r="F423" t="s">
        <v>7</v>
      </c>
    </row>
    <row r="424" spans="1:6" x14ac:dyDescent="0.3">
      <c r="A424">
        <v>160051910</v>
      </c>
      <c r="B424" s="1">
        <v>44866</v>
      </c>
      <c r="C424" s="1">
        <v>44874</v>
      </c>
      <c r="D424">
        <v>39</v>
      </c>
      <c r="E424" t="s">
        <v>6</v>
      </c>
      <c r="F424" t="s">
        <v>7</v>
      </c>
    </row>
    <row r="425" spans="1:6" x14ac:dyDescent="0.3">
      <c r="A425">
        <v>146169043</v>
      </c>
      <c r="B425" s="1">
        <v>44866</v>
      </c>
      <c r="C425" s="1">
        <v>45148</v>
      </c>
      <c r="D425">
        <v>39</v>
      </c>
      <c r="E425" t="s">
        <v>6</v>
      </c>
      <c r="F425" t="s">
        <v>7</v>
      </c>
    </row>
    <row r="426" spans="1:6" x14ac:dyDescent="0.3">
      <c r="A426">
        <v>159927090</v>
      </c>
      <c r="B426" s="1">
        <v>44867</v>
      </c>
      <c r="D426">
        <v>39</v>
      </c>
      <c r="E426" t="s">
        <v>6</v>
      </c>
      <c r="F426" t="s">
        <v>7</v>
      </c>
    </row>
    <row r="427" spans="1:6" x14ac:dyDescent="0.3">
      <c r="A427">
        <v>149188028</v>
      </c>
      <c r="B427" s="1">
        <v>44867</v>
      </c>
      <c r="D427">
        <v>39</v>
      </c>
      <c r="E427" t="s">
        <v>6</v>
      </c>
      <c r="F427" t="s">
        <v>7</v>
      </c>
    </row>
    <row r="428" spans="1:6" x14ac:dyDescent="0.3">
      <c r="A428">
        <v>138535334</v>
      </c>
      <c r="B428" s="1">
        <v>44867</v>
      </c>
      <c r="C428" s="1">
        <v>44910</v>
      </c>
      <c r="D428">
        <v>39</v>
      </c>
      <c r="E428" t="s">
        <v>6</v>
      </c>
      <c r="F428" t="s">
        <v>7</v>
      </c>
    </row>
    <row r="429" spans="1:6" x14ac:dyDescent="0.3">
      <c r="A429">
        <v>159901871</v>
      </c>
      <c r="B429" s="1">
        <v>44867</v>
      </c>
      <c r="C429" s="1">
        <v>44904</v>
      </c>
      <c r="D429">
        <v>39</v>
      </c>
      <c r="E429" t="s">
        <v>6</v>
      </c>
      <c r="F429" t="s">
        <v>7</v>
      </c>
    </row>
    <row r="430" spans="1:6" x14ac:dyDescent="0.3">
      <c r="A430">
        <v>159620660</v>
      </c>
      <c r="B430" s="1">
        <v>44867</v>
      </c>
      <c r="C430" s="1">
        <v>44907</v>
      </c>
      <c r="D430">
        <v>39</v>
      </c>
      <c r="E430" t="s">
        <v>6</v>
      </c>
      <c r="F430" t="s">
        <v>7</v>
      </c>
    </row>
    <row r="431" spans="1:6" x14ac:dyDescent="0.3">
      <c r="A431">
        <v>160199525</v>
      </c>
      <c r="B431" s="1">
        <v>44867</v>
      </c>
      <c r="C431" s="1">
        <v>44888</v>
      </c>
      <c r="D431">
        <v>39</v>
      </c>
      <c r="E431" t="s">
        <v>6</v>
      </c>
      <c r="F431" t="s">
        <v>7</v>
      </c>
    </row>
    <row r="432" spans="1:6" x14ac:dyDescent="0.3">
      <c r="A432">
        <v>160183686</v>
      </c>
      <c r="B432" s="1">
        <v>44868</v>
      </c>
      <c r="C432" s="1">
        <v>44869</v>
      </c>
      <c r="D432">
        <v>39</v>
      </c>
      <c r="E432" t="s">
        <v>6</v>
      </c>
      <c r="F432" t="s">
        <v>8</v>
      </c>
    </row>
    <row r="433" spans="1:6" x14ac:dyDescent="0.3">
      <c r="A433">
        <v>152504354</v>
      </c>
      <c r="B433" s="1">
        <v>44868</v>
      </c>
      <c r="C433" s="1">
        <v>44988</v>
      </c>
      <c r="D433">
        <v>39</v>
      </c>
      <c r="E433" t="s">
        <v>6</v>
      </c>
      <c r="F433" t="s">
        <v>7</v>
      </c>
    </row>
    <row r="434" spans="1:6" x14ac:dyDescent="0.3">
      <c r="A434">
        <v>143164854</v>
      </c>
      <c r="B434" s="1">
        <v>44868</v>
      </c>
      <c r="C434" s="1">
        <v>44975</v>
      </c>
      <c r="D434">
        <v>39</v>
      </c>
      <c r="E434" t="s">
        <v>6</v>
      </c>
      <c r="F434" t="s">
        <v>7</v>
      </c>
    </row>
    <row r="435" spans="1:6" x14ac:dyDescent="0.3">
      <c r="A435">
        <v>160366020</v>
      </c>
      <c r="B435" s="1">
        <v>44868</v>
      </c>
      <c r="C435" s="1">
        <v>44898</v>
      </c>
      <c r="D435">
        <v>39</v>
      </c>
      <c r="E435" t="s">
        <v>6</v>
      </c>
      <c r="F435" t="s">
        <v>7</v>
      </c>
    </row>
    <row r="436" spans="1:6" x14ac:dyDescent="0.3">
      <c r="A436">
        <v>160298168</v>
      </c>
      <c r="B436" s="1">
        <v>44868</v>
      </c>
      <c r="C436" s="1">
        <v>44897</v>
      </c>
      <c r="D436">
        <v>39</v>
      </c>
      <c r="E436" t="s">
        <v>6</v>
      </c>
      <c r="F436" t="s">
        <v>7</v>
      </c>
    </row>
    <row r="437" spans="1:6" x14ac:dyDescent="0.3">
      <c r="A437">
        <v>160243008</v>
      </c>
      <c r="B437" s="1">
        <v>44868</v>
      </c>
      <c r="C437" s="1">
        <v>44924</v>
      </c>
      <c r="D437">
        <v>39</v>
      </c>
      <c r="E437" t="s">
        <v>6</v>
      </c>
      <c r="F437" t="s">
        <v>7</v>
      </c>
    </row>
    <row r="438" spans="1:6" x14ac:dyDescent="0.3">
      <c r="A438">
        <v>150878120</v>
      </c>
      <c r="B438" s="1">
        <v>44868</v>
      </c>
      <c r="C438" s="1">
        <v>44905</v>
      </c>
      <c r="D438">
        <v>39</v>
      </c>
      <c r="E438" t="s">
        <v>6</v>
      </c>
      <c r="F438" t="s">
        <v>7</v>
      </c>
    </row>
    <row r="439" spans="1:6" x14ac:dyDescent="0.3">
      <c r="A439">
        <v>160208723</v>
      </c>
      <c r="B439" s="1">
        <v>44869</v>
      </c>
      <c r="D439">
        <v>39</v>
      </c>
      <c r="E439" t="s">
        <v>6</v>
      </c>
      <c r="F439" t="s">
        <v>7</v>
      </c>
    </row>
    <row r="440" spans="1:6" x14ac:dyDescent="0.3">
      <c r="A440">
        <v>153539322</v>
      </c>
      <c r="B440" s="1">
        <v>44869</v>
      </c>
      <c r="C440" s="1">
        <v>44964</v>
      </c>
      <c r="D440">
        <v>39</v>
      </c>
      <c r="E440" t="s">
        <v>6</v>
      </c>
      <c r="F440" t="s">
        <v>7</v>
      </c>
    </row>
    <row r="441" spans="1:6" x14ac:dyDescent="0.3">
      <c r="A441">
        <v>160164472</v>
      </c>
      <c r="B441" s="1">
        <v>44869</v>
      </c>
      <c r="C441" s="1">
        <v>44981</v>
      </c>
      <c r="D441">
        <v>39</v>
      </c>
      <c r="E441" t="s">
        <v>6</v>
      </c>
      <c r="F441" t="s">
        <v>7</v>
      </c>
    </row>
    <row r="442" spans="1:6" x14ac:dyDescent="0.3">
      <c r="A442">
        <v>160193644</v>
      </c>
      <c r="B442" s="1">
        <v>44869</v>
      </c>
      <c r="C442" s="1">
        <v>44937</v>
      </c>
      <c r="D442">
        <v>39</v>
      </c>
      <c r="E442" t="s">
        <v>6</v>
      </c>
      <c r="F442" t="s">
        <v>7</v>
      </c>
    </row>
    <row r="443" spans="1:6" x14ac:dyDescent="0.3">
      <c r="A443">
        <v>156294098</v>
      </c>
      <c r="B443" s="1">
        <v>44869</v>
      </c>
      <c r="C443" s="1">
        <v>44898</v>
      </c>
      <c r="D443">
        <v>39</v>
      </c>
      <c r="E443" t="s">
        <v>6</v>
      </c>
      <c r="F443" t="s">
        <v>7</v>
      </c>
    </row>
    <row r="444" spans="1:6" x14ac:dyDescent="0.3">
      <c r="A444">
        <v>146625866</v>
      </c>
      <c r="B444" s="1">
        <v>44869</v>
      </c>
      <c r="C444" s="1">
        <v>44884</v>
      </c>
      <c r="D444">
        <v>39</v>
      </c>
      <c r="E444" t="s">
        <v>6</v>
      </c>
      <c r="F444" t="s">
        <v>7</v>
      </c>
    </row>
    <row r="445" spans="1:6" x14ac:dyDescent="0.3">
      <c r="A445">
        <v>157663870</v>
      </c>
      <c r="B445" s="1">
        <v>44870</v>
      </c>
      <c r="C445" s="1">
        <v>44871</v>
      </c>
      <c r="D445">
        <v>39</v>
      </c>
      <c r="E445" t="s">
        <v>6</v>
      </c>
      <c r="F445" t="s">
        <v>7</v>
      </c>
    </row>
    <row r="446" spans="1:6" x14ac:dyDescent="0.3">
      <c r="A446">
        <v>159679042</v>
      </c>
      <c r="B446" s="1">
        <v>44870</v>
      </c>
      <c r="C446" s="1">
        <v>44871</v>
      </c>
      <c r="D446">
        <v>39</v>
      </c>
      <c r="E446" t="s">
        <v>6</v>
      </c>
      <c r="F446" t="s">
        <v>8</v>
      </c>
    </row>
    <row r="447" spans="1:6" x14ac:dyDescent="0.3">
      <c r="A447">
        <v>160558904</v>
      </c>
      <c r="B447" s="1">
        <v>44870</v>
      </c>
      <c r="C447" s="1">
        <v>44950</v>
      </c>
      <c r="D447">
        <v>39</v>
      </c>
      <c r="E447" t="s">
        <v>6</v>
      </c>
      <c r="F447" t="s">
        <v>7</v>
      </c>
    </row>
    <row r="448" spans="1:6" x14ac:dyDescent="0.3">
      <c r="A448">
        <v>127836197</v>
      </c>
      <c r="B448" s="1">
        <v>44870</v>
      </c>
      <c r="C448" s="1">
        <v>44870</v>
      </c>
      <c r="D448">
        <v>39</v>
      </c>
      <c r="E448" t="s">
        <v>6</v>
      </c>
      <c r="F448" t="s">
        <v>7</v>
      </c>
    </row>
    <row r="449" spans="1:6" x14ac:dyDescent="0.3">
      <c r="A449">
        <v>155334332</v>
      </c>
      <c r="B449" s="1">
        <v>44870</v>
      </c>
      <c r="C449" s="1">
        <v>44899</v>
      </c>
      <c r="D449">
        <v>39</v>
      </c>
      <c r="E449" t="s">
        <v>6</v>
      </c>
      <c r="F449" t="s">
        <v>7</v>
      </c>
    </row>
    <row r="450" spans="1:6" x14ac:dyDescent="0.3">
      <c r="A450">
        <v>160523170</v>
      </c>
      <c r="B450" s="1">
        <v>44870</v>
      </c>
      <c r="C450" s="1">
        <v>44907</v>
      </c>
      <c r="D450">
        <v>39</v>
      </c>
      <c r="E450" t="s">
        <v>6</v>
      </c>
      <c r="F450" t="s">
        <v>7</v>
      </c>
    </row>
    <row r="451" spans="1:6" x14ac:dyDescent="0.3">
      <c r="A451">
        <v>156907890</v>
      </c>
      <c r="B451" s="1">
        <v>44870</v>
      </c>
      <c r="C451" s="1">
        <v>44870</v>
      </c>
      <c r="D451">
        <v>39</v>
      </c>
      <c r="E451" t="s">
        <v>6</v>
      </c>
      <c r="F451" t="s">
        <v>7</v>
      </c>
    </row>
    <row r="452" spans="1:6" x14ac:dyDescent="0.3">
      <c r="A452">
        <v>160608516</v>
      </c>
      <c r="B452" s="1">
        <v>44870</v>
      </c>
      <c r="C452" s="1">
        <v>45141</v>
      </c>
      <c r="D452">
        <v>39</v>
      </c>
      <c r="E452" t="s">
        <v>6</v>
      </c>
      <c r="F452" t="s">
        <v>7</v>
      </c>
    </row>
    <row r="453" spans="1:6" x14ac:dyDescent="0.3">
      <c r="A453">
        <v>113181220</v>
      </c>
      <c r="B453" s="1">
        <v>44870</v>
      </c>
      <c r="C453" s="1">
        <v>45130</v>
      </c>
      <c r="D453">
        <v>39</v>
      </c>
      <c r="E453" t="s">
        <v>6</v>
      </c>
      <c r="F453" t="s">
        <v>7</v>
      </c>
    </row>
    <row r="454" spans="1:6" x14ac:dyDescent="0.3">
      <c r="A454">
        <v>159790393</v>
      </c>
      <c r="B454" s="1">
        <v>44871</v>
      </c>
      <c r="C454" s="1">
        <v>44970</v>
      </c>
      <c r="D454">
        <v>39</v>
      </c>
      <c r="E454" t="s">
        <v>6</v>
      </c>
      <c r="F454" t="s">
        <v>7</v>
      </c>
    </row>
    <row r="455" spans="1:6" x14ac:dyDescent="0.3">
      <c r="A455">
        <v>147813476</v>
      </c>
      <c r="B455" s="1">
        <v>44871</v>
      </c>
      <c r="C455" s="1">
        <v>44953</v>
      </c>
      <c r="D455">
        <v>39</v>
      </c>
      <c r="E455" t="s">
        <v>6</v>
      </c>
      <c r="F455" t="s">
        <v>7</v>
      </c>
    </row>
    <row r="456" spans="1:6" x14ac:dyDescent="0.3">
      <c r="A456">
        <v>156078158</v>
      </c>
      <c r="B456" s="1">
        <v>44871</v>
      </c>
      <c r="C456" s="1">
        <v>44951</v>
      </c>
      <c r="D456">
        <v>39</v>
      </c>
      <c r="E456" t="s">
        <v>6</v>
      </c>
      <c r="F456" t="s">
        <v>7</v>
      </c>
    </row>
    <row r="457" spans="1:6" x14ac:dyDescent="0.3">
      <c r="A457">
        <v>154879898</v>
      </c>
      <c r="B457" s="1">
        <v>44871</v>
      </c>
      <c r="C457" s="1">
        <v>44882</v>
      </c>
      <c r="D457">
        <v>39</v>
      </c>
      <c r="E457" t="s">
        <v>6</v>
      </c>
      <c r="F457" t="s">
        <v>7</v>
      </c>
    </row>
    <row r="458" spans="1:6" x14ac:dyDescent="0.3">
      <c r="A458">
        <v>136157937</v>
      </c>
      <c r="B458" s="1">
        <v>44871</v>
      </c>
      <c r="C458" s="1">
        <v>44908</v>
      </c>
      <c r="D458">
        <v>39</v>
      </c>
      <c r="E458" t="s">
        <v>6</v>
      </c>
      <c r="F458" t="s">
        <v>7</v>
      </c>
    </row>
    <row r="459" spans="1:6" x14ac:dyDescent="0.3">
      <c r="A459">
        <v>160176868</v>
      </c>
      <c r="B459" s="1">
        <v>44871</v>
      </c>
      <c r="C459" s="1">
        <v>44896</v>
      </c>
      <c r="D459">
        <v>39</v>
      </c>
      <c r="E459" t="s">
        <v>6</v>
      </c>
      <c r="F459" t="s">
        <v>7</v>
      </c>
    </row>
    <row r="460" spans="1:6" x14ac:dyDescent="0.3">
      <c r="A460">
        <v>160622888</v>
      </c>
      <c r="B460" s="1">
        <v>44871</v>
      </c>
      <c r="C460" s="1">
        <v>44871</v>
      </c>
      <c r="D460">
        <v>39</v>
      </c>
      <c r="E460" t="s">
        <v>6</v>
      </c>
      <c r="F460" t="s">
        <v>7</v>
      </c>
    </row>
    <row r="461" spans="1:6" x14ac:dyDescent="0.3">
      <c r="A461">
        <v>158736659</v>
      </c>
      <c r="B461" s="1">
        <v>44872</v>
      </c>
      <c r="D461">
        <v>39</v>
      </c>
      <c r="E461" t="s">
        <v>6</v>
      </c>
      <c r="F461" t="s">
        <v>7</v>
      </c>
    </row>
    <row r="462" spans="1:6" x14ac:dyDescent="0.3">
      <c r="A462">
        <v>160813660</v>
      </c>
      <c r="B462" s="1">
        <v>44872</v>
      </c>
      <c r="D462">
        <v>39</v>
      </c>
      <c r="E462" t="s">
        <v>6</v>
      </c>
      <c r="F462" t="s">
        <v>7</v>
      </c>
    </row>
    <row r="463" spans="1:6" x14ac:dyDescent="0.3">
      <c r="A463">
        <v>158524240</v>
      </c>
      <c r="B463" s="1">
        <v>44872</v>
      </c>
      <c r="D463">
        <v>39</v>
      </c>
      <c r="E463" t="s">
        <v>6</v>
      </c>
      <c r="F463" t="s">
        <v>7</v>
      </c>
    </row>
    <row r="464" spans="1:6" x14ac:dyDescent="0.3">
      <c r="A464">
        <v>160702738</v>
      </c>
      <c r="B464" s="1">
        <v>44872</v>
      </c>
      <c r="D464">
        <v>39</v>
      </c>
      <c r="E464" t="s">
        <v>6</v>
      </c>
      <c r="F464" t="s">
        <v>7</v>
      </c>
    </row>
    <row r="465" spans="1:6" x14ac:dyDescent="0.3">
      <c r="A465">
        <v>138919619</v>
      </c>
      <c r="B465" s="1">
        <v>44872</v>
      </c>
      <c r="C465" s="1">
        <v>44901</v>
      </c>
      <c r="D465">
        <v>39</v>
      </c>
      <c r="E465" t="s">
        <v>6</v>
      </c>
      <c r="F465" t="s">
        <v>7</v>
      </c>
    </row>
    <row r="466" spans="1:6" x14ac:dyDescent="0.3">
      <c r="A466">
        <v>121571816</v>
      </c>
      <c r="B466" s="1">
        <v>44872</v>
      </c>
      <c r="C466" s="1">
        <v>45011</v>
      </c>
      <c r="D466">
        <v>39</v>
      </c>
      <c r="E466" t="s">
        <v>6</v>
      </c>
      <c r="F466" t="s">
        <v>7</v>
      </c>
    </row>
    <row r="467" spans="1:6" x14ac:dyDescent="0.3">
      <c r="A467">
        <v>160623955</v>
      </c>
      <c r="B467" s="1">
        <v>44872</v>
      </c>
      <c r="C467" s="1">
        <v>45112</v>
      </c>
      <c r="D467">
        <v>39</v>
      </c>
      <c r="E467" t="s">
        <v>6</v>
      </c>
      <c r="F467" t="s">
        <v>7</v>
      </c>
    </row>
    <row r="468" spans="1:6" x14ac:dyDescent="0.3">
      <c r="A468">
        <v>160010850</v>
      </c>
      <c r="B468" s="1">
        <v>44872</v>
      </c>
      <c r="C468" s="1">
        <v>44994</v>
      </c>
      <c r="D468">
        <v>39</v>
      </c>
      <c r="E468" t="s">
        <v>6</v>
      </c>
      <c r="F468" t="s">
        <v>7</v>
      </c>
    </row>
    <row r="469" spans="1:6" x14ac:dyDescent="0.3">
      <c r="A469">
        <v>160823268</v>
      </c>
      <c r="B469" s="1">
        <v>44872</v>
      </c>
      <c r="C469" s="1">
        <v>44963</v>
      </c>
      <c r="D469">
        <v>39</v>
      </c>
      <c r="E469" t="s">
        <v>6</v>
      </c>
      <c r="F469" t="s">
        <v>7</v>
      </c>
    </row>
    <row r="470" spans="1:6" x14ac:dyDescent="0.3">
      <c r="A470">
        <v>158992873</v>
      </c>
      <c r="B470" s="1">
        <v>44872</v>
      </c>
      <c r="C470" s="1">
        <v>44971</v>
      </c>
      <c r="D470">
        <v>39</v>
      </c>
      <c r="E470" t="s">
        <v>6</v>
      </c>
      <c r="F470" t="s">
        <v>7</v>
      </c>
    </row>
    <row r="471" spans="1:6" x14ac:dyDescent="0.3">
      <c r="A471">
        <v>159878556</v>
      </c>
      <c r="B471" s="1">
        <v>44872</v>
      </c>
      <c r="C471" s="1">
        <v>44902</v>
      </c>
      <c r="D471">
        <v>39</v>
      </c>
      <c r="E471" t="s">
        <v>6</v>
      </c>
      <c r="F471" t="s">
        <v>7</v>
      </c>
    </row>
    <row r="472" spans="1:6" x14ac:dyDescent="0.3">
      <c r="A472">
        <v>160833652</v>
      </c>
      <c r="B472" s="1">
        <v>44872</v>
      </c>
      <c r="C472" s="1">
        <v>44909</v>
      </c>
      <c r="D472">
        <v>39</v>
      </c>
      <c r="E472" t="s">
        <v>6</v>
      </c>
      <c r="F472" t="s">
        <v>7</v>
      </c>
    </row>
    <row r="473" spans="1:6" x14ac:dyDescent="0.3">
      <c r="A473">
        <v>157663870</v>
      </c>
      <c r="B473" s="1">
        <v>44872</v>
      </c>
      <c r="C473" s="1">
        <v>44903</v>
      </c>
      <c r="D473">
        <v>39</v>
      </c>
      <c r="E473" t="s">
        <v>6</v>
      </c>
      <c r="F473" t="s">
        <v>7</v>
      </c>
    </row>
    <row r="474" spans="1:6" x14ac:dyDescent="0.3">
      <c r="A474">
        <v>160615413</v>
      </c>
      <c r="B474" s="1">
        <v>44872</v>
      </c>
      <c r="C474" s="1">
        <v>44920</v>
      </c>
      <c r="D474">
        <v>39</v>
      </c>
      <c r="E474" t="s">
        <v>6</v>
      </c>
      <c r="F474" t="s">
        <v>7</v>
      </c>
    </row>
    <row r="475" spans="1:6" x14ac:dyDescent="0.3">
      <c r="A475">
        <v>156207052</v>
      </c>
      <c r="B475" s="1">
        <v>44872</v>
      </c>
      <c r="C475" s="1">
        <v>44899</v>
      </c>
      <c r="D475">
        <v>39</v>
      </c>
      <c r="E475" t="s">
        <v>6</v>
      </c>
      <c r="F475" t="s">
        <v>7</v>
      </c>
    </row>
    <row r="476" spans="1:6" x14ac:dyDescent="0.3">
      <c r="A476">
        <v>160103792</v>
      </c>
      <c r="B476" s="1">
        <v>44872</v>
      </c>
      <c r="C476" s="1">
        <v>44872</v>
      </c>
      <c r="D476">
        <v>39</v>
      </c>
      <c r="E476" t="s">
        <v>6</v>
      </c>
      <c r="F476" t="s">
        <v>7</v>
      </c>
    </row>
    <row r="477" spans="1:6" x14ac:dyDescent="0.3">
      <c r="A477">
        <v>160969302</v>
      </c>
      <c r="B477" s="1">
        <v>44874</v>
      </c>
      <c r="C477" s="1">
        <v>45168</v>
      </c>
      <c r="D477">
        <v>39</v>
      </c>
      <c r="E477" t="s">
        <v>6</v>
      </c>
      <c r="F477" t="s">
        <v>7</v>
      </c>
    </row>
    <row r="478" spans="1:6" x14ac:dyDescent="0.3">
      <c r="A478">
        <v>149648746</v>
      </c>
      <c r="B478" s="1">
        <v>44874</v>
      </c>
      <c r="C478" s="1">
        <v>45079</v>
      </c>
      <c r="D478">
        <v>39</v>
      </c>
      <c r="E478" t="s">
        <v>6</v>
      </c>
      <c r="F478" t="s">
        <v>7</v>
      </c>
    </row>
    <row r="479" spans="1:6" x14ac:dyDescent="0.3">
      <c r="A479">
        <v>155643390</v>
      </c>
      <c r="B479" s="1">
        <v>44874</v>
      </c>
      <c r="C479" s="1">
        <v>45016</v>
      </c>
      <c r="D479">
        <v>39</v>
      </c>
      <c r="E479" t="s">
        <v>6</v>
      </c>
      <c r="F479" t="s">
        <v>7</v>
      </c>
    </row>
    <row r="480" spans="1:6" x14ac:dyDescent="0.3">
      <c r="A480">
        <v>119294384</v>
      </c>
      <c r="B480" s="1">
        <v>44874</v>
      </c>
      <c r="C480" s="1">
        <v>44987</v>
      </c>
      <c r="D480">
        <v>39</v>
      </c>
      <c r="E480" t="s">
        <v>6</v>
      </c>
      <c r="F480" t="s">
        <v>7</v>
      </c>
    </row>
    <row r="481" spans="1:6" x14ac:dyDescent="0.3">
      <c r="A481">
        <v>160171541</v>
      </c>
      <c r="B481" s="1">
        <v>44874</v>
      </c>
      <c r="C481" s="1">
        <v>44929</v>
      </c>
      <c r="D481">
        <v>39</v>
      </c>
      <c r="E481" t="s">
        <v>6</v>
      </c>
      <c r="F481" t="s">
        <v>7</v>
      </c>
    </row>
    <row r="482" spans="1:6" x14ac:dyDescent="0.3">
      <c r="A482">
        <v>150569213</v>
      </c>
      <c r="B482" s="1">
        <v>44874</v>
      </c>
      <c r="C482" s="1">
        <v>44911</v>
      </c>
      <c r="D482">
        <v>39</v>
      </c>
      <c r="E482" t="s">
        <v>6</v>
      </c>
      <c r="F482" t="s">
        <v>7</v>
      </c>
    </row>
    <row r="483" spans="1:6" x14ac:dyDescent="0.3">
      <c r="A483">
        <v>156710028</v>
      </c>
      <c r="B483" s="1">
        <v>44875</v>
      </c>
      <c r="C483" s="1">
        <v>44992</v>
      </c>
      <c r="D483">
        <v>39</v>
      </c>
      <c r="E483" t="s">
        <v>6</v>
      </c>
      <c r="F483" t="s">
        <v>7</v>
      </c>
    </row>
    <row r="484" spans="1:6" x14ac:dyDescent="0.3">
      <c r="A484">
        <v>157670310</v>
      </c>
      <c r="B484" s="1">
        <v>44875</v>
      </c>
      <c r="C484" s="1">
        <v>44958</v>
      </c>
      <c r="D484">
        <v>39</v>
      </c>
      <c r="E484" t="s">
        <v>6</v>
      </c>
      <c r="F484" t="s">
        <v>7</v>
      </c>
    </row>
    <row r="485" spans="1:6" x14ac:dyDescent="0.3">
      <c r="A485">
        <v>157091067</v>
      </c>
      <c r="B485" s="1">
        <v>44875</v>
      </c>
      <c r="C485" s="1">
        <v>44969</v>
      </c>
      <c r="D485">
        <v>39</v>
      </c>
      <c r="E485" t="s">
        <v>6</v>
      </c>
      <c r="F485" t="s">
        <v>7</v>
      </c>
    </row>
    <row r="486" spans="1:6" x14ac:dyDescent="0.3">
      <c r="A486">
        <v>159639128</v>
      </c>
      <c r="B486" s="1">
        <v>44875</v>
      </c>
      <c r="C486" s="1">
        <v>44875</v>
      </c>
      <c r="D486">
        <v>39</v>
      </c>
      <c r="E486" t="s">
        <v>6</v>
      </c>
      <c r="F486" t="s">
        <v>7</v>
      </c>
    </row>
    <row r="487" spans="1:6" x14ac:dyDescent="0.3">
      <c r="A487">
        <v>149728468</v>
      </c>
      <c r="B487" s="1">
        <v>44876</v>
      </c>
      <c r="C487" s="1">
        <v>44877</v>
      </c>
      <c r="D487">
        <v>39</v>
      </c>
      <c r="E487" t="s">
        <v>6</v>
      </c>
      <c r="F487" t="s">
        <v>7</v>
      </c>
    </row>
    <row r="488" spans="1:6" x14ac:dyDescent="0.3">
      <c r="A488">
        <v>160714172</v>
      </c>
      <c r="B488" s="1">
        <v>44876</v>
      </c>
      <c r="C488" s="1">
        <v>44926</v>
      </c>
      <c r="D488">
        <v>39</v>
      </c>
      <c r="E488" t="s">
        <v>6</v>
      </c>
      <c r="F488" t="s">
        <v>7</v>
      </c>
    </row>
    <row r="489" spans="1:6" x14ac:dyDescent="0.3">
      <c r="A489">
        <v>161464205</v>
      </c>
      <c r="B489" s="1">
        <v>44876</v>
      </c>
      <c r="C489" s="1">
        <v>44911</v>
      </c>
      <c r="D489">
        <v>39</v>
      </c>
      <c r="E489" t="s">
        <v>6</v>
      </c>
      <c r="F489" t="s">
        <v>7</v>
      </c>
    </row>
    <row r="490" spans="1:6" x14ac:dyDescent="0.3">
      <c r="A490">
        <v>141084753</v>
      </c>
      <c r="B490" s="1">
        <v>44877</v>
      </c>
      <c r="C490" s="1">
        <v>45035</v>
      </c>
      <c r="D490">
        <v>39</v>
      </c>
      <c r="E490" t="s">
        <v>6</v>
      </c>
      <c r="F490" t="s">
        <v>7</v>
      </c>
    </row>
    <row r="491" spans="1:6" x14ac:dyDescent="0.3">
      <c r="A491">
        <v>161768948</v>
      </c>
      <c r="B491" s="1">
        <v>44877</v>
      </c>
      <c r="C491" s="1">
        <v>45021</v>
      </c>
      <c r="D491">
        <v>39</v>
      </c>
      <c r="E491" t="s">
        <v>6</v>
      </c>
      <c r="F491" t="s">
        <v>7</v>
      </c>
    </row>
    <row r="492" spans="1:6" x14ac:dyDescent="0.3">
      <c r="A492">
        <v>161692109</v>
      </c>
      <c r="B492" s="1">
        <v>44877</v>
      </c>
      <c r="C492" s="1">
        <v>44976</v>
      </c>
      <c r="D492">
        <v>39</v>
      </c>
      <c r="E492" t="s">
        <v>6</v>
      </c>
      <c r="F492" t="s">
        <v>7</v>
      </c>
    </row>
    <row r="493" spans="1:6" x14ac:dyDescent="0.3">
      <c r="A493">
        <v>161424706</v>
      </c>
      <c r="B493" s="1">
        <v>44877</v>
      </c>
      <c r="C493" s="1">
        <v>44904</v>
      </c>
      <c r="D493">
        <v>39</v>
      </c>
      <c r="E493" t="s">
        <v>6</v>
      </c>
      <c r="F493" t="s">
        <v>7</v>
      </c>
    </row>
    <row r="494" spans="1:6" x14ac:dyDescent="0.3">
      <c r="A494">
        <v>153186137</v>
      </c>
      <c r="B494" s="1">
        <v>44877</v>
      </c>
      <c r="C494" s="1">
        <v>44877</v>
      </c>
      <c r="D494">
        <v>39</v>
      </c>
      <c r="E494" t="s">
        <v>6</v>
      </c>
      <c r="F494" t="s">
        <v>7</v>
      </c>
    </row>
    <row r="495" spans="1:6" x14ac:dyDescent="0.3">
      <c r="A495">
        <v>158906669</v>
      </c>
      <c r="B495" s="1">
        <v>44878</v>
      </c>
      <c r="C495" s="1">
        <v>44969</v>
      </c>
      <c r="D495">
        <v>39</v>
      </c>
      <c r="E495" t="s">
        <v>6</v>
      </c>
      <c r="F495" t="s">
        <v>7</v>
      </c>
    </row>
    <row r="496" spans="1:6" x14ac:dyDescent="0.3">
      <c r="A496">
        <v>154085972</v>
      </c>
      <c r="B496" s="1">
        <v>44878</v>
      </c>
      <c r="C496" s="1">
        <v>44900</v>
      </c>
      <c r="D496">
        <v>39</v>
      </c>
      <c r="E496" t="s">
        <v>6</v>
      </c>
      <c r="F496" t="s">
        <v>7</v>
      </c>
    </row>
    <row r="497" spans="1:6" x14ac:dyDescent="0.3">
      <c r="A497">
        <v>162409676</v>
      </c>
      <c r="B497" s="1">
        <v>44879</v>
      </c>
      <c r="D497">
        <v>39</v>
      </c>
      <c r="E497" t="s">
        <v>6</v>
      </c>
      <c r="F497" t="s">
        <v>7</v>
      </c>
    </row>
    <row r="498" spans="1:6" x14ac:dyDescent="0.3">
      <c r="A498">
        <v>157438261</v>
      </c>
      <c r="B498" s="1">
        <v>44879</v>
      </c>
      <c r="D498">
        <v>39</v>
      </c>
      <c r="E498" t="s">
        <v>6</v>
      </c>
      <c r="F498" t="s">
        <v>7</v>
      </c>
    </row>
    <row r="499" spans="1:6" x14ac:dyDescent="0.3">
      <c r="A499">
        <v>132579012</v>
      </c>
      <c r="B499" s="1">
        <v>44879</v>
      </c>
      <c r="C499" s="1">
        <v>44999</v>
      </c>
      <c r="D499">
        <v>39</v>
      </c>
      <c r="E499" t="s">
        <v>6</v>
      </c>
      <c r="F499" t="s">
        <v>7</v>
      </c>
    </row>
    <row r="500" spans="1:6" x14ac:dyDescent="0.3">
      <c r="A500">
        <v>129140042</v>
      </c>
      <c r="B500" s="1">
        <v>44879</v>
      </c>
      <c r="C500" s="1">
        <v>44966</v>
      </c>
      <c r="D500">
        <v>39</v>
      </c>
      <c r="E500" t="s">
        <v>6</v>
      </c>
      <c r="F500" t="s">
        <v>7</v>
      </c>
    </row>
    <row r="501" spans="1:6" x14ac:dyDescent="0.3">
      <c r="A501">
        <v>147100996</v>
      </c>
      <c r="B501" s="1">
        <v>44879</v>
      </c>
      <c r="C501" s="1">
        <v>44941</v>
      </c>
      <c r="D501">
        <v>39</v>
      </c>
      <c r="E501" t="s">
        <v>6</v>
      </c>
      <c r="F501" t="s">
        <v>7</v>
      </c>
    </row>
    <row r="502" spans="1:6" x14ac:dyDescent="0.3">
      <c r="A502">
        <v>158437198</v>
      </c>
      <c r="B502" s="1">
        <v>44879</v>
      </c>
      <c r="C502" s="1">
        <v>45011</v>
      </c>
      <c r="D502">
        <v>39</v>
      </c>
      <c r="E502" t="s">
        <v>6</v>
      </c>
      <c r="F502" t="s">
        <v>7</v>
      </c>
    </row>
    <row r="503" spans="1:6" x14ac:dyDescent="0.3">
      <c r="A503">
        <v>162343403</v>
      </c>
      <c r="B503" s="1">
        <v>44879</v>
      </c>
      <c r="C503" s="1">
        <v>45001</v>
      </c>
      <c r="D503">
        <v>39</v>
      </c>
      <c r="E503" t="s">
        <v>6</v>
      </c>
      <c r="F503" t="s">
        <v>7</v>
      </c>
    </row>
    <row r="504" spans="1:6" x14ac:dyDescent="0.3">
      <c r="A504">
        <v>162218672</v>
      </c>
      <c r="B504" s="1">
        <v>44879</v>
      </c>
      <c r="C504" s="1">
        <v>44994</v>
      </c>
      <c r="D504">
        <v>39</v>
      </c>
      <c r="E504" t="s">
        <v>6</v>
      </c>
      <c r="F504" t="s">
        <v>7</v>
      </c>
    </row>
    <row r="505" spans="1:6" x14ac:dyDescent="0.3">
      <c r="A505">
        <v>120738319</v>
      </c>
      <c r="B505" s="1">
        <v>44879</v>
      </c>
      <c r="C505" s="1">
        <v>45019</v>
      </c>
      <c r="D505">
        <v>39</v>
      </c>
      <c r="E505" t="s">
        <v>6</v>
      </c>
      <c r="F505" t="s">
        <v>7</v>
      </c>
    </row>
    <row r="506" spans="1:6" x14ac:dyDescent="0.3">
      <c r="A506">
        <v>162147786</v>
      </c>
      <c r="B506" s="1">
        <v>44879</v>
      </c>
      <c r="C506" s="1">
        <v>45030</v>
      </c>
      <c r="D506">
        <v>39</v>
      </c>
      <c r="E506" t="s">
        <v>6</v>
      </c>
      <c r="F506" t="s">
        <v>7</v>
      </c>
    </row>
    <row r="507" spans="1:6" x14ac:dyDescent="0.3">
      <c r="A507">
        <v>153165084</v>
      </c>
      <c r="B507" s="1">
        <v>44879</v>
      </c>
      <c r="C507" s="1">
        <v>44965</v>
      </c>
      <c r="D507">
        <v>39</v>
      </c>
      <c r="E507" t="s">
        <v>6</v>
      </c>
      <c r="F507" t="s">
        <v>7</v>
      </c>
    </row>
    <row r="508" spans="1:6" x14ac:dyDescent="0.3">
      <c r="A508">
        <v>161815335</v>
      </c>
      <c r="B508" s="1">
        <v>44879</v>
      </c>
      <c r="C508" s="1">
        <v>44976</v>
      </c>
      <c r="D508">
        <v>39</v>
      </c>
      <c r="E508" t="s">
        <v>6</v>
      </c>
      <c r="F508" t="s">
        <v>7</v>
      </c>
    </row>
    <row r="509" spans="1:6" x14ac:dyDescent="0.3">
      <c r="A509">
        <v>162294529</v>
      </c>
      <c r="B509" s="1">
        <v>44879</v>
      </c>
      <c r="C509" s="1">
        <v>44964</v>
      </c>
      <c r="D509">
        <v>39</v>
      </c>
      <c r="E509" t="s">
        <v>6</v>
      </c>
      <c r="F509" t="s">
        <v>7</v>
      </c>
    </row>
    <row r="510" spans="1:6" x14ac:dyDescent="0.3">
      <c r="A510">
        <v>162176080</v>
      </c>
      <c r="B510" s="1">
        <v>44879</v>
      </c>
      <c r="C510" s="1">
        <v>44962</v>
      </c>
      <c r="D510">
        <v>39</v>
      </c>
      <c r="E510" t="s">
        <v>6</v>
      </c>
      <c r="F510" t="s">
        <v>7</v>
      </c>
    </row>
    <row r="511" spans="1:6" x14ac:dyDescent="0.3">
      <c r="A511">
        <v>162412232</v>
      </c>
      <c r="B511" s="1">
        <v>44879</v>
      </c>
      <c r="C511" s="1">
        <v>44916</v>
      </c>
      <c r="D511">
        <v>39</v>
      </c>
      <c r="E511" t="s">
        <v>6</v>
      </c>
      <c r="F511" t="s">
        <v>7</v>
      </c>
    </row>
    <row r="512" spans="1:6" x14ac:dyDescent="0.3">
      <c r="A512">
        <v>158575772</v>
      </c>
      <c r="B512" s="1">
        <v>44879</v>
      </c>
      <c r="C512" s="1">
        <v>44911</v>
      </c>
      <c r="D512">
        <v>39</v>
      </c>
      <c r="E512" t="s">
        <v>6</v>
      </c>
      <c r="F512" t="s">
        <v>7</v>
      </c>
    </row>
    <row r="513" spans="1:6" x14ac:dyDescent="0.3">
      <c r="A513">
        <v>162247173</v>
      </c>
      <c r="B513" s="1">
        <v>44879</v>
      </c>
      <c r="C513" s="1">
        <v>44906</v>
      </c>
      <c r="D513">
        <v>39</v>
      </c>
      <c r="E513" t="s">
        <v>6</v>
      </c>
      <c r="F513" t="s">
        <v>7</v>
      </c>
    </row>
    <row r="514" spans="1:6" x14ac:dyDescent="0.3">
      <c r="A514">
        <v>153630282</v>
      </c>
      <c r="B514" s="1">
        <v>44879</v>
      </c>
      <c r="C514" s="1">
        <v>44903</v>
      </c>
      <c r="D514">
        <v>39</v>
      </c>
      <c r="E514" t="s">
        <v>6</v>
      </c>
      <c r="F514" t="s">
        <v>7</v>
      </c>
    </row>
    <row r="515" spans="1:6" x14ac:dyDescent="0.3">
      <c r="A515">
        <v>156699431</v>
      </c>
      <c r="B515" s="1">
        <v>44879</v>
      </c>
      <c r="C515" s="1">
        <v>44888</v>
      </c>
      <c r="D515">
        <v>39</v>
      </c>
      <c r="E515" t="s">
        <v>6</v>
      </c>
      <c r="F515" t="s">
        <v>7</v>
      </c>
    </row>
    <row r="516" spans="1:6" x14ac:dyDescent="0.3">
      <c r="A516">
        <v>148018000</v>
      </c>
      <c r="B516" s="1">
        <v>44879</v>
      </c>
      <c r="C516" s="1">
        <v>45139</v>
      </c>
      <c r="D516">
        <v>39</v>
      </c>
      <c r="E516" t="s">
        <v>6</v>
      </c>
      <c r="F516" t="s">
        <v>7</v>
      </c>
    </row>
    <row r="517" spans="1:6" x14ac:dyDescent="0.3">
      <c r="A517">
        <v>161623906</v>
      </c>
      <c r="B517" s="1">
        <v>44880</v>
      </c>
      <c r="D517">
        <v>39</v>
      </c>
      <c r="E517" t="s">
        <v>6</v>
      </c>
      <c r="F517" t="s">
        <v>7</v>
      </c>
    </row>
    <row r="518" spans="1:6" x14ac:dyDescent="0.3">
      <c r="A518">
        <v>145664226</v>
      </c>
      <c r="B518" s="1">
        <v>44880</v>
      </c>
      <c r="D518">
        <v>39</v>
      </c>
      <c r="E518" t="s">
        <v>6</v>
      </c>
      <c r="F518" t="s">
        <v>7</v>
      </c>
    </row>
    <row r="519" spans="1:6" x14ac:dyDescent="0.3">
      <c r="A519">
        <v>162529715</v>
      </c>
      <c r="B519" s="1">
        <v>44880</v>
      </c>
      <c r="C519" s="1">
        <v>45007</v>
      </c>
      <c r="D519">
        <v>39</v>
      </c>
      <c r="E519" t="s">
        <v>6</v>
      </c>
      <c r="F519" t="s">
        <v>7</v>
      </c>
    </row>
    <row r="520" spans="1:6" x14ac:dyDescent="0.3">
      <c r="A520">
        <v>162581284</v>
      </c>
      <c r="B520" s="1">
        <v>44880</v>
      </c>
      <c r="C520" s="1">
        <v>44906</v>
      </c>
      <c r="D520">
        <v>39</v>
      </c>
      <c r="E520" t="s">
        <v>6</v>
      </c>
      <c r="F520" t="s">
        <v>7</v>
      </c>
    </row>
    <row r="521" spans="1:6" x14ac:dyDescent="0.3">
      <c r="A521">
        <v>152655443</v>
      </c>
      <c r="B521" s="1">
        <v>44880</v>
      </c>
      <c r="C521" s="1">
        <v>44950</v>
      </c>
      <c r="D521">
        <v>39</v>
      </c>
      <c r="E521" t="s">
        <v>6</v>
      </c>
      <c r="F521" t="s">
        <v>7</v>
      </c>
    </row>
    <row r="522" spans="1:6" x14ac:dyDescent="0.3">
      <c r="A522">
        <v>162443327</v>
      </c>
      <c r="B522" s="1">
        <v>44880</v>
      </c>
      <c r="C522" s="1">
        <v>44938</v>
      </c>
      <c r="D522">
        <v>39</v>
      </c>
      <c r="E522" t="s">
        <v>6</v>
      </c>
      <c r="F522" t="s">
        <v>7</v>
      </c>
    </row>
    <row r="523" spans="1:6" x14ac:dyDescent="0.3">
      <c r="A523">
        <v>148348600</v>
      </c>
      <c r="B523" s="1">
        <v>44880</v>
      </c>
      <c r="C523" s="1">
        <v>44908</v>
      </c>
      <c r="D523">
        <v>39</v>
      </c>
      <c r="E523" t="s">
        <v>6</v>
      </c>
      <c r="F523" t="s">
        <v>7</v>
      </c>
    </row>
    <row r="524" spans="1:6" x14ac:dyDescent="0.3">
      <c r="A524">
        <v>162992590</v>
      </c>
      <c r="B524" s="1">
        <v>44881</v>
      </c>
      <c r="D524">
        <v>39</v>
      </c>
      <c r="E524" t="s">
        <v>6</v>
      </c>
      <c r="F524" t="s">
        <v>7</v>
      </c>
    </row>
    <row r="525" spans="1:6" x14ac:dyDescent="0.3">
      <c r="A525">
        <v>156633222</v>
      </c>
      <c r="B525" s="1">
        <v>44881</v>
      </c>
      <c r="C525" s="1">
        <v>44881</v>
      </c>
      <c r="D525">
        <v>39</v>
      </c>
      <c r="E525" t="s">
        <v>6</v>
      </c>
      <c r="F525" t="s">
        <v>8</v>
      </c>
    </row>
    <row r="526" spans="1:6" x14ac:dyDescent="0.3">
      <c r="A526">
        <v>133595094</v>
      </c>
      <c r="B526" s="1">
        <v>44881</v>
      </c>
      <c r="C526" s="1">
        <v>44988</v>
      </c>
      <c r="D526">
        <v>39</v>
      </c>
      <c r="E526" t="s">
        <v>6</v>
      </c>
      <c r="F526" t="s">
        <v>7</v>
      </c>
    </row>
    <row r="527" spans="1:6" x14ac:dyDescent="0.3">
      <c r="A527">
        <v>147770763</v>
      </c>
      <c r="B527" s="1">
        <v>44881</v>
      </c>
      <c r="C527" s="1">
        <v>44988</v>
      </c>
      <c r="D527">
        <v>39</v>
      </c>
      <c r="E527" t="s">
        <v>6</v>
      </c>
      <c r="F527" t="s">
        <v>7</v>
      </c>
    </row>
    <row r="528" spans="1:6" x14ac:dyDescent="0.3">
      <c r="A528">
        <v>155370139</v>
      </c>
      <c r="B528" s="1">
        <v>44881</v>
      </c>
      <c r="C528" s="1">
        <v>45008</v>
      </c>
      <c r="D528">
        <v>39</v>
      </c>
      <c r="E528" t="s">
        <v>6</v>
      </c>
      <c r="F528" t="s">
        <v>7</v>
      </c>
    </row>
    <row r="529" spans="1:6" x14ac:dyDescent="0.3">
      <c r="A529">
        <v>151890876</v>
      </c>
      <c r="B529" s="1">
        <v>44881</v>
      </c>
      <c r="C529" s="1">
        <v>44980</v>
      </c>
      <c r="D529">
        <v>39</v>
      </c>
      <c r="E529" t="s">
        <v>6</v>
      </c>
      <c r="F529" t="s">
        <v>7</v>
      </c>
    </row>
    <row r="530" spans="1:6" x14ac:dyDescent="0.3">
      <c r="A530">
        <v>162920304</v>
      </c>
      <c r="B530" s="1">
        <v>44881</v>
      </c>
      <c r="C530" s="1">
        <v>44941</v>
      </c>
      <c r="D530">
        <v>39</v>
      </c>
      <c r="E530" t="s">
        <v>6</v>
      </c>
      <c r="F530" t="s">
        <v>7</v>
      </c>
    </row>
    <row r="531" spans="1:6" x14ac:dyDescent="0.3">
      <c r="A531">
        <v>148838269</v>
      </c>
      <c r="B531" s="1">
        <v>44881</v>
      </c>
      <c r="C531" s="1">
        <v>44881</v>
      </c>
      <c r="D531">
        <v>39</v>
      </c>
      <c r="E531" t="s">
        <v>6</v>
      </c>
      <c r="F531" t="s">
        <v>7</v>
      </c>
    </row>
    <row r="532" spans="1:6" x14ac:dyDescent="0.3">
      <c r="A532">
        <v>162913792</v>
      </c>
      <c r="B532" s="1">
        <v>44881</v>
      </c>
      <c r="C532" s="1">
        <v>45161</v>
      </c>
      <c r="D532">
        <v>39</v>
      </c>
      <c r="E532" t="s">
        <v>6</v>
      </c>
      <c r="F532" t="s">
        <v>7</v>
      </c>
    </row>
    <row r="533" spans="1:6" x14ac:dyDescent="0.3">
      <c r="A533">
        <v>152316740</v>
      </c>
      <c r="B533" s="1">
        <v>44882</v>
      </c>
      <c r="D533">
        <v>39</v>
      </c>
      <c r="E533" t="s">
        <v>6</v>
      </c>
      <c r="F533" t="s">
        <v>7</v>
      </c>
    </row>
    <row r="534" spans="1:6" x14ac:dyDescent="0.3">
      <c r="A534">
        <v>135480868</v>
      </c>
      <c r="B534" s="1">
        <v>44882</v>
      </c>
      <c r="C534" s="1">
        <v>44952</v>
      </c>
      <c r="D534">
        <v>39</v>
      </c>
      <c r="E534" t="s">
        <v>6</v>
      </c>
      <c r="F534" t="s">
        <v>7</v>
      </c>
    </row>
    <row r="535" spans="1:6" x14ac:dyDescent="0.3">
      <c r="A535">
        <v>136315690</v>
      </c>
      <c r="B535" s="1">
        <v>44882</v>
      </c>
      <c r="C535" s="1">
        <v>44981</v>
      </c>
      <c r="D535">
        <v>39</v>
      </c>
      <c r="E535" t="s">
        <v>6</v>
      </c>
      <c r="F535" t="s">
        <v>7</v>
      </c>
    </row>
    <row r="536" spans="1:6" x14ac:dyDescent="0.3">
      <c r="A536">
        <v>163224262</v>
      </c>
      <c r="B536" s="1">
        <v>44882</v>
      </c>
      <c r="C536" s="1">
        <v>44969</v>
      </c>
      <c r="D536">
        <v>39</v>
      </c>
      <c r="E536" t="s">
        <v>6</v>
      </c>
      <c r="F536" t="s">
        <v>7</v>
      </c>
    </row>
    <row r="537" spans="1:6" x14ac:dyDescent="0.3">
      <c r="A537">
        <v>163330072</v>
      </c>
      <c r="B537" s="1">
        <v>44882</v>
      </c>
      <c r="C537" s="1">
        <v>44950</v>
      </c>
      <c r="D537">
        <v>39</v>
      </c>
      <c r="E537" t="s">
        <v>6</v>
      </c>
      <c r="F537" t="s">
        <v>7</v>
      </c>
    </row>
    <row r="538" spans="1:6" x14ac:dyDescent="0.3">
      <c r="A538">
        <v>134646164</v>
      </c>
      <c r="B538" s="1">
        <v>44882</v>
      </c>
      <c r="C538" s="1">
        <v>44919</v>
      </c>
      <c r="D538">
        <v>39</v>
      </c>
      <c r="E538" t="s">
        <v>6</v>
      </c>
      <c r="F538" t="s">
        <v>7</v>
      </c>
    </row>
    <row r="539" spans="1:6" x14ac:dyDescent="0.3">
      <c r="A539">
        <v>163282336</v>
      </c>
      <c r="B539" s="1">
        <v>44882</v>
      </c>
      <c r="C539" s="1">
        <v>45148</v>
      </c>
      <c r="D539">
        <v>39</v>
      </c>
      <c r="E539" t="s">
        <v>6</v>
      </c>
      <c r="F539" t="s">
        <v>7</v>
      </c>
    </row>
    <row r="540" spans="1:6" x14ac:dyDescent="0.3">
      <c r="A540">
        <v>162490128</v>
      </c>
      <c r="B540" s="1">
        <v>44883</v>
      </c>
      <c r="D540">
        <v>39</v>
      </c>
      <c r="E540" t="s">
        <v>6</v>
      </c>
      <c r="F540" t="s">
        <v>7</v>
      </c>
    </row>
    <row r="541" spans="1:6" x14ac:dyDescent="0.3">
      <c r="A541">
        <v>147122277</v>
      </c>
      <c r="B541" s="1">
        <v>44883</v>
      </c>
      <c r="C541" s="1">
        <v>44884</v>
      </c>
      <c r="D541">
        <v>39</v>
      </c>
      <c r="E541" t="s">
        <v>6</v>
      </c>
      <c r="F541" t="s">
        <v>8</v>
      </c>
    </row>
    <row r="542" spans="1:6" x14ac:dyDescent="0.3">
      <c r="A542">
        <v>163623375</v>
      </c>
      <c r="B542" s="1">
        <v>44883</v>
      </c>
      <c r="C542" s="1">
        <v>44884</v>
      </c>
      <c r="D542">
        <v>39</v>
      </c>
      <c r="E542" t="s">
        <v>6</v>
      </c>
      <c r="F542" t="s">
        <v>8</v>
      </c>
    </row>
    <row r="543" spans="1:6" x14ac:dyDescent="0.3">
      <c r="A543">
        <v>132918654</v>
      </c>
      <c r="B543" s="1">
        <v>44883</v>
      </c>
      <c r="C543" s="1">
        <v>44944</v>
      </c>
      <c r="D543">
        <v>39</v>
      </c>
      <c r="E543" t="s">
        <v>6</v>
      </c>
      <c r="F543" t="s">
        <v>7</v>
      </c>
    </row>
    <row r="544" spans="1:6" x14ac:dyDescent="0.3">
      <c r="A544">
        <v>160601062</v>
      </c>
      <c r="B544" s="1">
        <v>44883</v>
      </c>
      <c r="C544" s="1">
        <v>44935</v>
      </c>
      <c r="D544">
        <v>39</v>
      </c>
      <c r="E544" t="s">
        <v>6</v>
      </c>
      <c r="F544" t="s">
        <v>7</v>
      </c>
    </row>
    <row r="545" spans="1:6" x14ac:dyDescent="0.3">
      <c r="A545">
        <v>144573808</v>
      </c>
      <c r="B545" s="1">
        <v>44883</v>
      </c>
      <c r="C545" s="1">
        <v>44944</v>
      </c>
      <c r="D545">
        <v>39</v>
      </c>
      <c r="E545" t="s">
        <v>6</v>
      </c>
      <c r="F545" t="s">
        <v>7</v>
      </c>
    </row>
    <row r="546" spans="1:6" x14ac:dyDescent="0.3">
      <c r="A546">
        <v>114435366</v>
      </c>
      <c r="B546" s="1">
        <v>44883</v>
      </c>
      <c r="C546" s="1">
        <v>44883</v>
      </c>
      <c r="D546">
        <v>39</v>
      </c>
      <c r="E546" t="s">
        <v>6</v>
      </c>
      <c r="F546" t="s">
        <v>7</v>
      </c>
    </row>
    <row r="547" spans="1:6" x14ac:dyDescent="0.3">
      <c r="A547">
        <v>163399934</v>
      </c>
      <c r="B547" s="1">
        <v>44883</v>
      </c>
      <c r="C547" s="1">
        <v>44883</v>
      </c>
      <c r="D547">
        <v>39</v>
      </c>
      <c r="E547" t="s">
        <v>6</v>
      </c>
      <c r="F547" t="s">
        <v>7</v>
      </c>
    </row>
    <row r="548" spans="1:6" x14ac:dyDescent="0.3">
      <c r="A548">
        <v>133599090</v>
      </c>
      <c r="B548" s="1">
        <v>44884</v>
      </c>
      <c r="C548" s="1">
        <v>44996</v>
      </c>
      <c r="D548">
        <v>39</v>
      </c>
      <c r="E548" t="s">
        <v>6</v>
      </c>
      <c r="F548" t="s">
        <v>7</v>
      </c>
    </row>
    <row r="549" spans="1:6" x14ac:dyDescent="0.3">
      <c r="A549">
        <v>154767246</v>
      </c>
      <c r="B549" s="1">
        <v>44884</v>
      </c>
      <c r="C549" s="1">
        <v>44915</v>
      </c>
      <c r="D549">
        <v>39</v>
      </c>
      <c r="E549" t="s">
        <v>6</v>
      </c>
      <c r="F549" t="s">
        <v>7</v>
      </c>
    </row>
    <row r="550" spans="1:6" x14ac:dyDescent="0.3">
      <c r="A550">
        <v>164085988</v>
      </c>
      <c r="B550" s="1">
        <v>44884</v>
      </c>
      <c r="C550" s="1">
        <v>44915</v>
      </c>
      <c r="D550">
        <v>39</v>
      </c>
      <c r="E550" t="s">
        <v>6</v>
      </c>
      <c r="F550" t="s">
        <v>7</v>
      </c>
    </row>
    <row r="551" spans="1:6" x14ac:dyDescent="0.3">
      <c r="A551">
        <v>164255751</v>
      </c>
      <c r="B551" s="1">
        <v>44885</v>
      </c>
      <c r="C551" s="1">
        <v>45159</v>
      </c>
      <c r="D551">
        <v>39</v>
      </c>
      <c r="E551" t="s">
        <v>6</v>
      </c>
      <c r="F551" t="s">
        <v>7</v>
      </c>
    </row>
    <row r="552" spans="1:6" x14ac:dyDescent="0.3">
      <c r="A552">
        <v>150663530</v>
      </c>
      <c r="B552" s="1">
        <v>44885</v>
      </c>
      <c r="C552" s="1">
        <v>45043</v>
      </c>
      <c r="D552">
        <v>39</v>
      </c>
      <c r="E552" t="s">
        <v>6</v>
      </c>
      <c r="F552" t="s">
        <v>7</v>
      </c>
    </row>
    <row r="553" spans="1:6" x14ac:dyDescent="0.3">
      <c r="A553">
        <v>155333508</v>
      </c>
      <c r="B553" s="1">
        <v>44885</v>
      </c>
      <c r="C553" s="1">
        <v>44945</v>
      </c>
      <c r="D553">
        <v>39</v>
      </c>
      <c r="E553" t="s">
        <v>6</v>
      </c>
      <c r="F553" t="s">
        <v>7</v>
      </c>
    </row>
    <row r="554" spans="1:6" x14ac:dyDescent="0.3">
      <c r="A554">
        <v>163178244</v>
      </c>
      <c r="B554" s="1">
        <v>44886</v>
      </c>
      <c r="D554">
        <v>39</v>
      </c>
      <c r="E554" t="s">
        <v>6</v>
      </c>
      <c r="F554" t="s">
        <v>8</v>
      </c>
    </row>
    <row r="555" spans="1:6" x14ac:dyDescent="0.3">
      <c r="A555">
        <v>130245484</v>
      </c>
      <c r="B555" s="1">
        <v>44886</v>
      </c>
      <c r="C555" s="1">
        <v>44977</v>
      </c>
      <c r="D555">
        <v>39</v>
      </c>
      <c r="E555" t="s">
        <v>6</v>
      </c>
      <c r="F555" t="s">
        <v>7</v>
      </c>
    </row>
    <row r="556" spans="1:6" x14ac:dyDescent="0.3">
      <c r="A556">
        <v>164578320</v>
      </c>
      <c r="B556" s="1">
        <v>44886</v>
      </c>
      <c r="C556" s="1">
        <v>44916</v>
      </c>
      <c r="D556">
        <v>39</v>
      </c>
      <c r="E556" t="s">
        <v>6</v>
      </c>
      <c r="F556" t="s">
        <v>7</v>
      </c>
    </row>
    <row r="557" spans="1:6" x14ac:dyDescent="0.3">
      <c r="A557">
        <v>164542692</v>
      </c>
      <c r="B557" s="1">
        <v>44886</v>
      </c>
      <c r="C557" s="1">
        <v>44923</v>
      </c>
      <c r="D557">
        <v>39</v>
      </c>
      <c r="E557" t="s">
        <v>6</v>
      </c>
      <c r="F557" t="s">
        <v>7</v>
      </c>
    </row>
    <row r="558" spans="1:6" x14ac:dyDescent="0.3">
      <c r="A558">
        <v>164087136</v>
      </c>
      <c r="B558" s="1">
        <v>44887</v>
      </c>
      <c r="D558">
        <v>39</v>
      </c>
      <c r="E558" t="s">
        <v>6</v>
      </c>
      <c r="F558" t="s">
        <v>7</v>
      </c>
    </row>
    <row r="559" spans="1:6" x14ac:dyDescent="0.3">
      <c r="A559">
        <v>155414052</v>
      </c>
      <c r="B559" s="1">
        <v>44887</v>
      </c>
      <c r="C559" s="1">
        <v>44888</v>
      </c>
      <c r="D559">
        <v>39</v>
      </c>
      <c r="E559" t="s">
        <v>6</v>
      </c>
      <c r="F559" t="s">
        <v>8</v>
      </c>
    </row>
    <row r="560" spans="1:6" x14ac:dyDescent="0.3">
      <c r="A560">
        <v>152253972</v>
      </c>
      <c r="B560" s="1">
        <v>44887</v>
      </c>
      <c r="C560" s="1">
        <v>45014</v>
      </c>
      <c r="D560">
        <v>39</v>
      </c>
      <c r="E560" t="s">
        <v>6</v>
      </c>
      <c r="F560" t="s">
        <v>7</v>
      </c>
    </row>
    <row r="561" spans="1:6" x14ac:dyDescent="0.3">
      <c r="A561">
        <v>152754329</v>
      </c>
      <c r="B561" s="1">
        <v>44887</v>
      </c>
      <c r="C561" s="1">
        <v>44949</v>
      </c>
      <c r="D561">
        <v>39</v>
      </c>
      <c r="E561" t="s">
        <v>6</v>
      </c>
      <c r="F561" t="s">
        <v>7</v>
      </c>
    </row>
    <row r="562" spans="1:6" x14ac:dyDescent="0.3">
      <c r="A562">
        <v>159724071</v>
      </c>
      <c r="B562" s="1">
        <v>44888</v>
      </c>
      <c r="C562" s="1">
        <v>44945</v>
      </c>
      <c r="D562">
        <v>39</v>
      </c>
      <c r="E562" t="s">
        <v>6</v>
      </c>
      <c r="F562" t="s">
        <v>7</v>
      </c>
    </row>
    <row r="563" spans="1:6" x14ac:dyDescent="0.3">
      <c r="A563">
        <v>165164673</v>
      </c>
      <c r="B563" s="1">
        <v>44888</v>
      </c>
      <c r="C563" s="1">
        <v>44891</v>
      </c>
      <c r="D563">
        <v>39</v>
      </c>
      <c r="E563" t="s">
        <v>6</v>
      </c>
      <c r="F563" t="s">
        <v>7</v>
      </c>
    </row>
    <row r="564" spans="1:6" x14ac:dyDescent="0.3">
      <c r="A564">
        <v>165529460</v>
      </c>
      <c r="B564" s="1">
        <v>44889</v>
      </c>
      <c r="C564" s="1">
        <v>45037</v>
      </c>
      <c r="D564">
        <v>39</v>
      </c>
      <c r="E564" t="s">
        <v>6</v>
      </c>
      <c r="F564" t="s">
        <v>7</v>
      </c>
    </row>
    <row r="565" spans="1:6" x14ac:dyDescent="0.3">
      <c r="A565">
        <v>163362190</v>
      </c>
      <c r="B565" s="1">
        <v>44890</v>
      </c>
      <c r="D565">
        <v>39</v>
      </c>
      <c r="E565" t="s">
        <v>6</v>
      </c>
      <c r="F565" t="s">
        <v>7</v>
      </c>
    </row>
    <row r="566" spans="1:6" x14ac:dyDescent="0.3">
      <c r="A566">
        <v>155810350</v>
      </c>
      <c r="B566" s="1">
        <v>44890</v>
      </c>
      <c r="C566" s="1">
        <v>44917</v>
      </c>
      <c r="D566">
        <v>39</v>
      </c>
      <c r="E566" t="s">
        <v>6</v>
      </c>
      <c r="F566" t="s">
        <v>7</v>
      </c>
    </row>
    <row r="567" spans="1:6" x14ac:dyDescent="0.3">
      <c r="A567">
        <v>161793136</v>
      </c>
      <c r="B567" s="1">
        <v>44890</v>
      </c>
      <c r="C567" s="1">
        <v>45090</v>
      </c>
      <c r="D567">
        <v>39</v>
      </c>
      <c r="E567" t="s">
        <v>6</v>
      </c>
      <c r="F567" t="s">
        <v>7</v>
      </c>
    </row>
    <row r="568" spans="1:6" x14ac:dyDescent="0.3">
      <c r="A568">
        <v>159255776</v>
      </c>
      <c r="B568" s="1">
        <v>44890</v>
      </c>
      <c r="C568" s="1">
        <v>45006</v>
      </c>
      <c r="D568">
        <v>39</v>
      </c>
      <c r="E568" t="s">
        <v>6</v>
      </c>
      <c r="F568" t="s">
        <v>7</v>
      </c>
    </row>
    <row r="569" spans="1:6" x14ac:dyDescent="0.3">
      <c r="A569">
        <v>165807144</v>
      </c>
      <c r="B569" s="1">
        <v>44890</v>
      </c>
      <c r="C569" s="1">
        <v>44958</v>
      </c>
      <c r="D569">
        <v>39</v>
      </c>
      <c r="E569" t="s">
        <v>6</v>
      </c>
      <c r="F569" t="s">
        <v>7</v>
      </c>
    </row>
    <row r="570" spans="1:6" x14ac:dyDescent="0.3">
      <c r="A570">
        <v>165788743</v>
      </c>
      <c r="B570" s="1">
        <v>44890</v>
      </c>
      <c r="C570" s="1">
        <v>44975</v>
      </c>
      <c r="D570">
        <v>39</v>
      </c>
      <c r="E570" t="s">
        <v>6</v>
      </c>
      <c r="F570" t="s">
        <v>7</v>
      </c>
    </row>
    <row r="571" spans="1:6" x14ac:dyDescent="0.3">
      <c r="A571">
        <v>162513776</v>
      </c>
      <c r="B571" s="1">
        <v>44890</v>
      </c>
      <c r="C571" s="1">
        <v>44956</v>
      </c>
      <c r="D571">
        <v>39</v>
      </c>
      <c r="E571" t="s">
        <v>6</v>
      </c>
      <c r="F571" t="s">
        <v>7</v>
      </c>
    </row>
    <row r="572" spans="1:6" x14ac:dyDescent="0.3">
      <c r="A572">
        <v>161841028</v>
      </c>
      <c r="B572" s="1">
        <v>44890</v>
      </c>
      <c r="C572" s="1">
        <v>44951</v>
      </c>
      <c r="D572">
        <v>39</v>
      </c>
      <c r="E572" t="s">
        <v>6</v>
      </c>
      <c r="F572" t="s">
        <v>7</v>
      </c>
    </row>
    <row r="573" spans="1:6" x14ac:dyDescent="0.3">
      <c r="A573">
        <v>160597612</v>
      </c>
      <c r="B573" s="1">
        <v>44890</v>
      </c>
      <c r="C573" s="1">
        <v>44906</v>
      </c>
      <c r="D573">
        <v>39</v>
      </c>
      <c r="E573" t="s">
        <v>6</v>
      </c>
      <c r="F573" t="s">
        <v>7</v>
      </c>
    </row>
    <row r="574" spans="1:6" x14ac:dyDescent="0.3">
      <c r="A574">
        <v>165937140</v>
      </c>
      <c r="B574" s="1">
        <v>44891</v>
      </c>
      <c r="C574" s="1">
        <v>44892</v>
      </c>
      <c r="D574">
        <v>39</v>
      </c>
      <c r="E574" t="s">
        <v>6</v>
      </c>
      <c r="F574" t="s">
        <v>8</v>
      </c>
    </row>
    <row r="575" spans="1:6" x14ac:dyDescent="0.3">
      <c r="A575">
        <v>165613975</v>
      </c>
      <c r="B575" s="1">
        <v>44891</v>
      </c>
      <c r="C575" s="1">
        <v>45053</v>
      </c>
      <c r="D575">
        <v>39</v>
      </c>
      <c r="E575" t="s">
        <v>6</v>
      </c>
      <c r="F575" t="s">
        <v>7</v>
      </c>
    </row>
    <row r="576" spans="1:6" x14ac:dyDescent="0.3">
      <c r="A576">
        <v>164662173</v>
      </c>
      <c r="B576" s="1">
        <v>44891</v>
      </c>
      <c r="C576" s="1">
        <v>44952</v>
      </c>
      <c r="D576">
        <v>39</v>
      </c>
      <c r="E576" t="s">
        <v>6</v>
      </c>
      <c r="F576" t="s">
        <v>7</v>
      </c>
    </row>
    <row r="577" spans="1:6" x14ac:dyDescent="0.3">
      <c r="A577">
        <v>162411394</v>
      </c>
      <c r="B577" s="1">
        <v>44891</v>
      </c>
      <c r="C577" s="1">
        <v>44930</v>
      </c>
      <c r="D577">
        <v>39</v>
      </c>
      <c r="E577" t="s">
        <v>6</v>
      </c>
      <c r="F577" t="s">
        <v>7</v>
      </c>
    </row>
    <row r="578" spans="1:6" x14ac:dyDescent="0.3">
      <c r="A578">
        <v>121439836</v>
      </c>
      <c r="B578" s="1">
        <v>44892</v>
      </c>
      <c r="D578">
        <v>39</v>
      </c>
      <c r="E578" t="s">
        <v>6</v>
      </c>
      <c r="F578" t="s">
        <v>7</v>
      </c>
    </row>
    <row r="579" spans="1:6" x14ac:dyDescent="0.3">
      <c r="A579">
        <v>157353623</v>
      </c>
      <c r="B579" s="1">
        <v>44892</v>
      </c>
      <c r="C579" s="1">
        <v>44892</v>
      </c>
      <c r="D579">
        <v>39</v>
      </c>
      <c r="E579" t="s">
        <v>6</v>
      </c>
      <c r="F579" t="s">
        <v>8</v>
      </c>
    </row>
    <row r="580" spans="1:6" x14ac:dyDescent="0.3">
      <c r="A580">
        <v>165953219</v>
      </c>
      <c r="B580" s="1">
        <v>44892</v>
      </c>
      <c r="C580" s="1">
        <v>44929</v>
      </c>
      <c r="D580">
        <v>39</v>
      </c>
      <c r="E580" t="s">
        <v>6</v>
      </c>
      <c r="F580" t="s">
        <v>7</v>
      </c>
    </row>
    <row r="581" spans="1:6" x14ac:dyDescent="0.3">
      <c r="A581">
        <v>154710805</v>
      </c>
      <c r="B581" s="1">
        <v>44893</v>
      </c>
      <c r="D581">
        <v>39</v>
      </c>
      <c r="E581" t="s">
        <v>6</v>
      </c>
      <c r="F581" t="s">
        <v>7</v>
      </c>
    </row>
    <row r="582" spans="1:6" x14ac:dyDescent="0.3">
      <c r="A582">
        <v>164084318</v>
      </c>
      <c r="B582" s="1">
        <v>44893</v>
      </c>
      <c r="D582">
        <v>39</v>
      </c>
      <c r="E582" t="s">
        <v>6</v>
      </c>
      <c r="F582" t="s">
        <v>7</v>
      </c>
    </row>
    <row r="583" spans="1:6" x14ac:dyDescent="0.3">
      <c r="A583">
        <v>160043327</v>
      </c>
      <c r="B583" s="1">
        <v>44893</v>
      </c>
      <c r="C583" s="1">
        <v>44894</v>
      </c>
      <c r="D583">
        <v>39</v>
      </c>
      <c r="E583" t="s">
        <v>6</v>
      </c>
      <c r="F583" t="s">
        <v>8</v>
      </c>
    </row>
    <row r="584" spans="1:6" x14ac:dyDescent="0.3">
      <c r="A584">
        <v>131166579</v>
      </c>
      <c r="B584" s="1">
        <v>44893</v>
      </c>
      <c r="C584" s="1">
        <v>44930</v>
      </c>
      <c r="D584">
        <v>39</v>
      </c>
      <c r="E584" t="s">
        <v>6</v>
      </c>
      <c r="F584" t="s">
        <v>7</v>
      </c>
    </row>
    <row r="585" spans="1:6" x14ac:dyDescent="0.3">
      <c r="A585">
        <v>166109726</v>
      </c>
      <c r="B585" s="1">
        <v>44893</v>
      </c>
      <c r="C585" s="1">
        <v>44938</v>
      </c>
      <c r="D585">
        <v>39</v>
      </c>
      <c r="E585" t="s">
        <v>6</v>
      </c>
      <c r="F585" t="s">
        <v>7</v>
      </c>
    </row>
    <row r="586" spans="1:6" x14ac:dyDescent="0.3">
      <c r="A586">
        <v>155446081</v>
      </c>
      <c r="B586" s="1">
        <v>44893</v>
      </c>
      <c r="C586" s="1">
        <v>44927</v>
      </c>
      <c r="D586">
        <v>39</v>
      </c>
      <c r="E586" t="s">
        <v>6</v>
      </c>
      <c r="F586" t="s">
        <v>7</v>
      </c>
    </row>
    <row r="587" spans="1:6" x14ac:dyDescent="0.3">
      <c r="A587">
        <v>166342075</v>
      </c>
      <c r="B587" s="1">
        <v>44893</v>
      </c>
      <c r="C587" s="1">
        <v>44923</v>
      </c>
      <c r="D587">
        <v>39</v>
      </c>
      <c r="E587" t="s">
        <v>6</v>
      </c>
      <c r="F587" t="s">
        <v>7</v>
      </c>
    </row>
    <row r="588" spans="1:6" x14ac:dyDescent="0.3">
      <c r="A588">
        <v>154063985</v>
      </c>
      <c r="B588" s="1">
        <v>44893</v>
      </c>
      <c r="C588" s="1">
        <v>45142</v>
      </c>
      <c r="D588">
        <v>39</v>
      </c>
      <c r="E588" t="s">
        <v>6</v>
      </c>
      <c r="F588" t="s">
        <v>7</v>
      </c>
    </row>
    <row r="589" spans="1:6" x14ac:dyDescent="0.3">
      <c r="A589">
        <v>164141888</v>
      </c>
      <c r="B589" s="1">
        <v>44894</v>
      </c>
      <c r="D589">
        <v>39</v>
      </c>
      <c r="E589" t="s">
        <v>6</v>
      </c>
      <c r="F589" t="s">
        <v>7</v>
      </c>
    </row>
    <row r="590" spans="1:6" x14ac:dyDescent="0.3">
      <c r="A590">
        <v>165244044</v>
      </c>
      <c r="B590" s="1">
        <v>44894</v>
      </c>
      <c r="C590" s="1">
        <v>45061</v>
      </c>
      <c r="D590">
        <v>39</v>
      </c>
      <c r="E590" t="s">
        <v>6</v>
      </c>
      <c r="F590" t="s">
        <v>7</v>
      </c>
    </row>
    <row r="591" spans="1:6" x14ac:dyDescent="0.3">
      <c r="A591">
        <v>136149379</v>
      </c>
      <c r="B591" s="1">
        <v>44894</v>
      </c>
      <c r="C591" s="1">
        <v>45018</v>
      </c>
      <c r="D591">
        <v>39</v>
      </c>
      <c r="E591" t="s">
        <v>6</v>
      </c>
      <c r="F591" t="s">
        <v>7</v>
      </c>
    </row>
    <row r="592" spans="1:6" x14ac:dyDescent="0.3">
      <c r="A592">
        <v>158227426</v>
      </c>
      <c r="B592" s="1">
        <v>44894</v>
      </c>
      <c r="C592" s="1">
        <v>44986</v>
      </c>
      <c r="D592">
        <v>39</v>
      </c>
      <c r="E592" t="s">
        <v>6</v>
      </c>
      <c r="F592" t="s">
        <v>7</v>
      </c>
    </row>
    <row r="593" spans="1:6" x14ac:dyDescent="0.3">
      <c r="A593">
        <v>166366125</v>
      </c>
      <c r="B593" s="1">
        <v>44894</v>
      </c>
      <c r="C593" s="1">
        <v>44994</v>
      </c>
      <c r="D593">
        <v>39</v>
      </c>
      <c r="E593" t="s">
        <v>6</v>
      </c>
      <c r="F593" t="s">
        <v>7</v>
      </c>
    </row>
    <row r="594" spans="1:6" x14ac:dyDescent="0.3">
      <c r="A594">
        <v>166753946</v>
      </c>
      <c r="B594" s="1">
        <v>44894</v>
      </c>
      <c r="C594" s="1">
        <v>44962</v>
      </c>
      <c r="D594">
        <v>39</v>
      </c>
      <c r="E594" t="s">
        <v>6</v>
      </c>
      <c r="F594" t="s">
        <v>7</v>
      </c>
    </row>
    <row r="595" spans="1:6" x14ac:dyDescent="0.3">
      <c r="A595">
        <v>157883110</v>
      </c>
      <c r="B595" s="1">
        <v>44894</v>
      </c>
      <c r="C595" s="1">
        <v>44949</v>
      </c>
      <c r="D595">
        <v>39</v>
      </c>
      <c r="E595" t="s">
        <v>6</v>
      </c>
      <c r="F595" t="s">
        <v>7</v>
      </c>
    </row>
    <row r="596" spans="1:6" x14ac:dyDescent="0.3">
      <c r="A596">
        <v>138475621</v>
      </c>
      <c r="B596" s="1">
        <v>44894</v>
      </c>
      <c r="C596" s="1">
        <v>44910</v>
      </c>
      <c r="D596">
        <v>39</v>
      </c>
      <c r="E596" t="s">
        <v>6</v>
      </c>
      <c r="F596" t="s">
        <v>7</v>
      </c>
    </row>
    <row r="597" spans="1:6" x14ac:dyDescent="0.3">
      <c r="A597">
        <v>166529240</v>
      </c>
      <c r="B597" s="1">
        <v>44895</v>
      </c>
      <c r="D597">
        <v>39</v>
      </c>
      <c r="E597" t="s">
        <v>6</v>
      </c>
      <c r="F597" t="s">
        <v>7</v>
      </c>
    </row>
    <row r="598" spans="1:6" x14ac:dyDescent="0.3">
      <c r="A598">
        <v>125828506</v>
      </c>
      <c r="B598" s="1">
        <v>44895</v>
      </c>
      <c r="C598" s="1">
        <v>44971</v>
      </c>
      <c r="D598">
        <v>39</v>
      </c>
      <c r="E598" t="s">
        <v>6</v>
      </c>
      <c r="F598" t="s">
        <v>7</v>
      </c>
    </row>
    <row r="599" spans="1:6" x14ac:dyDescent="0.3">
      <c r="A599">
        <v>148869381</v>
      </c>
      <c r="B599" s="1">
        <v>44895</v>
      </c>
      <c r="C599" s="1">
        <v>44957</v>
      </c>
      <c r="D599">
        <v>39</v>
      </c>
      <c r="E599" t="s">
        <v>6</v>
      </c>
      <c r="F599" t="s">
        <v>7</v>
      </c>
    </row>
    <row r="600" spans="1:6" x14ac:dyDescent="0.3">
      <c r="A600">
        <v>134825962</v>
      </c>
      <c r="B600" s="1">
        <v>44895</v>
      </c>
      <c r="C600" s="1">
        <v>44927</v>
      </c>
      <c r="D600">
        <v>39</v>
      </c>
      <c r="E600" t="s">
        <v>6</v>
      </c>
      <c r="F600" t="s">
        <v>7</v>
      </c>
    </row>
    <row r="601" spans="1:6" x14ac:dyDescent="0.3">
      <c r="A601">
        <v>151163143</v>
      </c>
      <c r="B601" s="1">
        <v>44895</v>
      </c>
      <c r="C601" s="1">
        <v>44932</v>
      </c>
      <c r="D601">
        <v>39</v>
      </c>
      <c r="E601" t="s">
        <v>6</v>
      </c>
      <c r="F601" t="s">
        <v>7</v>
      </c>
    </row>
    <row r="602" spans="1:6" x14ac:dyDescent="0.3">
      <c r="A602">
        <v>156111982</v>
      </c>
      <c r="B602" s="1">
        <v>44895</v>
      </c>
      <c r="C602" s="1">
        <v>44918</v>
      </c>
      <c r="D602">
        <v>39</v>
      </c>
      <c r="E602" t="s">
        <v>6</v>
      </c>
      <c r="F602" t="s">
        <v>7</v>
      </c>
    </row>
    <row r="603" spans="1:6" x14ac:dyDescent="0.3">
      <c r="A603">
        <v>166546201</v>
      </c>
      <c r="B603" s="1">
        <v>44895</v>
      </c>
      <c r="C603" s="1">
        <v>44906</v>
      </c>
      <c r="D603">
        <v>39</v>
      </c>
      <c r="E603" t="s">
        <v>6</v>
      </c>
      <c r="F603" t="s">
        <v>7</v>
      </c>
    </row>
    <row r="604" spans="1:6" x14ac:dyDescent="0.3">
      <c r="A604">
        <v>162126074</v>
      </c>
      <c r="B604" s="1">
        <v>44896</v>
      </c>
      <c r="D604">
        <v>39</v>
      </c>
      <c r="E604" t="s">
        <v>6</v>
      </c>
      <c r="F604" t="s">
        <v>7</v>
      </c>
    </row>
    <row r="605" spans="1:6" x14ac:dyDescent="0.3">
      <c r="A605">
        <v>162640429</v>
      </c>
      <c r="B605" s="1">
        <v>44896</v>
      </c>
      <c r="D605">
        <v>39</v>
      </c>
      <c r="E605" t="s">
        <v>6</v>
      </c>
      <c r="F605" t="s">
        <v>7</v>
      </c>
    </row>
    <row r="606" spans="1:6" x14ac:dyDescent="0.3">
      <c r="A606">
        <v>164413682</v>
      </c>
      <c r="B606" s="1">
        <v>44896</v>
      </c>
      <c r="D606">
        <v>39</v>
      </c>
      <c r="E606" t="s">
        <v>6</v>
      </c>
      <c r="F606" t="s">
        <v>7</v>
      </c>
    </row>
    <row r="607" spans="1:6" x14ac:dyDescent="0.3">
      <c r="A607">
        <v>162850052</v>
      </c>
      <c r="B607" s="1">
        <v>44896</v>
      </c>
      <c r="D607">
        <v>39</v>
      </c>
      <c r="E607" t="s">
        <v>6</v>
      </c>
      <c r="F607" t="s">
        <v>7</v>
      </c>
    </row>
    <row r="608" spans="1:6" x14ac:dyDescent="0.3">
      <c r="A608">
        <v>162177746</v>
      </c>
      <c r="B608" s="1">
        <v>44896</v>
      </c>
      <c r="C608" s="1">
        <v>44924</v>
      </c>
      <c r="D608">
        <v>39</v>
      </c>
      <c r="E608" t="s">
        <v>6</v>
      </c>
      <c r="F608" t="s">
        <v>7</v>
      </c>
    </row>
    <row r="609" spans="1:6" x14ac:dyDescent="0.3">
      <c r="A609">
        <v>135587508</v>
      </c>
      <c r="B609" s="1">
        <v>44896</v>
      </c>
      <c r="C609" s="1">
        <v>44966</v>
      </c>
      <c r="D609">
        <v>39</v>
      </c>
      <c r="E609" t="s">
        <v>6</v>
      </c>
      <c r="F609" t="s">
        <v>7</v>
      </c>
    </row>
    <row r="610" spans="1:6" x14ac:dyDescent="0.3">
      <c r="A610">
        <v>161428649</v>
      </c>
      <c r="B610" s="1">
        <v>44896</v>
      </c>
      <c r="C610" s="1">
        <v>45024</v>
      </c>
      <c r="D610">
        <v>39</v>
      </c>
      <c r="E610" t="s">
        <v>6</v>
      </c>
      <c r="F610" t="s">
        <v>7</v>
      </c>
    </row>
    <row r="611" spans="1:6" x14ac:dyDescent="0.3">
      <c r="A611">
        <v>166977144</v>
      </c>
      <c r="B611" s="1">
        <v>44896</v>
      </c>
      <c r="C611" s="1">
        <v>45024</v>
      </c>
      <c r="D611">
        <v>39</v>
      </c>
      <c r="E611" t="s">
        <v>6</v>
      </c>
      <c r="F611" t="s">
        <v>7</v>
      </c>
    </row>
    <row r="612" spans="1:6" x14ac:dyDescent="0.3">
      <c r="A612">
        <v>161640666</v>
      </c>
      <c r="B612" s="1">
        <v>44896</v>
      </c>
      <c r="C612" s="1">
        <v>44986</v>
      </c>
      <c r="D612">
        <v>39</v>
      </c>
      <c r="E612" t="s">
        <v>6</v>
      </c>
      <c r="F612" t="s">
        <v>7</v>
      </c>
    </row>
    <row r="613" spans="1:6" x14ac:dyDescent="0.3">
      <c r="A613">
        <v>165932696</v>
      </c>
      <c r="B613" s="1">
        <v>44896</v>
      </c>
      <c r="C613" s="1">
        <v>44986</v>
      </c>
      <c r="D613">
        <v>39</v>
      </c>
      <c r="E613" t="s">
        <v>6</v>
      </c>
      <c r="F613" t="s">
        <v>7</v>
      </c>
    </row>
    <row r="614" spans="1:6" x14ac:dyDescent="0.3">
      <c r="A614">
        <v>165204032</v>
      </c>
      <c r="B614" s="1">
        <v>44896</v>
      </c>
      <c r="C614" s="1">
        <v>44971</v>
      </c>
      <c r="D614">
        <v>39</v>
      </c>
      <c r="E614" t="s">
        <v>6</v>
      </c>
      <c r="F614" t="s">
        <v>7</v>
      </c>
    </row>
    <row r="615" spans="1:6" x14ac:dyDescent="0.3">
      <c r="A615">
        <v>162469903</v>
      </c>
      <c r="B615" s="1">
        <v>44896</v>
      </c>
      <c r="C615" s="1">
        <v>44965</v>
      </c>
      <c r="D615">
        <v>39</v>
      </c>
      <c r="E615" t="s">
        <v>6</v>
      </c>
      <c r="F615" t="s">
        <v>7</v>
      </c>
    </row>
    <row r="616" spans="1:6" x14ac:dyDescent="0.3">
      <c r="A616">
        <v>166515564</v>
      </c>
      <c r="B616" s="1">
        <v>44896</v>
      </c>
      <c r="C616" s="1">
        <v>44945</v>
      </c>
      <c r="D616">
        <v>39</v>
      </c>
      <c r="E616" t="s">
        <v>6</v>
      </c>
      <c r="F616" t="s">
        <v>7</v>
      </c>
    </row>
    <row r="617" spans="1:6" x14ac:dyDescent="0.3">
      <c r="A617">
        <v>139323228</v>
      </c>
      <c r="B617" s="1">
        <v>44896</v>
      </c>
      <c r="C617" s="1">
        <v>44950</v>
      </c>
      <c r="D617">
        <v>39</v>
      </c>
      <c r="E617" t="s">
        <v>6</v>
      </c>
      <c r="F617" t="s">
        <v>7</v>
      </c>
    </row>
    <row r="618" spans="1:6" x14ac:dyDescent="0.3">
      <c r="A618">
        <v>162569750</v>
      </c>
      <c r="B618" s="1">
        <v>44896</v>
      </c>
      <c r="C618" s="1">
        <v>44899</v>
      </c>
      <c r="D618">
        <v>39</v>
      </c>
      <c r="E618" t="s">
        <v>6</v>
      </c>
      <c r="F618" t="s">
        <v>7</v>
      </c>
    </row>
    <row r="619" spans="1:6" x14ac:dyDescent="0.3">
      <c r="A619">
        <v>165959602</v>
      </c>
      <c r="B619" s="1">
        <v>44896</v>
      </c>
      <c r="C619" s="1">
        <v>44918</v>
      </c>
      <c r="D619">
        <v>39</v>
      </c>
      <c r="E619" t="s">
        <v>6</v>
      </c>
      <c r="F619" t="s">
        <v>7</v>
      </c>
    </row>
    <row r="620" spans="1:6" x14ac:dyDescent="0.3">
      <c r="A620">
        <v>160968524</v>
      </c>
      <c r="B620" s="1">
        <v>44896</v>
      </c>
      <c r="C620" s="1">
        <v>45127</v>
      </c>
      <c r="D620">
        <v>39</v>
      </c>
      <c r="E620" t="s">
        <v>6</v>
      </c>
      <c r="F620" t="s">
        <v>7</v>
      </c>
    </row>
    <row r="621" spans="1:6" x14ac:dyDescent="0.3">
      <c r="A621">
        <v>163258260</v>
      </c>
      <c r="B621" s="1">
        <v>44897</v>
      </c>
      <c r="D621">
        <v>39</v>
      </c>
      <c r="E621" t="s">
        <v>6</v>
      </c>
      <c r="F621" t="s">
        <v>7</v>
      </c>
    </row>
    <row r="622" spans="1:6" x14ac:dyDescent="0.3">
      <c r="A622">
        <v>167051046</v>
      </c>
      <c r="B622" s="1">
        <v>44897</v>
      </c>
      <c r="D622">
        <v>39</v>
      </c>
      <c r="E622" t="s">
        <v>6</v>
      </c>
      <c r="F622" t="s">
        <v>7</v>
      </c>
    </row>
    <row r="623" spans="1:6" x14ac:dyDescent="0.3">
      <c r="A623">
        <v>161182367</v>
      </c>
      <c r="B623" s="1">
        <v>44897</v>
      </c>
      <c r="C623" s="1">
        <v>44898</v>
      </c>
      <c r="D623">
        <v>39</v>
      </c>
      <c r="E623" t="s">
        <v>6</v>
      </c>
      <c r="F623" t="s">
        <v>7</v>
      </c>
    </row>
    <row r="624" spans="1:6" x14ac:dyDescent="0.3">
      <c r="A624">
        <v>167292985</v>
      </c>
      <c r="B624" s="1">
        <v>44897</v>
      </c>
      <c r="C624" s="1">
        <v>44898</v>
      </c>
      <c r="D624">
        <v>39</v>
      </c>
      <c r="E624" t="s">
        <v>6</v>
      </c>
      <c r="F624" t="s">
        <v>8</v>
      </c>
    </row>
    <row r="625" spans="1:6" x14ac:dyDescent="0.3">
      <c r="A625">
        <v>166183014</v>
      </c>
      <c r="B625" s="1">
        <v>44897</v>
      </c>
      <c r="C625" s="1">
        <v>44898</v>
      </c>
      <c r="D625">
        <v>39</v>
      </c>
      <c r="E625" t="s">
        <v>6</v>
      </c>
      <c r="F625" t="s">
        <v>8</v>
      </c>
    </row>
    <row r="626" spans="1:6" x14ac:dyDescent="0.3">
      <c r="A626">
        <v>165143920</v>
      </c>
      <c r="B626" s="1">
        <v>44897</v>
      </c>
      <c r="C626" s="1">
        <v>45079</v>
      </c>
      <c r="D626">
        <v>39</v>
      </c>
      <c r="E626" t="s">
        <v>6</v>
      </c>
      <c r="F626" t="s">
        <v>7</v>
      </c>
    </row>
    <row r="627" spans="1:6" x14ac:dyDescent="0.3">
      <c r="A627">
        <v>165958089</v>
      </c>
      <c r="B627" s="1">
        <v>44897</v>
      </c>
      <c r="C627" s="1">
        <v>44966</v>
      </c>
      <c r="D627">
        <v>39</v>
      </c>
      <c r="E627" t="s">
        <v>6</v>
      </c>
      <c r="F627" t="s">
        <v>7</v>
      </c>
    </row>
    <row r="628" spans="1:6" x14ac:dyDescent="0.3">
      <c r="A628">
        <v>165431576</v>
      </c>
      <c r="B628" s="1">
        <v>44897</v>
      </c>
      <c r="C628" s="1">
        <v>44958</v>
      </c>
      <c r="D628">
        <v>39</v>
      </c>
      <c r="E628" t="s">
        <v>6</v>
      </c>
      <c r="F628" t="s">
        <v>7</v>
      </c>
    </row>
    <row r="629" spans="1:6" x14ac:dyDescent="0.3">
      <c r="A629">
        <v>163708513</v>
      </c>
      <c r="B629" s="1">
        <v>44897</v>
      </c>
      <c r="C629" s="1">
        <v>44925</v>
      </c>
      <c r="D629">
        <v>39</v>
      </c>
      <c r="E629" t="s">
        <v>6</v>
      </c>
      <c r="F629" t="s">
        <v>7</v>
      </c>
    </row>
    <row r="630" spans="1:6" x14ac:dyDescent="0.3">
      <c r="A630">
        <v>164521419</v>
      </c>
      <c r="B630" s="1">
        <v>44897</v>
      </c>
      <c r="C630" s="1">
        <v>44924</v>
      </c>
      <c r="D630">
        <v>39</v>
      </c>
      <c r="E630" t="s">
        <v>6</v>
      </c>
      <c r="F630" t="s">
        <v>7</v>
      </c>
    </row>
    <row r="631" spans="1:6" x14ac:dyDescent="0.3">
      <c r="A631">
        <v>166257164</v>
      </c>
      <c r="B631" s="1">
        <v>44897</v>
      </c>
      <c r="C631" s="1">
        <v>44916</v>
      </c>
      <c r="D631">
        <v>39</v>
      </c>
      <c r="E631" t="s">
        <v>6</v>
      </c>
      <c r="F631" t="s">
        <v>7</v>
      </c>
    </row>
    <row r="632" spans="1:6" x14ac:dyDescent="0.3">
      <c r="A632">
        <v>121348156</v>
      </c>
      <c r="B632" s="1">
        <v>44897</v>
      </c>
      <c r="C632" s="1">
        <v>44901</v>
      </c>
      <c r="D632">
        <v>39</v>
      </c>
      <c r="E632" t="s">
        <v>6</v>
      </c>
      <c r="F632" t="s">
        <v>7</v>
      </c>
    </row>
    <row r="633" spans="1:6" x14ac:dyDescent="0.3">
      <c r="A633">
        <v>167280894</v>
      </c>
      <c r="B633" s="1">
        <v>44897</v>
      </c>
      <c r="C633" s="1">
        <v>45113</v>
      </c>
      <c r="D633">
        <v>39</v>
      </c>
      <c r="E633" t="s">
        <v>6</v>
      </c>
      <c r="F633" t="s">
        <v>7</v>
      </c>
    </row>
    <row r="634" spans="1:6" x14ac:dyDescent="0.3">
      <c r="A634">
        <v>160980795</v>
      </c>
      <c r="B634" s="1">
        <v>44898</v>
      </c>
      <c r="D634">
        <v>39</v>
      </c>
      <c r="E634" t="s">
        <v>6</v>
      </c>
      <c r="F634" t="s">
        <v>7</v>
      </c>
    </row>
    <row r="635" spans="1:6" x14ac:dyDescent="0.3">
      <c r="A635">
        <v>167544686</v>
      </c>
      <c r="B635" s="1">
        <v>44898</v>
      </c>
      <c r="D635">
        <v>39</v>
      </c>
      <c r="E635" t="s">
        <v>6</v>
      </c>
      <c r="F635" t="s">
        <v>7</v>
      </c>
    </row>
    <row r="636" spans="1:6" x14ac:dyDescent="0.3">
      <c r="A636">
        <v>161968719</v>
      </c>
      <c r="B636" s="1">
        <v>44898</v>
      </c>
      <c r="D636">
        <v>39</v>
      </c>
      <c r="E636" t="s">
        <v>6</v>
      </c>
      <c r="F636" t="s">
        <v>7</v>
      </c>
    </row>
    <row r="637" spans="1:6" x14ac:dyDescent="0.3">
      <c r="A637">
        <v>159070152</v>
      </c>
      <c r="B637" s="1">
        <v>44898</v>
      </c>
      <c r="D637">
        <v>39</v>
      </c>
      <c r="E637" t="s">
        <v>6</v>
      </c>
      <c r="F637" t="s">
        <v>7</v>
      </c>
    </row>
    <row r="638" spans="1:6" x14ac:dyDescent="0.3">
      <c r="A638">
        <v>167445788</v>
      </c>
      <c r="B638" s="1">
        <v>44898</v>
      </c>
      <c r="C638" s="1">
        <v>44899</v>
      </c>
      <c r="D638">
        <v>39</v>
      </c>
      <c r="E638" t="s">
        <v>6</v>
      </c>
      <c r="F638" t="s">
        <v>8</v>
      </c>
    </row>
    <row r="639" spans="1:6" x14ac:dyDescent="0.3">
      <c r="A639">
        <v>167441263</v>
      </c>
      <c r="B639" s="1">
        <v>44898</v>
      </c>
      <c r="C639" s="1">
        <v>45087</v>
      </c>
      <c r="D639">
        <v>39</v>
      </c>
      <c r="E639" t="s">
        <v>6</v>
      </c>
      <c r="F639" t="s">
        <v>7</v>
      </c>
    </row>
    <row r="640" spans="1:6" x14ac:dyDescent="0.3">
      <c r="A640">
        <v>167586100</v>
      </c>
      <c r="B640" s="1">
        <v>44898</v>
      </c>
      <c r="C640" s="1">
        <v>44987</v>
      </c>
      <c r="D640">
        <v>39</v>
      </c>
      <c r="E640" t="s">
        <v>6</v>
      </c>
      <c r="F640" t="s">
        <v>7</v>
      </c>
    </row>
    <row r="641" spans="1:6" x14ac:dyDescent="0.3">
      <c r="A641">
        <v>139789436</v>
      </c>
      <c r="B641" s="1">
        <v>44898</v>
      </c>
      <c r="C641" s="1">
        <v>44955</v>
      </c>
      <c r="D641">
        <v>39</v>
      </c>
      <c r="E641" t="s">
        <v>6</v>
      </c>
      <c r="F641" t="s">
        <v>7</v>
      </c>
    </row>
    <row r="642" spans="1:6" x14ac:dyDescent="0.3">
      <c r="A642">
        <v>116319450</v>
      </c>
      <c r="B642" s="1">
        <v>44899</v>
      </c>
      <c r="C642" s="1">
        <v>45035</v>
      </c>
      <c r="D642">
        <v>39</v>
      </c>
      <c r="E642" t="s">
        <v>6</v>
      </c>
      <c r="F642" t="s">
        <v>7</v>
      </c>
    </row>
    <row r="643" spans="1:6" x14ac:dyDescent="0.3">
      <c r="A643">
        <v>162939264</v>
      </c>
      <c r="B643" s="1">
        <v>44899</v>
      </c>
      <c r="C643" s="1">
        <v>45050</v>
      </c>
      <c r="D643">
        <v>39</v>
      </c>
      <c r="E643" t="s">
        <v>6</v>
      </c>
      <c r="F643" t="s">
        <v>7</v>
      </c>
    </row>
    <row r="644" spans="1:6" x14ac:dyDescent="0.3">
      <c r="A644">
        <v>167711417</v>
      </c>
      <c r="B644" s="1">
        <v>44899</v>
      </c>
      <c r="C644" s="1">
        <v>45010</v>
      </c>
      <c r="D644">
        <v>39</v>
      </c>
      <c r="E644" t="s">
        <v>6</v>
      </c>
      <c r="F644" t="s">
        <v>7</v>
      </c>
    </row>
    <row r="645" spans="1:6" x14ac:dyDescent="0.3">
      <c r="A645">
        <v>157381517</v>
      </c>
      <c r="B645" s="1">
        <v>44900</v>
      </c>
      <c r="D645">
        <v>39</v>
      </c>
      <c r="E645" t="s">
        <v>6</v>
      </c>
      <c r="F645" t="s">
        <v>7</v>
      </c>
    </row>
    <row r="646" spans="1:6" x14ac:dyDescent="0.3">
      <c r="A646">
        <v>162912102</v>
      </c>
      <c r="B646" s="1">
        <v>44900</v>
      </c>
      <c r="C646" s="1">
        <v>44901</v>
      </c>
      <c r="D646">
        <v>39</v>
      </c>
      <c r="E646" t="s">
        <v>6</v>
      </c>
      <c r="F646" t="s">
        <v>7</v>
      </c>
    </row>
    <row r="647" spans="1:6" x14ac:dyDescent="0.3">
      <c r="A647">
        <v>167833210</v>
      </c>
      <c r="B647" s="1">
        <v>44900</v>
      </c>
      <c r="C647" s="1">
        <v>45110</v>
      </c>
      <c r="D647">
        <v>39</v>
      </c>
      <c r="E647" t="s">
        <v>6</v>
      </c>
      <c r="F647" t="s">
        <v>7</v>
      </c>
    </row>
    <row r="648" spans="1:6" x14ac:dyDescent="0.3">
      <c r="A648">
        <v>165676999</v>
      </c>
      <c r="B648" s="1">
        <v>44900</v>
      </c>
      <c r="C648" s="1">
        <v>44962</v>
      </c>
      <c r="D648">
        <v>39</v>
      </c>
      <c r="E648" t="s">
        <v>6</v>
      </c>
      <c r="F648" t="s">
        <v>7</v>
      </c>
    </row>
    <row r="649" spans="1:6" x14ac:dyDescent="0.3">
      <c r="A649">
        <v>167253106</v>
      </c>
      <c r="B649" s="1">
        <v>44900</v>
      </c>
      <c r="C649" s="1">
        <v>44963</v>
      </c>
      <c r="D649">
        <v>39</v>
      </c>
      <c r="E649" t="s">
        <v>6</v>
      </c>
      <c r="F649" t="s">
        <v>7</v>
      </c>
    </row>
    <row r="650" spans="1:6" x14ac:dyDescent="0.3">
      <c r="A650">
        <v>168022972</v>
      </c>
      <c r="B650" s="1">
        <v>44900</v>
      </c>
      <c r="C650" s="1">
        <v>44939</v>
      </c>
      <c r="D650">
        <v>39</v>
      </c>
      <c r="E650" t="s">
        <v>6</v>
      </c>
      <c r="F650" t="s">
        <v>7</v>
      </c>
    </row>
    <row r="651" spans="1:6" x14ac:dyDescent="0.3">
      <c r="A651">
        <v>167315920</v>
      </c>
      <c r="B651" s="1">
        <v>44900</v>
      </c>
      <c r="C651" s="1">
        <v>44931</v>
      </c>
      <c r="D651">
        <v>39</v>
      </c>
      <c r="E651" t="s">
        <v>6</v>
      </c>
      <c r="F651" t="s">
        <v>7</v>
      </c>
    </row>
    <row r="652" spans="1:6" x14ac:dyDescent="0.3">
      <c r="A652">
        <v>167928962</v>
      </c>
      <c r="B652" s="1">
        <v>44900</v>
      </c>
      <c r="C652" s="1">
        <v>44924</v>
      </c>
      <c r="D652">
        <v>39</v>
      </c>
      <c r="E652" t="s">
        <v>6</v>
      </c>
      <c r="F652" t="s">
        <v>7</v>
      </c>
    </row>
    <row r="653" spans="1:6" x14ac:dyDescent="0.3">
      <c r="A653">
        <v>166211741</v>
      </c>
      <c r="B653" s="1">
        <v>44901</v>
      </c>
      <c r="C653" s="1">
        <v>45027</v>
      </c>
      <c r="D653">
        <v>39</v>
      </c>
      <c r="E653" t="s">
        <v>6</v>
      </c>
      <c r="F653" t="s">
        <v>7</v>
      </c>
    </row>
    <row r="654" spans="1:6" x14ac:dyDescent="0.3">
      <c r="A654">
        <v>161450418</v>
      </c>
      <c r="B654" s="1">
        <v>44901</v>
      </c>
      <c r="C654" s="1">
        <v>45050</v>
      </c>
      <c r="D654">
        <v>39</v>
      </c>
      <c r="E654" t="s">
        <v>6</v>
      </c>
      <c r="F654" t="s">
        <v>7</v>
      </c>
    </row>
    <row r="655" spans="1:6" x14ac:dyDescent="0.3">
      <c r="A655">
        <v>144961802</v>
      </c>
      <c r="B655" s="1">
        <v>44901</v>
      </c>
      <c r="C655" s="1">
        <v>44987</v>
      </c>
      <c r="D655">
        <v>39</v>
      </c>
      <c r="E655" t="s">
        <v>6</v>
      </c>
      <c r="F655" t="s">
        <v>7</v>
      </c>
    </row>
    <row r="656" spans="1:6" x14ac:dyDescent="0.3">
      <c r="A656">
        <v>168137404</v>
      </c>
      <c r="B656" s="1">
        <v>44901</v>
      </c>
      <c r="C656" s="1">
        <v>44958</v>
      </c>
      <c r="D656">
        <v>39</v>
      </c>
      <c r="E656" t="s">
        <v>6</v>
      </c>
      <c r="F656" t="s">
        <v>7</v>
      </c>
    </row>
    <row r="657" spans="1:6" x14ac:dyDescent="0.3">
      <c r="A657">
        <v>153441732</v>
      </c>
      <c r="B657" s="1">
        <v>44901</v>
      </c>
      <c r="C657" s="1">
        <v>44970</v>
      </c>
      <c r="D657">
        <v>39</v>
      </c>
      <c r="E657" t="s">
        <v>6</v>
      </c>
      <c r="F657" t="s">
        <v>7</v>
      </c>
    </row>
    <row r="658" spans="1:6" x14ac:dyDescent="0.3">
      <c r="A658">
        <v>167649041</v>
      </c>
      <c r="B658" s="1">
        <v>44901</v>
      </c>
      <c r="C658" s="1">
        <v>44957</v>
      </c>
      <c r="D658">
        <v>39</v>
      </c>
      <c r="E658" t="s">
        <v>6</v>
      </c>
      <c r="F658" t="s">
        <v>7</v>
      </c>
    </row>
    <row r="659" spans="1:6" x14ac:dyDescent="0.3">
      <c r="A659">
        <v>168089746</v>
      </c>
      <c r="B659" s="1">
        <v>44901</v>
      </c>
      <c r="C659" s="1">
        <v>44939</v>
      </c>
      <c r="D659">
        <v>39</v>
      </c>
      <c r="E659" t="s">
        <v>6</v>
      </c>
      <c r="F659" t="s">
        <v>7</v>
      </c>
    </row>
    <row r="660" spans="1:6" x14ac:dyDescent="0.3">
      <c r="A660">
        <v>158177274</v>
      </c>
      <c r="B660" s="1">
        <v>44901</v>
      </c>
      <c r="C660" s="1">
        <v>44952</v>
      </c>
      <c r="D660">
        <v>39</v>
      </c>
      <c r="E660" t="s">
        <v>6</v>
      </c>
      <c r="F660" t="s">
        <v>7</v>
      </c>
    </row>
    <row r="661" spans="1:6" x14ac:dyDescent="0.3">
      <c r="A661">
        <v>168061628</v>
      </c>
      <c r="B661" s="1">
        <v>44901</v>
      </c>
      <c r="C661" s="1">
        <v>44939</v>
      </c>
      <c r="D661">
        <v>39</v>
      </c>
      <c r="E661" t="s">
        <v>6</v>
      </c>
      <c r="F661" t="s">
        <v>7</v>
      </c>
    </row>
    <row r="662" spans="1:6" x14ac:dyDescent="0.3">
      <c r="A662">
        <v>168436401</v>
      </c>
      <c r="B662" s="1">
        <v>44902</v>
      </c>
      <c r="D662">
        <v>39</v>
      </c>
      <c r="E662" t="s">
        <v>6</v>
      </c>
      <c r="F662" t="s">
        <v>7</v>
      </c>
    </row>
    <row r="663" spans="1:6" x14ac:dyDescent="0.3">
      <c r="A663">
        <v>126770376</v>
      </c>
      <c r="B663" s="1">
        <v>44902</v>
      </c>
      <c r="C663" s="1">
        <v>44928</v>
      </c>
      <c r="D663">
        <v>39</v>
      </c>
      <c r="E663" t="s">
        <v>6</v>
      </c>
      <c r="F663" t="s">
        <v>7</v>
      </c>
    </row>
    <row r="664" spans="1:6" x14ac:dyDescent="0.3">
      <c r="A664">
        <v>153468957</v>
      </c>
      <c r="B664" s="1">
        <v>44902</v>
      </c>
      <c r="C664" s="1">
        <v>44971</v>
      </c>
      <c r="D664">
        <v>39</v>
      </c>
      <c r="E664" t="s">
        <v>6</v>
      </c>
      <c r="F664" t="s">
        <v>7</v>
      </c>
    </row>
    <row r="665" spans="1:6" x14ac:dyDescent="0.3">
      <c r="A665">
        <v>168336474</v>
      </c>
      <c r="B665" s="1">
        <v>44902</v>
      </c>
      <c r="C665" s="1">
        <v>44984</v>
      </c>
      <c r="D665">
        <v>39</v>
      </c>
      <c r="E665" t="s">
        <v>6</v>
      </c>
      <c r="F665" t="s">
        <v>7</v>
      </c>
    </row>
    <row r="666" spans="1:6" x14ac:dyDescent="0.3">
      <c r="A666">
        <v>166929423</v>
      </c>
      <c r="B666" s="1">
        <v>44902</v>
      </c>
      <c r="C666" s="1">
        <v>44923</v>
      </c>
      <c r="D666">
        <v>39</v>
      </c>
      <c r="E666" t="s">
        <v>6</v>
      </c>
      <c r="F666" t="s">
        <v>7</v>
      </c>
    </row>
    <row r="667" spans="1:6" x14ac:dyDescent="0.3">
      <c r="A667">
        <v>163990458</v>
      </c>
      <c r="B667" s="1">
        <v>44902</v>
      </c>
      <c r="C667" s="1">
        <v>44917</v>
      </c>
      <c r="D667">
        <v>39</v>
      </c>
      <c r="E667" t="s">
        <v>6</v>
      </c>
      <c r="F667" t="s">
        <v>7</v>
      </c>
    </row>
    <row r="668" spans="1:6" x14ac:dyDescent="0.3">
      <c r="A668">
        <v>166411463</v>
      </c>
      <c r="B668" s="1">
        <v>44903</v>
      </c>
      <c r="D668">
        <v>39</v>
      </c>
      <c r="E668" t="s">
        <v>6</v>
      </c>
      <c r="F668" t="s">
        <v>7</v>
      </c>
    </row>
    <row r="669" spans="1:6" x14ac:dyDescent="0.3">
      <c r="A669">
        <v>168433088</v>
      </c>
      <c r="B669" s="1">
        <v>44903</v>
      </c>
      <c r="D669">
        <v>39</v>
      </c>
      <c r="E669" t="s">
        <v>6</v>
      </c>
      <c r="F669" t="s">
        <v>7</v>
      </c>
    </row>
    <row r="670" spans="1:6" x14ac:dyDescent="0.3">
      <c r="A670">
        <v>155426075</v>
      </c>
      <c r="B670" s="1">
        <v>44903</v>
      </c>
      <c r="D670">
        <v>39</v>
      </c>
      <c r="E670" t="s">
        <v>6</v>
      </c>
      <c r="F670" t="s">
        <v>7</v>
      </c>
    </row>
    <row r="671" spans="1:6" x14ac:dyDescent="0.3">
      <c r="A671">
        <v>168555694</v>
      </c>
      <c r="B671" s="1">
        <v>44903</v>
      </c>
      <c r="C671" s="1">
        <v>44904</v>
      </c>
      <c r="D671">
        <v>39</v>
      </c>
      <c r="E671" t="s">
        <v>6</v>
      </c>
      <c r="F671" t="s">
        <v>8</v>
      </c>
    </row>
    <row r="672" spans="1:6" x14ac:dyDescent="0.3">
      <c r="A672">
        <v>162912102</v>
      </c>
      <c r="B672" s="1">
        <v>44903</v>
      </c>
      <c r="C672" s="1">
        <v>45061</v>
      </c>
      <c r="D672">
        <v>39</v>
      </c>
      <c r="E672" t="s">
        <v>6</v>
      </c>
      <c r="F672" t="s">
        <v>7</v>
      </c>
    </row>
    <row r="673" spans="1:6" x14ac:dyDescent="0.3">
      <c r="A673">
        <v>168471192</v>
      </c>
      <c r="B673" s="1">
        <v>44903</v>
      </c>
      <c r="C673" s="1">
        <v>44960</v>
      </c>
      <c r="D673">
        <v>39</v>
      </c>
      <c r="E673" t="s">
        <v>6</v>
      </c>
      <c r="F673" t="s">
        <v>7</v>
      </c>
    </row>
    <row r="674" spans="1:6" x14ac:dyDescent="0.3">
      <c r="A674">
        <v>168825734</v>
      </c>
      <c r="B674" s="1">
        <v>44903</v>
      </c>
      <c r="C674" s="1">
        <v>44941</v>
      </c>
      <c r="D674">
        <v>39</v>
      </c>
      <c r="E674" t="s">
        <v>6</v>
      </c>
      <c r="F674" t="s">
        <v>7</v>
      </c>
    </row>
    <row r="675" spans="1:6" x14ac:dyDescent="0.3">
      <c r="A675">
        <v>163852568</v>
      </c>
      <c r="B675" s="1">
        <v>44903</v>
      </c>
      <c r="C675" s="1">
        <v>44907</v>
      </c>
      <c r="D675">
        <v>39</v>
      </c>
      <c r="E675" t="s">
        <v>6</v>
      </c>
      <c r="F675" t="s">
        <v>7</v>
      </c>
    </row>
    <row r="676" spans="1:6" x14ac:dyDescent="0.3">
      <c r="A676">
        <v>168460834</v>
      </c>
      <c r="B676" s="1">
        <v>44903</v>
      </c>
      <c r="C676" s="1">
        <v>44922</v>
      </c>
      <c r="D676">
        <v>39</v>
      </c>
      <c r="E676" t="s">
        <v>6</v>
      </c>
      <c r="F676" t="s">
        <v>7</v>
      </c>
    </row>
    <row r="677" spans="1:6" x14ac:dyDescent="0.3">
      <c r="A677">
        <v>169085351</v>
      </c>
      <c r="B677" s="1">
        <v>44904</v>
      </c>
      <c r="C677" s="1">
        <v>45112</v>
      </c>
      <c r="D677">
        <v>39</v>
      </c>
      <c r="E677" t="s">
        <v>6</v>
      </c>
      <c r="F677" t="s">
        <v>7</v>
      </c>
    </row>
    <row r="678" spans="1:6" x14ac:dyDescent="0.3">
      <c r="A678">
        <v>168456070</v>
      </c>
      <c r="B678" s="1">
        <v>44904</v>
      </c>
      <c r="C678" s="1">
        <v>45038</v>
      </c>
      <c r="D678">
        <v>39</v>
      </c>
      <c r="E678" t="s">
        <v>6</v>
      </c>
      <c r="F678" t="s">
        <v>7</v>
      </c>
    </row>
    <row r="679" spans="1:6" x14ac:dyDescent="0.3">
      <c r="A679">
        <v>168900021</v>
      </c>
      <c r="B679" s="1">
        <v>44904</v>
      </c>
      <c r="C679" s="1">
        <v>44963</v>
      </c>
      <c r="D679">
        <v>39</v>
      </c>
      <c r="E679" t="s">
        <v>6</v>
      </c>
      <c r="F679" t="s">
        <v>7</v>
      </c>
    </row>
    <row r="680" spans="1:6" x14ac:dyDescent="0.3">
      <c r="A680">
        <v>169113748</v>
      </c>
      <c r="B680" s="1">
        <v>44904</v>
      </c>
      <c r="C680" s="1">
        <v>44939</v>
      </c>
      <c r="D680">
        <v>39</v>
      </c>
      <c r="E680" t="s">
        <v>6</v>
      </c>
      <c r="F680" t="s">
        <v>7</v>
      </c>
    </row>
    <row r="681" spans="1:6" x14ac:dyDescent="0.3">
      <c r="A681">
        <v>162193491</v>
      </c>
      <c r="B681" s="1">
        <v>44904</v>
      </c>
      <c r="C681" s="1">
        <v>44946</v>
      </c>
      <c r="D681">
        <v>39</v>
      </c>
      <c r="E681" t="s">
        <v>6</v>
      </c>
      <c r="F681" t="s">
        <v>7</v>
      </c>
    </row>
    <row r="682" spans="1:6" x14ac:dyDescent="0.3">
      <c r="A682">
        <v>167761722</v>
      </c>
      <c r="B682" s="1">
        <v>44904</v>
      </c>
      <c r="C682" s="1">
        <v>45123</v>
      </c>
      <c r="D682">
        <v>39</v>
      </c>
      <c r="E682" t="s">
        <v>6</v>
      </c>
      <c r="F682" t="s">
        <v>7</v>
      </c>
    </row>
    <row r="683" spans="1:6" x14ac:dyDescent="0.3">
      <c r="A683">
        <v>169244937</v>
      </c>
      <c r="B683" s="1">
        <v>44905</v>
      </c>
      <c r="C683" s="1">
        <v>44989</v>
      </c>
      <c r="D683">
        <v>39</v>
      </c>
      <c r="E683" t="s">
        <v>6</v>
      </c>
      <c r="F683" t="s">
        <v>7</v>
      </c>
    </row>
    <row r="684" spans="1:6" x14ac:dyDescent="0.3">
      <c r="A684">
        <v>167923504</v>
      </c>
      <c r="B684" s="1">
        <v>44905</v>
      </c>
      <c r="C684" s="1">
        <v>44965</v>
      </c>
      <c r="D684">
        <v>39</v>
      </c>
      <c r="E684" t="s">
        <v>6</v>
      </c>
      <c r="F684" t="s">
        <v>7</v>
      </c>
    </row>
    <row r="685" spans="1:6" x14ac:dyDescent="0.3">
      <c r="A685">
        <v>167459469</v>
      </c>
      <c r="B685" s="1">
        <v>44905</v>
      </c>
      <c r="C685" s="1">
        <v>44940</v>
      </c>
      <c r="D685">
        <v>39</v>
      </c>
      <c r="E685" t="s">
        <v>6</v>
      </c>
      <c r="F685" t="s">
        <v>7</v>
      </c>
    </row>
    <row r="686" spans="1:6" x14ac:dyDescent="0.3">
      <c r="A686">
        <v>123169152</v>
      </c>
      <c r="B686" s="1">
        <v>44905</v>
      </c>
      <c r="C686" s="1">
        <v>44929</v>
      </c>
      <c r="D686">
        <v>39</v>
      </c>
      <c r="E686" t="s">
        <v>6</v>
      </c>
      <c r="F686" t="s">
        <v>7</v>
      </c>
    </row>
    <row r="687" spans="1:6" x14ac:dyDescent="0.3">
      <c r="A687">
        <v>153157541</v>
      </c>
      <c r="B687" s="1">
        <v>44906</v>
      </c>
      <c r="D687">
        <v>39</v>
      </c>
      <c r="E687" t="s">
        <v>6</v>
      </c>
      <c r="F687" t="s">
        <v>7</v>
      </c>
    </row>
    <row r="688" spans="1:6" x14ac:dyDescent="0.3">
      <c r="A688">
        <v>169133180</v>
      </c>
      <c r="B688" s="1">
        <v>44906</v>
      </c>
      <c r="D688">
        <v>39</v>
      </c>
      <c r="E688" t="s">
        <v>6</v>
      </c>
      <c r="F688" t="s">
        <v>7</v>
      </c>
    </row>
    <row r="689" spans="1:6" x14ac:dyDescent="0.3">
      <c r="A689">
        <v>129447970</v>
      </c>
      <c r="B689" s="1">
        <v>44906</v>
      </c>
      <c r="C689" s="1">
        <v>44907</v>
      </c>
      <c r="D689">
        <v>39</v>
      </c>
      <c r="E689" t="s">
        <v>6</v>
      </c>
      <c r="F689" t="s">
        <v>7</v>
      </c>
    </row>
    <row r="690" spans="1:6" x14ac:dyDescent="0.3">
      <c r="A690">
        <v>169388365</v>
      </c>
      <c r="B690" s="1">
        <v>44906</v>
      </c>
      <c r="C690" s="1">
        <v>45095</v>
      </c>
      <c r="D690">
        <v>39</v>
      </c>
      <c r="E690" t="s">
        <v>6</v>
      </c>
      <c r="F690" t="s">
        <v>7</v>
      </c>
    </row>
    <row r="691" spans="1:6" x14ac:dyDescent="0.3">
      <c r="A691">
        <v>130872019</v>
      </c>
      <c r="B691" s="1">
        <v>44906</v>
      </c>
      <c r="C691" s="1">
        <v>45027</v>
      </c>
      <c r="D691">
        <v>39</v>
      </c>
      <c r="E691" t="s">
        <v>6</v>
      </c>
      <c r="F691" t="s">
        <v>7</v>
      </c>
    </row>
    <row r="692" spans="1:6" x14ac:dyDescent="0.3">
      <c r="A692">
        <v>167674086</v>
      </c>
      <c r="B692" s="1">
        <v>44906</v>
      </c>
      <c r="C692" s="1">
        <v>45047</v>
      </c>
      <c r="D692">
        <v>39</v>
      </c>
      <c r="E692" t="s">
        <v>6</v>
      </c>
      <c r="F692" t="s">
        <v>7</v>
      </c>
    </row>
    <row r="693" spans="1:6" x14ac:dyDescent="0.3">
      <c r="A693">
        <v>169590994</v>
      </c>
      <c r="B693" s="1">
        <v>44906</v>
      </c>
      <c r="C693" s="1">
        <v>44983</v>
      </c>
      <c r="D693">
        <v>39</v>
      </c>
      <c r="E693" t="s">
        <v>6</v>
      </c>
      <c r="F693" t="s">
        <v>7</v>
      </c>
    </row>
    <row r="694" spans="1:6" x14ac:dyDescent="0.3">
      <c r="A694">
        <v>166199181</v>
      </c>
      <c r="B694" s="1">
        <v>44906</v>
      </c>
      <c r="C694" s="1">
        <v>44944</v>
      </c>
      <c r="D694">
        <v>39</v>
      </c>
      <c r="E694" t="s">
        <v>6</v>
      </c>
      <c r="F694" t="s">
        <v>7</v>
      </c>
    </row>
    <row r="695" spans="1:6" x14ac:dyDescent="0.3">
      <c r="A695">
        <v>169895510</v>
      </c>
      <c r="B695" s="1">
        <v>44907</v>
      </c>
      <c r="D695">
        <v>39</v>
      </c>
      <c r="E695" t="s">
        <v>6</v>
      </c>
      <c r="F695" t="s">
        <v>7</v>
      </c>
    </row>
    <row r="696" spans="1:6" x14ac:dyDescent="0.3">
      <c r="A696">
        <v>169837410</v>
      </c>
      <c r="B696" s="1">
        <v>44907</v>
      </c>
      <c r="D696">
        <v>39</v>
      </c>
      <c r="E696" t="s">
        <v>6</v>
      </c>
      <c r="F696" t="s">
        <v>7</v>
      </c>
    </row>
    <row r="697" spans="1:6" x14ac:dyDescent="0.3">
      <c r="A697">
        <v>169854397</v>
      </c>
      <c r="B697" s="1">
        <v>44907</v>
      </c>
      <c r="D697">
        <v>39</v>
      </c>
      <c r="E697" t="s">
        <v>6</v>
      </c>
      <c r="F697" t="s">
        <v>8</v>
      </c>
    </row>
    <row r="698" spans="1:6" x14ac:dyDescent="0.3">
      <c r="A698">
        <v>145987169</v>
      </c>
      <c r="B698" s="1">
        <v>44907</v>
      </c>
      <c r="C698" s="1">
        <v>44953</v>
      </c>
      <c r="D698">
        <v>39</v>
      </c>
      <c r="E698" t="s">
        <v>6</v>
      </c>
      <c r="F698" t="s">
        <v>7</v>
      </c>
    </row>
    <row r="699" spans="1:6" x14ac:dyDescent="0.3">
      <c r="A699">
        <v>169915574</v>
      </c>
      <c r="B699" s="1">
        <v>44907</v>
      </c>
      <c r="C699" s="1">
        <v>44998</v>
      </c>
      <c r="D699">
        <v>39</v>
      </c>
      <c r="E699" t="s">
        <v>6</v>
      </c>
      <c r="F699" t="s">
        <v>7</v>
      </c>
    </row>
    <row r="700" spans="1:6" x14ac:dyDescent="0.3">
      <c r="A700">
        <v>164632485</v>
      </c>
      <c r="B700" s="1">
        <v>44907</v>
      </c>
      <c r="C700" s="1">
        <v>44992</v>
      </c>
      <c r="D700">
        <v>39</v>
      </c>
      <c r="E700" t="s">
        <v>6</v>
      </c>
      <c r="F700" t="s">
        <v>7</v>
      </c>
    </row>
    <row r="701" spans="1:6" x14ac:dyDescent="0.3">
      <c r="A701">
        <v>169830063</v>
      </c>
      <c r="B701" s="1">
        <v>44907</v>
      </c>
      <c r="C701" s="1">
        <v>44956</v>
      </c>
      <c r="D701">
        <v>39</v>
      </c>
      <c r="E701" t="s">
        <v>6</v>
      </c>
      <c r="F701" t="s">
        <v>7</v>
      </c>
    </row>
    <row r="702" spans="1:6" x14ac:dyDescent="0.3">
      <c r="A702">
        <v>162624984</v>
      </c>
      <c r="B702" s="1">
        <v>44907</v>
      </c>
      <c r="C702" s="1">
        <v>44949</v>
      </c>
      <c r="D702">
        <v>39</v>
      </c>
      <c r="E702" t="s">
        <v>6</v>
      </c>
      <c r="F702" t="s">
        <v>7</v>
      </c>
    </row>
    <row r="703" spans="1:6" x14ac:dyDescent="0.3">
      <c r="A703">
        <v>169020452</v>
      </c>
      <c r="B703" s="1">
        <v>44907</v>
      </c>
      <c r="C703" s="1">
        <v>45147</v>
      </c>
      <c r="D703">
        <v>39</v>
      </c>
      <c r="E703" t="s">
        <v>6</v>
      </c>
      <c r="F703" t="s">
        <v>7</v>
      </c>
    </row>
    <row r="704" spans="1:6" x14ac:dyDescent="0.3">
      <c r="A704">
        <v>170037760</v>
      </c>
      <c r="B704" s="1">
        <v>44908</v>
      </c>
      <c r="D704">
        <v>39</v>
      </c>
      <c r="E704" t="s">
        <v>6</v>
      </c>
      <c r="F704" t="s">
        <v>7</v>
      </c>
    </row>
    <row r="705" spans="1:6" x14ac:dyDescent="0.3">
      <c r="A705">
        <v>116060198</v>
      </c>
      <c r="B705" s="1">
        <v>44908</v>
      </c>
      <c r="C705" s="1">
        <v>45005</v>
      </c>
      <c r="D705">
        <v>39</v>
      </c>
      <c r="E705" t="s">
        <v>6</v>
      </c>
      <c r="F705" t="s">
        <v>7</v>
      </c>
    </row>
    <row r="706" spans="1:6" x14ac:dyDescent="0.3">
      <c r="A706">
        <v>129798657</v>
      </c>
      <c r="B706" s="1">
        <v>44908</v>
      </c>
      <c r="C706" s="1">
        <v>44998</v>
      </c>
      <c r="D706">
        <v>39</v>
      </c>
      <c r="E706" t="s">
        <v>6</v>
      </c>
      <c r="F706" t="s">
        <v>7</v>
      </c>
    </row>
    <row r="707" spans="1:6" x14ac:dyDescent="0.3">
      <c r="A707">
        <v>170426615</v>
      </c>
      <c r="B707" s="1">
        <v>44908</v>
      </c>
      <c r="C707" s="1">
        <v>44970</v>
      </c>
      <c r="D707">
        <v>39</v>
      </c>
      <c r="E707" t="s">
        <v>6</v>
      </c>
      <c r="F707" t="s">
        <v>7</v>
      </c>
    </row>
    <row r="708" spans="1:6" x14ac:dyDescent="0.3">
      <c r="A708">
        <v>161574018</v>
      </c>
      <c r="B708" s="1">
        <v>44908</v>
      </c>
      <c r="C708" s="1">
        <v>44978</v>
      </c>
      <c r="D708">
        <v>39</v>
      </c>
      <c r="E708" t="s">
        <v>6</v>
      </c>
      <c r="F708" t="s">
        <v>7</v>
      </c>
    </row>
    <row r="709" spans="1:6" x14ac:dyDescent="0.3">
      <c r="A709">
        <v>160272364</v>
      </c>
      <c r="B709" s="1">
        <v>44909</v>
      </c>
      <c r="D709">
        <v>39</v>
      </c>
      <c r="E709" t="s">
        <v>6</v>
      </c>
      <c r="F709" t="s">
        <v>7</v>
      </c>
    </row>
    <row r="710" spans="1:6" x14ac:dyDescent="0.3">
      <c r="A710">
        <v>144938943</v>
      </c>
      <c r="B710" s="1">
        <v>44909</v>
      </c>
      <c r="D710">
        <v>39</v>
      </c>
      <c r="E710" t="s">
        <v>6</v>
      </c>
      <c r="F710" t="s">
        <v>8</v>
      </c>
    </row>
    <row r="711" spans="1:6" x14ac:dyDescent="0.3">
      <c r="A711">
        <v>170004555</v>
      </c>
      <c r="B711" s="1">
        <v>44909</v>
      </c>
      <c r="C711" s="1">
        <v>44968</v>
      </c>
      <c r="D711">
        <v>39</v>
      </c>
      <c r="E711" t="s">
        <v>6</v>
      </c>
      <c r="F711" t="s">
        <v>7</v>
      </c>
    </row>
    <row r="712" spans="1:6" x14ac:dyDescent="0.3">
      <c r="A712">
        <v>167673987</v>
      </c>
      <c r="B712" s="1">
        <v>44909</v>
      </c>
      <c r="C712" s="1">
        <v>44978</v>
      </c>
      <c r="D712">
        <v>39</v>
      </c>
      <c r="E712" t="s">
        <v>6</v>
      </c>
      <c r="F712" t="s">
        <v>7</v>
      </c>
    </row>
    <row r="713" spans="1:6" x14ac:dyDescent="0.3">
      <c r="A713">
        <v>154448870</v>
      </c>
      <c r="B713" s="1">
        <v>44909</v>
      </c>
      <c r="C713" s="1">
        <v>44928</v>
      </c>
      <c r="D713">
        <v>39</v>
      </c>
      <c r="E713" t="s">
        <v>6</v>
      </c>
      <c r="F713" t="s">
        <v>7</v>
      </c>
    </row>
    <row r="714" spans="1:6" x14ac:dyDescent="0.3">
      <c r="A714">
        <v>153508650</v>
      </c>
      <c r="B714" s="1">
        <v>44909</v>
      </c>
      <c r="C714" s="1">
        <v>44957</v>
      </c>
      <c r="D714">
        <v>39</v>
      </c>
      <c r="E714" t="s">
        <v>6</v>
      </c>
      <c r="F714" t="s">
        <v>7</v>
      </c>
    </row>
    <row r="715" spans="1:6" x14ac:dyDescent="0.3">
      <c r="A715">
        <v>156521981</v>
      </c>
      <c r="B715" s="1">
        <v>44909</v>
      </c>
      <c r="C715" s="1">
        <v>44940</v>
      </c>
      <c r="D715">
        <v>39</v>
      </c>
      <c r="E715" t="s">
        <v>6</v>
      </c>
      <c r="F715" t="s">
        <v>7</v>
      </c>
    </row>
    <row r="716" spans="1:6" x14ac:dyDescent="0.3">
      <c r="A716">
        <v>170897520</v>
      </c>
      <c r="B716" s="1">
        <v>44909</v>
      </c>
      <c r="C716" s="1">
        <v>45111</v>
      </c>
      <c r="D716">
        <v>39</v>
      </c>
      <c r="E716" t="s">
        <v>6</v>
      </c>
      <c r="F716" t="s">
        <v>7</v>
      </c>
    </row>
    <row r="717" spans="1:6" x14ac:dyDescent="0.3">
      <c r="A717">
        <v>167076396</v>
      </c>
      <c r="B717" s="1">
        <v>44909</v>
      </c>
      <c r="C717" s="1">
        <v>45142</v>
      </c>
      <c r="D717">
        <v>39</v>
      </c>
      <c r="E717" t="s">
        <v>6</v>
      </c>
      <c r="F717" t="s">
        <v>7</v>
      </c>
    </row>
    <row r="718" spans="1:6" x14ac:dyDescent="0.3">
      <c r="A718">
        <v>170968987</v>
      </c>
      <c r="B718" s="1">
        <v>44910</v>
      </c>
      <c r="D718">
        <v>39</v>
      </c>
      <c r="E718" t="s">
        <v>6</v>
      </c>
      <c r="F718" t="s">
        <v>7</v>
      </c>
    </row>
    <row r="719" spans="1:6" x14ac:dyDescent="0.3">
      <c r="A719">
        <v>170154956</v>
      </c>
      <c r="B719" s="1">
        <v>44910</v>
      </c>
      <c r="C719" s="1">
        <v>45034</v>
      </c>
      <c r="D719">
        <v>39</v>
      </c>
      <c r="E719" t="s">
        <v>6</v>
      </c>
      <c r="F719" t="s">
        <v>7</v>
      </c>
    </row>
    <row r="720" spans="1:6" x14ac:dyDescent="0.3">
      <c r="A720">
        <v>170976924</v>
      </c>
      <c r="B720" s="1">
        <v>44910</v>
      </c>
      <c r="C720" s="1">
        <v>45076</v>
      </c>
      <c r="D720">
        <v>39</v>
      </c>
      <c r="E720" t="s">
        <v>6</v>
      </c>
      <c r="F720" t="s">
        <v>7</v>
      </c>
    </row>
    <row r="721" spans="1:6" x14ac:dyDescent="0.3">
      <c r="A721">
        <v>171090027</v>
      </c>
      <c r="B721" s="1">
        <v>44910</v>
      </c>
      <c r="C721" s="1">
        <v>44999</v>
      </c>
      <c r="D721">
        <v>39</v>
      </c>
      <c r="E721" t="s">
        <v>6</v>
      </c>
      <c r="F721" t="s">
        <v>7</v>
      </c>
    </row>
    <row r="722" spans="1:6" x14ac:dyDescent="0.3">
      <c r="A722">
        <v>167135160</v>
      </c>
      <c r="B722" s="1">
        <v>44910</v>
      </c>
      <c r="C722" s="1">
        <v>44944</v>
      </c>
      <c r="D722">
        <v>39</v>
      </c>
      <c r="E722" t="s">
        <v>6</v>
      </c>
      <c r="F722" t="s">
        <v>7</v>
      </c>
    </row>
    <row r="723" spans="1:6" x14ac:dyDescent="0.3">
      <c r="A723">
        <v>171339244</v>
      </c>
      <c r="B723" s="1">
        <v>44910</v>
      </c>
      <c r="C723" s="1">
        <v>44910</v>
      </c>
      <c r="D723">
        <v>39</v>
      </c>
      <c r="E723" t="s">
        <v>6</v>
      </c>
      <c r="F723" t="s">
        <v>7</v>
      </c>
    </row>
    <row r="724" spans="1:6" x14ac:dyDescent="0.3">
      <c r="A724">
        <v>169285280</v>
      </c>
      <c r="B724" s="1">
        <v>44911</v>
      </c>
      <c r="C724" s="1">
        <v>44912</v>
      </c>
      <c r="D724">
        <v>39</v>
      </c>
      <c r="E724" t="s">
        <v>6</v>
      </c>
      <c r="F724" t="s">
        <v>8</v>
      </c>
    </row>
    <row r="725" spans="1:6" x14ac:dyDescent="0.3">
      <c r="A725">
        <v>137315832</v>
      </c>
      <c r="B725" s="1">
        <v>44911</v>
      </c>
      <c r="C725" s="1">
        <v>45008</v>
      </c>
      <c r="D725">
        <v>39</v>
      </c>
      <c r="E725" t="s">
        <v>6</v>
      </c>
      <c r="F725" t="s">
        <v>7</v>
      </c>
    </row>
    <row r="726" spans="1:6" x14ac:dyDescent="0.3">
      <c r="A726">
        <v>171286538</v>
      </c>
      <c r="B726" s="1">
        <v>44911</v>
      </c>
      <c r="C726" s="1">
        <v>45029</v>
      </c>
      <c r="D726">
        <v>39</v>
      </c>
      <c r="E726" t="s">
        <v>6</v>
      </c>
      <c r="F726" t="s">
        <v>7</v>
      </c>
    </row>
    <row r="727" spans="1:6" x14ac:dyDescent="0.3">
      <c r="A727">
        <v>154531106</v>
      </c>
      <c r="B727" s="1">
        <v>44911</v>
      </c>
      <c r="C727" s="1">
        <v>45030</v>
      </c>
      <c r="D727">
        <v>39</v>
      </c>
      <c r="E727" t="s">
        <v>6</v>
      </c>
      <c r="F727" t="s">
        <v>7</v>
      </c>
    </row>
    <row r="728" spans="1:6" x14ac:dyDescent="0.3">
      <c r="A728">
        <v>169998988</v>
      </c>
      <c r="B728" s="1">
        <v>44911</v>
      </c>
      <c r="C728" s="1">
        <v>45063</v>
      </c>
      <c r="D728">
        <v>39</v>
      </c>
      <c r="E728" t="s">
        <v>6</v>
      </c>
      <c r="F728" t="s">
        <v>7</v>
      </c>
    </row>
    <row r="729" spans="1:6" x14ac:dyDescent="0.3">
      <c r="A729">
        <v>171860036</v>
      </c>
      <c r="B729" s="1">
        <v>44911</v>
      </c>
      <c r="C729" s="1">
        <v>45003</v>
      </c>
      <c r="D729">
        <v>39</v>
      </c>
      <c r="E729" t="s">
        <v>6</v>
      </c>
      <c r="F729" t="s">
        <v>7</v>
      </c>
    </row>
    <row r="730" spans="1:6" x14ac:dyDescent="0.3">
      <c r="A730">
        <v>169906376</v>
      </c>
      <c r="B730" s="1">
        <v>44911</v>
      </c>
      <c r="C730" s="1">
        <v>44970</v>
      </c>
      <c r="D730">
        <v>39</v>
      </c>
      <c r="E730" t="s">
        <v>6</v>
      </c>
      <c r="F730" t="s">
        <v>7</v>
      </c>
    </row>
    <row r="731" spans="1:6" x14ac:dyDescent="0.3">
      <c r="A731">
        <v>171681744</v>
      </c>
      <c r="B731" s="1">
        <v>44911</v>
      </c>
      <c r="C731" s="1">
        <v>44979</v>
      </c>
      <c r="D731">
        <v>39</v>
      </c>
      <c r="E731" t="s">
        <v>6</v>
      </c>
      <c r="F731" t="s">
        <v>7</v>
      </c>
    </row>
    <row r="732" spans="1:6" x14ac:dyDescent="0.3">
      <c r="A732">
        <v>171375108</v>
      </c>
      <c r="B732" s="1">
        <v>44911</v>
      </c>
      <c r="C732" s="1">
        <v>44942</v>
      </c>
      <c r="D732">
        <v>39</v>
      </c>
      <c r="E732" t="s">
        <v>6</v>
      </c>
      <c r="F732" t="s">
        <v>7</v>
      </c>
    </row>
    <row r="733" spans="1:6" x14ac:dyDescent="0.3">
      <c r="A733">
        <v>166358674</v>
      </c>
      <c r="B733" s="1">
        <v>44911</v>
      </c>
      <c r="C733" s="1">
        <v>44949</v>
      </c>
      <c r="D733">
        <v>39</v>
      </c>
      <c r="E733" t="s">
        <v>6</v>
      </c>
      <c r="F733" t="s">
        <v>7</v>
      </c>
    </row>
    <row r="734" spans="1:6" x14ac:dyDescent="0.3">
      <c r="A734">
        <v>168696864</v>
      </c>
      <c r="B734" s="1">
        <v>44912</v>
      </c>
      <c r="C734" s="1">
        <v>44913</v>
      </c>
      <c r="D734">
        <v>39</v>
      </c>
      <c r="E734" t="s">
        <v>6</v>
      </c>
      <c r="F734" t="s">
        <v>7</v>
      </c>
    </row>
    <row r="735" spans="1:6" x14ac:dyDescent="0.3">
      <c r="A735">
        <v>149303812</v>
      </c>
      <c r="B735" s="1">
        <v>44912</v>
      </c>
      <c r="C735" s="1">
        <v>44977</v>
      </c>
      <c r="D735">
        <v>39</v>
      </c>
      <c r="E735" t="s">
        <v>6</v>
      </c>
      <c r="F735" t="s">
        <v>7</v>
      </c>
    </row>
    <row r="736" spans="1:6" x14ac:dyDescent="0.3">
      <c r="A736">
        <v>145969392</v>
      </c>
      <c r="B736" s="1">
        <v>44912</v>
      </c>
      <c r="C736" s="1">
        <v>44958</v>
      </c>
      <c r="D736">
        <v>39</v>
      </c>
      <c r="E736" t="s">
        <v>6</v>
      </c>
      <c r="F736" t="s">
        <v>7</v>
      </c>
    </row>
    <row r="737" spans="1:6" x14ac:dyDescent="0.3">
      <c r="A737">
        <v>169399624</v>
      </c>
      <c r="B737" s="1">
        <v>44912</v>
      </c>
      <c r="C737" s="1">
        <v>44967</v>
      </c>
      <c r="D737">
        <v>39</v>
      </c>
      <c r="E737" t="s">
        <v>6</v>
      </c>
      <c r="F737" t="s">
        <v>7</v>
      </c>
    </row>
    <row r="738" spans="1:6" x14ac:dyDescent="0.3">
      <c r="A738">
        <v>162423643</v>
      </c>
      <c r="B738" s="1">
        <v>44912</v>
      </c>
      <c r="C738" s="1">
        <v>44912</v>
      </c>
      <c r="D738">
        <v>39</v>
      </c>
      <c r="E738" t="s">
        <v>6</v>
      </c>
      <c r="F738" t="s">
        <v>7</v>
      </c>
    </row>
    <row r="739" spans="1:6" x14ac:dyDescent="0.3">
      <c r="A739">
        <v>171131528</v>
      </c>
      <c r="B739" s="1">
        <v>44913</v>
      </c>
      <c r="D739">
        <v>39</v>
      </c>
      <c r="E739" t="s">
        <v>6</v>
      </c>
      <c r="F739" t="s">
        <v>7</v>
      </c>
    </row>
    <row r="740" spans="1:6" x14ac:dyDescent="0.3">
      <c r="A740">
        <v>172370430</v>
      </c>
      <c r="B740" s="1">
        <v>44913</v>
      </c>
      <c r="C740" s="1">
        <v>44914</v>
      </c>
      <c r="D740">
        <v>39</v>
      </c>
      <c r="E740" t="s">
        <v>6</v>
      </c>
      <c r="F740" t="s">
        <v>8</v>
      </c>
    </row>
    <row r="741" spans="1:6" x14ac:dyDescent="0.3">
      <c r="A741">
        <v>122646091</v>
      </c>
      <c r="B741" s="1">
        <v>44913</v>
      </c>
      <c r="C741" s="1">
        <v>45006</v>
      </c>
      <c r="D741">
        <v>39</v>
      </c>
      <c r="E741" t="s">
        <v>6</v>
      </c>
      <c r="F741" t="s">
        <v>7</v>
      </c>
    </row>
    <row r="742" spans="1:6" x14ac:dyDescent="0.3">
      <c r="A742">
        <v>171688728</v>
      </c>
      <c r="B742" s="1">
        <v>44913</v>
      </c>
      <c r="C742" s="1">
        <v>44939</v>
      </c>
      <c r="D742">
        <v>39</v>
      </c>
      <c r="E742" t="s">
        <v>6</v>
      </c>
      <c r="F742" t="s">
        <v>7</v>
      </c>
    </row>
    <row r="743" spans="1:6" x14ac:dyDescent="0.3">
      <c r="A743">
        <v>173037778</v>
      </c>
      <c r="B743" s="1">
        <v>44913</v>
      </c>
      <c r="C743" s="1">
        <v>44953</v>
      </c>
      <c r="D743">
        <v>39</v>
      </c>
      <c r="E743" t="s">
        <v>6</v>
      </c>
      <c r="F743" t="s">
        <v>7</v>
      </c>
    </row>
    <row r="744" spans="1:6" x14ac:dyDescent="0.3">
      <c r="A744">
        <v>139247241</v>
      </c>
      <c r="B744" s="1">
        <v>44913</v>
      </c>
      <c r="C744" s="1">
        <v>44933</v>
      </c>
      <c r="D744">
        <v>39</v>
      </c>
      <c r="E744" t="s">
        <v>6</v>
      </c>
      <c r="F744" t="s">
        <v>7</v>
      </c>
    </row>
    <row r="745" spans="1:6" x14ac:dyDescent="0.3">
      <c r="A745">
        <v>138235674</v>
      </c>
      <c r="B745" s="1">
        <v>44914</v>
      </c>
      <c r="D745">
        <v>39</v>
      </c>
      <c r="E745" t="s">
        <v>6</v>
      </c>
      <c r="F745" t="s">
        <v>7</v>
      </c>
    </row>
    <row r="746" spans="1:6" x14ac:dyDescent="0.3">
      <c r="A746">
        <v>173832314</v>
      </c>
      <c r="B746" s="1">
        <v>44914</v>
      </c>
      <c r="C746" s="1">
        <v>44983</v>
      </c>
      <c r="D746">
        <v>39</v>
      </c>
      <c r="E746" t="s">
        <v>6</v>
      </c>
      <c r="F746" t="s">
        <v>7</v>
      </c>
    </row>
    <row r="747" spans="1:6" x14ac:dyDescent="0.3">
      <c r="A747">
        <v>170752898</v>
      </c>
      <c r="B747" s="1">
        <v>44914</v>
      </c>
      <c r="C747" s="1">
        <v>44980</v>
      </c>
      <c r="D747">
        <v>39</v>
      </c>
      <c r="E747" t="s">
        <v>6</v>
      </c>
      <c r="F747" t="s">
        <v>7</v>
      </c>
    </row>
    <row r="748" spans="1:6" x14ac:dyDescent="0.3">
      <c r="A748">
        <v>172517999</v>
      </c>
      <c r="B748" s="1">
        <v>44914</v>
      </c>
      <c r="C748" s="1">
        <v>44952</v>
      </c>
      <c r="D748">
        <v>39</v>
      </c>
      <c r="E748" t="s">
        <v>6</v>
      </c>
      <c r="F748" t="s">
        <v>7</v>
      </c>
    </row>
    <row r="749" spans="1:6" x14ac:dyDescent="0.3">
      <c r="A749">
        <v>150779000</v>
      </c>
      <c r="B749" s="1">
        <v>44914</v>
      </c>
      <c r="C749" s="1">
        <v>44928</v>
      </c>
      <c r="D749">
        <v>39</v>
      </c>
      <c r="E749" t="s">
        <v>6</v>
      </c>
      <c r="F749" t="s">
        <v>7</v>
      </c>
    </row>
    <row r="750" spans="1:6" x14ac:dyDescent="0.3">
      <c r="A750">
        <v>171304646</v>
      </c>
      <c r="B750" s="1">
        <v>44914</v>
      </c>
      <c r="C750" s="1">
        <v>45164</v>
      </c>
      <c r="D750">
        <v>39</v>
      </c>
      <c r="E750" t="s">
        <v>6</v>
      </c>
      <c r="F750" t="s">
        <v>7</v>
      </c>
    </row>
    <row r="751" spans="1:6" x14ac:dyDescent="0.3">
      <c r="A751">
        <v>168696864</v>
      </c>
      <c r="B751" s="1">
        <v>44915</v>
      </c>
      <c r="D751">
        <v>39</v>
      </c>
      <c r="E751" t="s">
        <v>6</v>
      </c>
      <c r="F751" t="s">
        <v>7</v>
      </c>
    </row>
    <row r="752" spans="1:6" x14ac:dyDescent="0.3">
      <c r="A752">
        <v>174268714</v>
      </c>
      <c r="B752" s="1">
        <v>44915</v>
      </c>
      <c r="D752">
        <v>39</v>
      </c>
      <c r="E752" t="s">
        <v>6</v>
      </c>
      <c r="F752" t="s">
        <v>7</v>
      </c>
    </row>
    <row r="753" spans="1:6" x14ac:dyDescent="0.3">
      <c r="A753">
        <v>147022677</v>
      </c>
      <c r="B753" s="1">
        <v>44915</v>
      </c>
      <c r="D753">
        <v>39</v>
      </c>
      <c r="E753" t="s">
        <v>6</v>
      </c>
      <c r="F753" t="s">
        <v>7</v>
      </c>
    </row>
    <row r="754" spans="1:6" x14ac:dyDescent="0.3">
      <c r="A754">
        <v>156864062</v>
      </c>
      <c r="B754" s="1">
        <v>44915</v>
      </c>
      <c r="C754" s="1">
        <v>44916</v>
      </c>
      <c r="D754">
        <v>39</v>
      </c>
      <c r="E754" t="s">
        <v>6</v>
      </c>
      <c r="F754" t="s">
        <v>8</v>
      </c>
    </row>
    <row r="755" spans="1:6" x14ac:dyDescent="0.3">
      <c r="A755">
        <v>123065349</v>
      </c>
      <c r="B755" s="1">
        <v>44915</v>
      </c>
      <c r="C755" s="1">
        <v>45012</v>
      </c>
      <c r="D755">
        <v>39</v>
      </c>
      <c r="E755" t="s">
        <v>6</v>
      </c>
      <c r="F755" t="s">
        <v>7</v>
      </c>
    </row>
    <row r="756" spans="1:6" x14ac:dyDescent="0.3">
      <c r="A756">
        <v>174258180</v>
      </c>
      <c r="B756" s="1">
        <v>44915</v>
      </c>
      <c r="C756" s="1">
        <v>45045</v>
      </c>
      <c r="D756">
        <v>39</v>
      </c>
      <c r="E756" t="s">
        <v>6</v>
      </c>
      <c r="F756" t="s">
        <v>7</v>
      </c>
    </row>
    <row r="757" spans="1:6" x14ac:dyDescent="0.3">
      <c r="A757">
        <v>174269667</v>
      </c>
      <c r="B757" s="1">
        <v>44915</v>
      </c>
      <c r="C757" s="1">
        <v>44988</v>
      </c>
      <c r="D757">
        <v>39</v>
      </c>
      <c r="E757" t="s">
        <v>6</v>
      </c>
      <c r="F757" t="s">
        <v>7</v>
      </c>
    </row>
    <row r="758" spans="1:6" x14ac:dyDescent="0.3">
      <c r="A758">
        <v>171889946</v>
      </c>
      <c r="B758" s="1">
        <v>44915</v>
      </c>
      <c r="C758" s="1">
        <v>44967</v>
      </c>
      <c r="D758">
        <v>39</v>
      </c>
      <c r="E758" t="s">
        <v>6</v>
      </c>
      <c r="F758" t="s">
        <v>7</v>
      </c>
    </row>
    <row r="759" spans="1:6" x14ac:dyDescent="0.3">
      <c r="A759">
        <v>171613468</v>
      </c>
      <c r="B759" s="1">
        <v>44915</v>
      </c>
      <c r="C759" s="1">
        <v>44979</v>
      </c>
      <c r="D759">
        <v>39</v>
      </c>
      <c r="E759" t="s">
        <v>6</v>
      </c>
      <c r="F759" t="s">
        <v>7</v>
      </c>
    </row>
    <row r="760" spans="1:6" x14ac:dyDescent="0.3">
      <c r="A760">
        <v>122922737</v>
      </c>
      <c r="B760" s="1">
        <v>44916</v>
      </c>
      <c r="D760">
        <v>39</v>
      </c>
      <c r="E760" t="s">
        <v>6</v>
      </c>
      <c r="F760" t="s">
        <v>7</v>
      </c>
    </row>
    <row r="761" spans="1:6" x14ac:dyDescent="0.3">
      <c r="A761">
        <v>174646924</v>
      </c>
      <c r="B761" s="1">
        <v>44916</v>
      </c>
      <c r="C761" s="1">
        <v>45013</v>
      </c>
      <c r="D761">
        <v>39</v>
      </c>
      <c r="E761" t="s">
        <v>6</v>
      </c>
      <c r="F761" t="s">
        <v>7</v>
      </c>
    </row>
    <row r="762" spans="1:6" x14ac:dyDescent="0.3">
      <c r="A762">
        <v>174264280</v>
      </c>
      <c r="B762" s="1">
        <v>44916</v>
      </c>
      <c r="C762" s="1">
        <v>45013</v>
      </c>
      <c r="D762">
        <v>39</v>
      </c>
      <c r="E762" t="s">
        <v>6</v>
      </c>
      <c r="F762" t="s">
        <v>7</v>
      </c>
    </row>
    <row r="763" spans="1:6" x14ac:dyDescent="0.3">
      <c r="A763">
        <v>174609120</v>
      </c>
      <c r="B763" s="1">
        <v>44916</v>
      </c>
      <c r="C763" s="1">
        <v>45003</v>
      </c>
      <c r="D763">
        <v>39</v>
      </c>
      <c r="E763" t="s">
        <v>6</v>
      </c>
      <c r="F763" t="s">
        <v>7</v>
      </c>
    </row>
    <row r="764" spans="1:6" x14ac:dyDescent="0.3">
      <c r="A764">
        <v>174158995</v>
      </c>
      <c r="B764" s="1">
        <v>44916</v>
      </c>
      <c r="C764" s="1">
        <v>44982</v>
      </c>
      <c r="D764">
        <v>39</v>
      </c>
      <c r="E764" t="s">
        <v>6</v>
      </c>
      <c r="F764" t="s">
        <v>7</v>
      </c>
    </row>
    <row r="765" spans="1:6" x14ac:dyDescent="0.3">
      <c r="A765">
        <v>174484311</v>
      </c>
      <c r="B765" s="1">
        <v>44916</v>
      </c>
      <c r="C765" s="1">
        <v>44982</v>
      </c>
      <c r="D765">
        <v>39</v>
      </c>
      <c r="E765" t="s">
        <v>6</v>
      </c>
      <c r="F765" t="s">
        <v>7</v>
      </c>
    </row>
    <row r="766" spans="1:6" x14ac:dyDescent="0.3">
      <c r="A766">
        <v>169556175</v>
      </c>
      <c r="B766" s="1">
        <v>44916</v>
      </c>
      <c r="C766" s="1">
        <v>44948</v>
      </c>
      <c r="D766">
        <v>39</v>
      </c>
      <c r="E766" t="s">
        <v>6</v>
      </c>
      <c r="F766" t="s">
        <v>7</v>
      </c>
    </row>
    <row r="767" spans="1:6" x14ac:dyDescent="0.3">
      <c r="A767">
        <v>153122282</v>
      </c>
      <c r="B767" s="1">
        <v>44916</v>
      </c>
      <c r="C767" s="1">
        <v>44916</v>
      </c>
      <c r="D767">
        <v>39</v>
      </c>
      <c r="E767" t="s">
        <v>6</v>
      </c>
      <c r="F767" t="s">
        <v>7</v>
      </c>
    </row>
    <row r="768" spans="1:6" x14ac:dyDescent="0.3">
      <c r="A768">
        <v>174576654</v>
      </c>
      <c r="B768" s="1">
        <v>44916</v>
      </c>
      <c r="C768" s="1">
        <v>45114</v>
      </c>
      <c r="D768">
        <v>39</v>
      </c>
      <c r="E768" t="s">
        <v>6</v>
      </c>
      <c r="F768" t="s">
        <v>7</v>
      </c>
    </row>
    <row r="769" spans="1:6" x14ac:dyDescent="0.3">
      <c r="A769">
        <v>154711077</v>
      </c>
      <c r="B769" s="1">
        <v>44917</v>
      </c>
      <c r="D769">
        <v>39</v>
      </c>
      <c r="E769" t="s">
        <v>6</v>
      </c>
      <c r="F769" t="s">
        <v>7</v>
      </c>
    </row>
    <row r="770" spans="1:6" x14ac:dyDescent="0.3">
      <c r="A770">
        <v>163619032</v>
      </c>
      <c r="B770" s="1">
        <v>44917</v>
      </c>
      <c r="D770">
        <v>39</v>
      </c>
      <c r="E770" t="s">
        <v>6</v>
      </c>
      <c r="F770" t="s">
        <v>7</v>
      </c>
    </row>
    <row r="771" spans="1:6" x14ac:dyDescent="0.3">
      <c r="A771">
        <v>171001864</v>
      </c>
      <c r="B771" s="1">
        <v>44917</v>
      </c>
      <c r="D771">
        <v>39</v>
      </c>
      <c r="E771" t="s">
        <v>6</v>
      </c>
      <c r="F771" t="s">
        <v>7</v>
      </c>
    </row>
    <row r="772" spans="1:6" x14ac:dyDescent="0.3">
      <c r="A772">
        <v>151890014</v>
      </c>
      <c r="B772" s="1">
        <v>44917</v>
      </c>
      <c r="D772">
        <v>39</v>
      </c>
      <c r="E772" t="s">
        <v>6</v>
      </c>
      <c r="F772" t="s">
        <v>7</v>
      </c>
    </row>
    <row r="773" spans="1:6" x14ac:dyDescent="0.3">
      <c r="A773">
        <v>158575772</v>
      </c>
      <c r="B773" s="1">
        <v>44917</v>
      </c>
      <c r="C773" s="1">
        <v>44918</v>
      </c>
      <c r="D773">
        <v>39</v>
      </c>
      <c r="E773" t="s">
        <v>6</v>
      </c>
      <c r="F773" t="s">
        <v>7</v>
      </c>
    </row>
    <row r="774" spans="1:6" x14ac:dyDescent="0.3">
      <c r="A774">
        <v>164462665</v>
      </c>
      <c r="B774" s="1">
        <v>44917</v>
      </c>
      <c r="C774" s="1">
        <v>44918</v>
      </c>
      <c r="D774">
        <v>39</v>
      </c>
      <c r="E774" t="s">
        <v>6</v>
      </c>
      <c r="F774" t="s">
        <v>8</v>
      </c>
    </row>
    <row r="775" spans="1:6" x14ac:dyDescent="0.3">
      <c r="A775">
        <v>121830768</v>
      </c>
      <c r="B775" s="1">
        <v>44917</v>
      </c>
      <c r="C775" s="1">
        <v>44950</v>
      </c>
      <c r="D775">
        <v>39</v>
      </c>
      <c r="E775" t="s">
        <v>6</v>
      </c>
      <c r="F775" t="s">
        <v>7</v>
      </c>
    </row>
    <row r="776" spans="1:6" x14ac:dyDescent="0.3">
      <c r="A776">
        <v>174605216</v>
      </c>
      <c r="B776" s="1">
        <v>44917</v>
      </c>
      <c r="C776" s="1">
        <v>45058</v>
      </c>
      <c r="D776">
        <v>39</v>
      </c>
      <c r="E776" t="s">
        <v>6</v>
      </c>
      <c r="F776" t="s">
        <v>7</v>
      </c>
    </row>
    <row r="777" spans="1:6" x14ac:dyDescent="0.3">
      <c r="A777">
        <v>174655316</v>
      </c>
      <c r="B777" s="1">
        <v>44917</v>
      </c>
      <c r="C777" s="1">
        <v>45000</v>
      </c>
      <c r="D777">
        <v>39</v>
      </c>
      <c r="E777" t="s">
        <v>6</v>
      </c>
      <c r="F777" t="s">
        <v>7</v>
      </c>
    </row>
    <row r="778" spans="1:6" x14ac:dyDescent="0.3">
      <c r="A778">
        <v>174622570</v>
      </c>
      <c r="B778" s="1">
        <v>44917</v>
      </c>
      <c r="C778" s="1">
        <v>44927</v>
      </c>
      <c r="D778">
        <v>39</v>
      </c>
      <c r="E778" t="s">
        <v>6</v>
      </c>
      <c r="F778" t="s">
        <v>7</v>
      </c>
    </row>
    <row r="779" spans="1:6" x14ac:dyDescent="0.3">
      <c r="A779">
        <v>174720005</v>
      </c>
      <c r="B779" s="1">
        <v>44917</v>
      </c>
      <c r="C779" s="1">
        <v>44918</v>
      </c>
      <c r="D779">
        <v>39</v>
      </c>
      <c r="E779" t="s">
        <v>6</v>
      </c>
      <c r="F779" t="s">
        <v>7</v>
      </c>
    </row>
    <row r="780" spans="1:6" x14ac:dyDescent="0.3">
      <c r="A780">
        <v>174696512</v>
      </c>
      <c r="B780" s="1">
        <v>44918</v>
      </c>
      <c r="D780">
        <v>39</v>
      </c>
      <c r="E780" t="s">
        <v>6</v>
      </c>
      <c r="F780" t="s">
        <v>7</v>
      </c>
    </row>
    <row r="781" spans="1:6" x14ac:dyDescent="0.3">
      <c r="A781">
        <v>175314293</v>
      </c>
      <c r="B781" s="1">
        <v>44918</v>
      </c>
      <c r="D781">
        <v>39</v>
      </c>
      <c r="E781" t="s">
        <v>6</v>
      </c>
      <c r="F781" t="s">
        <v>7</v>
      </c>
    </row>
    <row r="782" spans="1:6" x14ac:dyDescent="0.3">
      <c r="A782">
        <v>175451863</v>
      </c>
      <c r="B782" s="1">
        <v>44918</v>
      </c>
      <c r="C782" s="1">
        <v>45005</v>
      </c>
      <c r="D782">
        <v>39</v>
      </c>
      <c r="E782" t="s">
        <v>6</v>
      </c>
      <c r="F782" t="s">
        <v>7</v>
      </c>
    </row>
    <row r="783" spans="1:6" x14ac:dyDescent="0.3">
      <c r="A783">
        <v>174752844</v>
      </c>
      <c r="B783" s="1">
        <v>44918</v>
      </c>
      <c r="C783" s="1">
        <v>44956</v>
      </c>
      <c r="D783">
        <v>39</v>
      </c>
      <c r="E783" t="s">
        <v>6</v>
      </c>
      <c r="F783" t="s">
        <v>7</v>
      </c>
    </row>
    <row r="784" spans="1:6" x14ac:dyDescent="0.3">
      <c r="A784">
        <v>175431141</v>
      </c>
      <c r="B784" s="1">
        <v>44919</v>
      </c>
      <c r="D784">
        <v>39</v>
      </c>
      <c r="E784" t="s">
        <v>6</v>
      </c>
      <c r="F784" t="s">
        <v>7</v>
      </c>
    </row>
    <row r="785" spans="1:6" x14ac:dyDescent="0.3">
      <c r="A785">
        <v>132228678</v>
      </c>
      <c r="B785" s="1">
        <v>44919</v>
      </c>
      <c r="C785" s="1">
        <v>44919</v>
      </c>
      <c r="D785">
        <v>39</v>
      </c>
      <c r="E785" t="s">
        <v>6</v>
      </c>
      <c r="F785" t="s">
        <v>7</v>
      </c>
    </row>
    <row r="786" spans="1:6" x14ac:dyDescent="0.3">
      <c r="A786">
        <v>161151062</v>
      </c>
      <c r="B786" s="1">
        <v>44919</v>
      </c>
      <c r="C786" s="1">
        <v>45035</v>
      </c>
      <c r="D786">
        <v>39</v>
      </c>
      <c r="E786" t="s">
        <v>6</v>
      </c>
      <c r="F786" t="s">
        <v>7</v>
      </c>
    </row>
    <row r="787" spans="1:6" x14ac:dyDescent="0.3">
      <c r="A787">
        <v>167653319</v>
      </c>
      <c r="B787" s="1">
        <v>44919</v>
      </c>
      <c r="C787" s="1">
        <v>44998</v>
      </c>
      <c r="D787">
        <v>39</v>
      </c>
      <c r="E787" t="s">
        <v>6</v>
      </c>
      <c r="F787" t="s">
        <v>7</v>
      </c>
    </row>
    <row r="788" spans="1:6" x14ac:dyDescent="0.3">
      <c r="A788">
        <v>171659515</v>
      </c>
      <c r="B788" s="1">
        <v>44919</v>
      </c>
      <c r="C788" s="1">
        <v>44949</v>
      </c>
      <c r="D788">
        <v>39</v>
      </c>
      <c r="E788" t="s">
        <v>6</v>
      </c>
      <c r="F788" t="s">
        <v>7</v>
      </c>
    </row>
    <row r="789" spans="1:6" x14ac:dyDescent="0.3">
      <c r="A789">
        <v>175720159</v>
      </c>
      <c r="B789" s="1">
        <v>44919</v>
      </c>
      <c r="C789" s="1">
        <v>44935</v>
      </c>
      <c r="D789">
        <v>39</v>
      </c>
      <c r="E789" t="s">
        <v>6</v>
      </c>
      <c r="F789" t="s">
        <v>7</v>
      </c>
    </row>
    <row r="790" spans="1:6" x14ac:dyDescent="0.3">
      <c r="A790">
        <v>170593141</v>
      </c>
      <c r="B790" s="1">
        <v>44919</v>
      </c>
      <c r="C790" s="1">
        <v>44934</v>
      </c>
      <c r="D790">
        <v>39</v>
      </c>
      <c r="E790" t="s">
        <v>6</v>
      </c>
      <c r="F790" t="s">
        <v>7</v>
      </c>
    </row>
    <row r="791" spans="1:6" x14ac:dyDescent="0.3">
      <c r="A791">
        <v>173981170</v>
      </c>
      <c r="B791" s="1">
        <v>44919</v>
      </c>
      <c r="C791" s="1">
        <v>44920</v>
      </c>
      <c r="D791">
        <v>39</v>
      </c>
      <c r="E791" t="s">
        <v>6</v>
      </c>
      <c r="F791" t="s">
        <v>7</v>
      </c>
    </row>
    <row r="792" spans="1:6" x14ac:dyDescent="0.3">
      <c r="A792">
        <v>175166391</v>
      </c>
      <c r="B792" s="1">
        <v>44920</v>
      </c>
      <c r="D792">
        <v>39</v>
      </c>
      <c r="E792" t="s">
        <v>6</v>
      </c>
      <c r="F792" t="s">
        <v>7</v>
      </c>
    </row>
    <row r="793" spans="1:6" x14ac:dyDescent="0.3">
      <c r="A793">
        <v>161175048</v>
      </c>
      <c r="B793" s="1">
        <v>44920</v>
      </c>
      <c r="C793" s="1">
        <v>44979</v>
      </c>
      <c r="D793">
        <v>39</v>
      </c>
      <c r="E793" t="s">
        <v>6</v>
      </c>
      <c r="F793" t="s">
        <v>7</v>
      </c>
    </row>
    <row r="794" spans="1:6" x14ac:dyDescent="0.3">
      <c r="A794">
        <v>164254865</v>
      </c>
      <c r="B794" s="1">
        <v>44920</v>
      </c>
      <c r="C794" s="1">
        <v>44950</v>
      </c>
      <c r="D794">
        <v>39</v>
      </c>
      <c r="E794" t="s">
        <v>6</v>
      </c>
      <c r="F794" t="s">
        <v>7</v>
      </c>
    </row>
    <row r="795" spans="1:6" x14ac:dyDescent="0.3">
      <c r="A795">
        <v>143248615</v>
      </c>
      <c r="B795" s="1">
        <v>44921</v>
      </c>
      <c r="D795">
        <v>39</v>
      </c>
      <c r="E795" t="s">
        <v>6</v>
      </c>
      <c r="F795" t="s">
        <v>7</v>
      </c>
    </row>
    <row r="796" spans="1:6" x14ac:dyDescent="0.3">
      <c r="A796">
        <v>176032070</v>
      </c>
      <c r="B796" s="1">
        <v>44921</v>
      </c>
      <c r="C796" s="1">
        <v>44940</v>
      </c>
      <c r="D796">
        <v>39</v>
      </c>
      <c r="E796" t="s">
        <v>6</v>
      </c>
      <c r="F796" t="s">
        <v>7</v>
      </c>
    </row>
    <row r="797" spans="1:6" x14ac:dyDescent="0.3">
      <c r="A797">
        <v>174132333</v>
      </c>
      <c r="B797" s="1">
        <v>44922</v>
      </c>
      <c r="D797">
        <v>39</v>
      </c>
      <c r="E797" t="s">
        <v>6</v>
      </c>
      <c r="F797" t="s">
        <v>7</v>
      </c>
    </row>
    <row r="798" spans="1:6" x14ac:dyDescent="0.3">
      <c r="A798">
        <v>177051147</v>
      </c>
      <c r="B798" s="1">
        <v>44922</v>
      </c>
      <c r="C798" s="1">
        <v>44923</v>
      </c>
      <c r="D798">
        <v>39</v>
      </c>
      <c r="E798" t="s">
        <v>6</v>
      </c>
      <c r="F798" t="s">
        <v>7</v>
      </c>
    </row>
    <row r="799" spans="1:6" x14ac:dyDescent="0.3">
      <c r="A799">
        <v>176571319</v>
      </c>
      <c r="B799" s="1">
        <v>44922</v>
      </c>
      <c r="C799" s="1">
        <v>45017</v>
      </c>
      <c r="D799">
        <v>39</v>
      </c>
      <c r="E799" t="s">
        <v>6</v>
      </c>
      <c r="F799" t="s">
        <v>7</v>
      </c>
    </row>
    <row r="800" spans="1:6" x14ac:dyDescent="0.3">
      <c r="A800">
        <v>166932902</v>
      </c>
      <c r="B800" s="1">
        <v>44922</v>
      </c>
      <c r="C800" s="1">
        <v>44991</v>
      </c>
      <c r="D800">
        <v>39</v>
      </c>
      <c r="E800" t="s">
        <v>6</v>
      </c>
      <c r="F800" t="s">
        <v>7</v>
      </c>
    </row>
    <row r="801" spans="1:6" x14ac:dyDescent="0.3">
      <c r="A801">
        <v>175851244</v>
      </c>
      <c r="B801" s="1">
        <v>44922</v>
      </c>
      <c r="C801" s="1">
        <v>44960</v>
      </c>
      <c r="D801">
        <v>39</v>
      </c>
      <c r="E801" t="s">
        <v>6</v>
      </c>
      <c r="F801" t="s">
        <v>7</v>
      </c>
    </row>
    <row r="802" spans="1:6" x14ac:dyDescent="0.3">
      <c r="A802">
        <v>155613371</v>
      </c>
      <c r="B802" s="1">
        <v>44922</v>
      </c>
      <c r="C802" s="1">
        <v>44960</v>
      </c>
      <c r="D802">
        <v>39</v>
      </c>
      <c r="E802" t="s">
        <v>6</v>
      </c>
      <c r="F802" t="s">
        <v>7</v>
      </c>
    </row>
    <row r="803" spans="1:6" x14ac:dyDescent="0.3">
      <c r="A803">
        <v>167678290</v>
      </c>
      <c r="B803" s="1">
        <v>44922</v>
      </c>
      <c r="C803" s="1">
        <v>44953</v>
      </c>
      <c r="D803">
        <v>39</v>
      </c>
      <c r="E803" t="s">
        <v>6</v>
      </c>
      <c r="F803" t="s">
        <v>7</v>
      </c>
    </row>
    <row r="804" spans="1:6" x14ac:dyDescent="0.3">
      <c r="A804">
        <v>176995917</v>
      </c>
      <c r="B804" s="1">
        <v>44922</v>
      </c>
      <c r="C804" s="1">
        <v>45106</v>
      </c>
      <c r="D804">
        <v>39</v>
      </c>
      <c r="E804" t="s">
        <v>6</v>
      </c>
      <c r="F804" t="s">
        <v>7</v>
      </c>
    </row>
    <row r="805" spans="1:6" x14ac:dyDescent="0.3">
      <c r="A805">
        <v>161187523</v>
      </c>
      <c r="B805" s="1">
        <v>44922</v>
      </c>
      <c r="C805" s="1">
        <v>45126</v>
      </c>
      <c r="D805">
        <v>39</v>
      </c>
      <c r="E805" t="s">
        <v>6</v>
      </c>
      <c r="F805" t="s">
        <v>7</v>
      </c>
    </row>
    <row r="806" spans="1:6" x14ac:dyDescent="0.3">
      <c r="A806">
        <v>175884318</v>
      </c>
      <c r="B806" s="1">
        <v>44923</v>
      </c>
      <c r="C806" s="1">
        <v>44940</v>
      </c>
      <c r="D806">
        <v>39</v>
      </c>
      <c r="E806" t="s">
        <v>6</v>
      </c>
      <c r="F806" t="s">
        <v>7</v>
      </c>
    </row>
    <row r="807" spans="1:6" x14ac:dyDescent="0.3">
      <c r="A807">
        <v>173911972</v>
      </c>
      <c r="B807" s="1">
        <v>44923</v>
      </c>
      <c r="C807" s="1">
        <v>45040</v>
      </c>
      <c r="D807">
        <v>39</v>
      </c>
      <c r="E807" t="s">
        <v>6</v>
      </c>
      <c r="F807" t="s">
        <v>7</v>
      </c>
    </row>
    <row r="808" spans="1:6" x14ac:dyDescent="0.3">
      <c r="A808">
        <v>177696301</v>
      </c>
      <c r="B808" s="1">
        <v>44923</v>
      </c>
      <c r="C808" s="1">
        <v>45073</v>
      </c>
      <c r="D808">
        <v>39</v>
      </c>
      <c r="E808" t="s">
        <v>6</v>
      </c>
      <c r="F808" t="s">
        <v>7</v>
      </c>
    </row>
    <row r="809" spans="1:6" x14ac:dyDescent="0.3">
      <c r="A809">
        <v>165744582</v>
      </c>
      <c r="B809" s="1">
        <v>44923</v>
      </c>
      <c r="C809" s="1">
        <v>44969</v>
      </c>
      <c r="D809">
        <v>39</v>
      </c>
      <c r="E809" t="s">
        <v>6</v>
      </c>
      <c r="F809" t="s">
        <v>7</v>
      </c>
    </row>
    <row r="810" spans="1:6" x14ac:dyDescent="0.3">
      <c r="A810">
        <v>177323966</v>
      </c>
      <c r="B810" s="1">
        <v>44923</v>
      </c>
      <c r="C810" s="1">
        <v>44923</v>
      </c>
      <c r="D810">
        <v>39</v>
      </c>
      <c r="E810" t="s">
        <v>6</v>
      </c>
      <c r="F810" t="s">
        <v>7</v>
      </c>
    </row>
    <row r="811" spans="1:6" x14ac:dyDescent="0.3">
      <c r="A811">
        <v>178355844</v>
      </c>
      <c r="B811" s="1">
        <v>44924</v>
      </c>
      <c r="D811">
        <v>39</v>
      </c>
      <c r="E811" t="s">
        <v>6</v>
      </c>
      <c r="F811" t="s">
        <v>7</v>
      </c>
    </row>
    <row r="812" spans="1:6" x14ac:dyDescent="0.3">
      <c r="A812">
        <v>176989743</v>
      </c>
      <c r="B812" s="1">
        <v>44924</v>
      </c>
      <c r="D812">
        <v>39</v>
      </c>
      <c r="E812" t="s">
        <v>6</v>
      </c>
      <c r="F812" t="s">
        <v>7</v>
      </c>
    </row>
    <row r="813" spans="1:6" x14ac:dyDescent="0.3">
      <c r="A813">
        <v>177971827</v>
      </c>
      <c r="B813" s="1">
        <v>44924</v>
      </c>
      <c r="D813">
        <v>39</v>
      </c>
      <c r="E813" t="s">
        <v>6</v>
      </c>
      <c r="F813" t="s">
        <v>7</v>
      </c>
    </row>
    <row r="814" spans="1:6" x14ac:dyDescent="0.3">
      <c r="A814">
        <v>131147038</v>
      </c>
      <c r="B814" s="1">
        <v>44924</v>
      </c>
      <c r="C814" s="1">
        <v>44970</v>
      </c>
      <c r="D814">
        <v>39</v>
      </c>
      <c r="E814" t="s">
        <v>6</v>
      </c>
      <c r="F814" t="s">
        <v>7</v>
      </c>
    </row>
    <row r="815" spans="1:6" x14ac:dyDescent="0.3">
      <c r="A815">
        <v>152142457</v>
      </c>
      <c r="B815" s="1">
        <v>44924</v>
      </c>
      <c r="C815" s="1">
        <v>44969</v>
      </c>
      <c r="D815">
        <v>39</v>
      </c>
      <c r="E815" t="s">
        <v>6</v>
      </c>
      <c r="F815" t="s">
        <v>7</v>
      </c>
    </row>
    <row r="816" spans="1:6" x14ac:dyDescent="0.3">
      <c r="A816">
        <v>174293226</v>
      </c>
      <c r="B816" s="1">
        <v>44924</v>
      </c>
      <c r="C816" s="1">
        <v>45083</v>
      </c>
      <c r="D816">
        <v>39</v>
      </c>
      <c r="E816" t="s">
        <v>6</v>
      </c>
      <c r="F816" t="s">
        <v>7</v>
      </c>
    </row>
    <row r="817" spans="1:6" x14ac:dyDescent="0.3">
      <c r="A817">
        <v>177051147</v>
      </c>
      <c r="B817" s="1">
        <v>44924</v>
      </c>
      <c r="C817" s="1">
        <v>45012</v>
      </c>
      <c r="D817">
        <v>39</v>
      </c>
      <c r="E817" t="s">
        <v>6</v>
      </c>
      <c r="F817" t="s">
        <v>7</v>
      </c>
    </row>
    <row r="818" spans="1:6" x14ac:dyDescent="0.3">
      <c r="A818">
        <v>177963240</v>
      </c>
      <c r="B818" s="1">
        <v>44924</v>
      </c>
      <c r="C818" s="1">
        <v>44953</v>
      </c>
      <c r="D818">
        <v>39</v>
      </c>
      <c r="E818" t="s">
        <v>6</v>
      </c>
      <c r="F818" t="s">
        <v>7</v>
      </c>
    </row>
    <row r="819" spans="1:6" x14ac:dyDescent="0.3">
      <c r="A819">
        <v>176639972</v>
      </c>
      <c r="B819" s="1">
        <v>44924</v>
      </c>
      <c r="C819" s="1">
        <v>44954</v>
      </c>
      <c r="D819">
        <v>39</v>
      </c>
      <c r="E819" t="s">
        <v>6</v>
      </c>
      <c r="F819" t="s">
        <v>7</v>
      </c>
    </row>
    <row r="820" spans="1:6" x14ac:dyDescent="0.3">
      <c r="A820">
        <v>175818000</v>
      </c>
      <c r="B820" s="1">
        <v>44925</v>
      </c>
      <c r="C820" s="1">
        <v>45086</v>
      </c>
      <c r="D820">
        <v>39</v>
      </c>
      <c r="E820" t="s">
        <v>6</v>
      </c>
      <c r="F820" t="s">
        <v>7</v>
      </c>
    </row>
    <row r="821" spans="1:6" x14ac:dyDescent="0.3">
      <c r="A821">
        <v>117856836</v>
      </c>
      <c r="B821" s="1">
        <v>44925</v>
      </c>
      <c r="C821" s="1">
        <v>44959</v>
      </c>
      <c r="D821">
        <v>39</v>
      </c>
      <c r="E821" t="s">
        <v>6</v>
      </c>
      <c r="F821" t="s">
        <v>7</v>
      </c>
    </row>
    <row r="822" spans="1:6" x14ac:dyDescent="0.3">
      <c r="A822">
        <v>177266058</v>
      </c>
      <c r="B822" s="1">
        <v>44925</v>
      </c>
      <c r="C822" s="1">
        <v>45022</v>
      </c>
      <c r="D822">
        <v>39</v>
      </c>
      <c r="E822" t="s">
        <v>6</v>
      </c>
      <c r="F822" t="s">
        <v>7</v>
      </c>
    </row>
    <row r="823" spans="1:6" x14ac:dyDescent="0.3">
      <c r="A823">
        <v>174203866</v>
      </c>
      <c r="B823" s="1">
        <v>44925</v>
      </c>
      <c r="C823" s="1">
        <v>44985</v>
      </c>
      <c r="D823">
        <v>39</v>
      </c>
      <c r="E823" t="s">
        <v>6</v>
      </c>
      <c r="F823" t="s">
        <v>7</v>
      </c>
    </row>
    <row r="824" spans="1:6" x14ac:dyDescent="0.3">
      <c r="A824">
        <v>174991614</v>
      </c>
      <c r="B824" s="1">
        <v>44925</v>
      </c>
      <c r="C824" s="1">
        <v>44956</v>
      </c>
      <c r="D824">
        <v>39</v>
      </c>
      <c r="E824" t="s">
        <v>6</v>
      </c>
      <c r="F824" t="s">
        <v>7</v>
      </c>
    </row>
    <row r="825" spans="1:6" x14ac:dyDescent="0.3">
      <c r="A825">
        <v>175354348</v>
      </c>
      <c r="B825" s="1">
        <v>44925</v>
      </c>
      <c r="C825" s="1">
        <v>44947</v>
      </c>
      <c r="D825">
        <v>39</v>
      </c>
      <c r="E825" t="s">
        <v>6</v>
      </c>
      <c r="F825" t="s">
        <v>7</v>
      </c>
    </row>
    <row r="826" spans="1:6" x14ac:dyDescent="0.3">
      <c r="A826">
        <v>176573512</v>
      </c>
      <c r="B826" s="1">
        <v>44925</v>
      </c>
      <c r="C826" s="1">
        <v>45110</v>
      </c>
      <c r="D826">
        <v>39</v>
      </c>
      <c r="E826" t="s">
        <v>6</v>
      </c>
      <c r="F826" t="s">
        <v>7</v>
      </c>
    </row>
    <row r="827" spans="1:6" x14ac:dyDescent="0.3">
      <c r="A827">
        <v>178379352</v>
      </c>
      <c r="B827" s="1">
        <v>44926</v>
      </c>
      <c r="C827" s="1">
        <v>44928</v>
      </c>
      <c r="D827">
        <v>39</v>
      </c>
      <c r="E827" t="s">
        <v>6</v>
      </c>
      <c r="F827" t="s">
        <v>7</v>
      </c>
    </row>
    <row r="828" spans="1:6" x14ac:dyDescent="0.3">
      <c r="A828">
        <v>152980676</v>
      </c>
      <c r="B828" s="1">
        <v>44926</v>
      </c>
      <c r="C828" s="1">
        <v>44947</v>
      </c>
      <c r="D828">
        <v>39</v>
      </c>
      <c r="E828" t="s">
        <v>6</v>
      </c>
      <c r="F828" t="s">
        <v>7</v>
      </c>
    </row>
    <row r="829" spans="1:6" x14ac:dyDescent="0.3">
      <c r="A829">
        <v>179551652</v>
      </c>
      <c r="B829" s="1">
        <v>44926</v>
      </c>
      <c r="C829" s="1">
        <v>45053</v>
      </c>
      <c r="D829">
        <v>39</v>
      </c>
      <c r="E829" t="s">
        <v>6</v>
      </c>
      <c r="F829" t="s">
        <v>7</v>
      </c>
    </row>
    <row r="830" spans="1:6" x14ac:dyDescent="0.3">
      <c r="A830">
        <v>175899028</v>
      </c>
      <c r="B830" s="1">
        <v>44926</v>
      </c>
      <c r="C830" s="1">
        <v>45009</v>
      </c>
      <c r="D830">
        <v>39</v>
      </c>
      <c r="E830" t="s">
        <v>6</v>
      </c>
      <c r="F830" t="s">
        <v>7</v>
      </c>
    </row>
    <row r="831" spans="1:6" x14ac:dyDescent="0.3">
      <c r="A831">
        <v>148427368</v>
      </c>
      <c r="B831" s="1">
        <v>44926</v>
      </c>
      <c r="C831" s="1">
        <v>44964</v>
      </c>
      <c r="D831">
        <v>39</v>
      </c>
      <c r="E831" t="s">
        <v>6</v>
      </c>
      <c r="F831" t="s">
        <v>7</v>
      </c>
    </row>
    <row r="832" spans="1:6" x14ac:dyDescent="0.3">
      <c r="A832">
        <v>149335749</v>
      </c>
      <c r="B832" s="1">
        <v>44926</v>
      </c>
      <c r="C832" s="1">
        <v>44956</v>
      </c>
      <c r="D832">
        <v>39</v>
      </c>
      <c r="E832" t="s">
        <v>6</v>
      </c>
      <c r="F832" t="s">
        <v>7</v>
      </c>
    </row>
    <row r="833" spans="1:6" x14ac:dyDescent="0.3">
      <c r="A833">
        <v>179395204</v>
      </c>
      <c r="B833" s="1">
        <v>44926</v>
      </c>
      <c r="C833" s="1">
        <v>44942</v>
      </c>
      <c r="D833">
        <v>39</v>
      </c>
      <c r="E833" t="s">
        <v>6</v>
      </c>
      <c r="F833" t="s">
        <v>7</v>
      </c>
    </row>
    <row r="834" spans="1:6" x14ac:dyDescent="0.3">
      <c r="A834">
        <v>150870576</v>
      </c>
      <c r="B834" s="1">
        <v>44927</v>
      </c>
      <c r="C834" s="1">
        <v>45092</v>
      </c>
      <c r="D834">
        <v>39</v>
      </c>
      <c r="E834" t="s">
        <v>6</v>
      </c>
      <c r="F834" t="s">
        <v>7</v>
      </c>
    </row>
    <row r="835" spans="1:6" x14ac:dyDescent="0.3">
      <c r="A835">
        <v>176200716</v>
      </c>
      <c r="B835" s="1">
        <v>44927</v>
      </c>
      <c r="C835" s="1">
        <v>45040</v>
      </c>
      <c r="D835">
        <v>39</v>
      </c>
      <c r="E835" t="s">
        <v>6</v>
      </c>
      <c r="F835" t="s">
        <v>7</v>
      </c>
    </row>
    <row r="836" spans="1:6" x14ac:dyDescent="0.3">
      <c r="A836">
        <v>178097351</v>
      </c>
      <c r="B836" s="1">
        <v>44927</v>
      </c>
      <c r="C836" s="1">
        <v>44965</v>
      </c>
      <c r="D836">
        <v>39</v>
      </c>
      <c r="E836" t="s">
        <v>6</v>
      </c>
      <c r="F836" t="s">
        <v>7</v>
      </c>
    </row>
    <row r="837" spans="1:6" x14ac:dyDescent="0.3">
      <c r="A837">
        <v>177238262</v>
      </c>
      <c r="B837" s="1">
        <v>44928</v>
      </c>
      <c r="D837">
        <v>39</v>
      </c>
      <c r="E837" t="s">
        <v>6</v>
      </c>
      <c r="F837" t="s">
        <v>7</v>
      </c>
    </row>
    <row r="838" spans="1:6" x14ac:dyDescent="0.3">
      <c r="A838">
        <v>173131478</v>
      </c>
      <c r="B838" s="1">
        <v>44928</v>
      </c>
      <c r="D838">
        <v>39</v>
      </c>
      <c r="E838" t="s">
        <v>6</v>
      </c>
      <c r="F838" t="s">
        <v>7</v>
      </c>
    </row>
    <row r="839" spans="1:6" x14ac:dyDescent="0.3">
      <c r="A839">
        <v>180123121</v>
      </c>
      <c r="B839" s="1">
        <v>44928</v>
      </c>
      <c r="C839" s="1">
        <v>44928</v>
      </c>
      <c r="D839">
        <v>39</v>
      </c>
      <c r="E839" t="s">
        <v>6</v>
      </c>
      <c r="F839" t="s">
        <v>8</v>
      </c>
    </row>
    <row r="840" spans="1:6" x14ac:dyDescent="0.3">
      <c r="A840">
        <v>139136640</v>
      </c>
      <c r="B840" s="1">
        <v>44928</v>
      </c>
      <c r="C840" s="1">
        <v>44994</v>
      </c>
      <c r="D840">
        <v>39</v>
      </c>
      <c r="E840" t="s">
        <v>6</v>
      </c>
      <c r="F840" t="s">
        <v>7</v>
      </c>
    </row>
    <row r="841" spans="1:6" x14ac:dyDescent="0.3">
      <c r="A841">
        <v>172951272</v>
      </c>
      <c r="B841" s="1">
        <v>44928</v>
      </c>
      <c r="C841" s="1">
        <v>45052</v>
      </c>
      <c r="D841">
        <v>39</v>
      </c>
      <c r="E841" t="s">
        <v>6</v>
      </c>
      <c r="F841" t="s">
        <v>7</v>
      </c>
    </row>
    <row r="842" spans="1:6" x14ac:dyDescent="0.3">
      <c r="A842">
        <v>175473611</v>
      </c>
      <c r="B842" s="1">
        <v>44928</v>
      </c>
      <c r="C842" s="1">
        <v>45039</v>
      </c>
      <c r="D842">
        <v>39</v>
      </c>
      <c r="E842" t="s">
        <v>6</v>
      </c>
      <c r="F842" t="s">
        <v>7</v>
      </c>
    </row>
    <row r="843" spans="1:6" x14ac:dyDescent="0.3">
      <c r="A843">
        <v>170776130</v>
      </c>
      <c r="B843" s="1">
        <v>44928</v>
      </c>
      <c r="C843" s="1">
        <v>45034</v>
      </c>
      <c r="D843">
        <v>39</v>
      </c>
      <c r="E843" t="s">
        <v>6</v>
      </c>
      <c r="F843" t="s">
        <v>7</v>
      </c>
    </row>
    <row r="844" spans="1:6" x14ac:dyDescent="0.3">
      <c r="A844">
        <v>180558466</v>
      </c>
      <c r="B844" s="1">
        <v>44928</v>
      </c>
      <c r="C844" s="1">
        <v>45009</v>
      </c>
      <c r="D844">
        <v>39</v>
      </c>
      <c r="E844" t="s">
        <v>6</v>
      </c>
      <c r="F844" t="s">
        <v>7</v>
      </c>
    </row>
    <row r="845" spans="1:6" x14ac:dyDescent="0.3">
      <c r="A845">
        <v>171398636</v>
      </c>
      <c r="B845" s="1">
        <v>44928</v>
      </c>
      <c r="C845" s="1">
        <v>44995</v>
      </c>
      <c r="D845">
        <v>39</v>
      </c>
      <c r="E845" t="s">
        <v>6</v>
      </c>
      <c r="F845" t="s">
        <v>7</v>
      </c>
    </row>
    <row r="846" spans="1:6" x14ac:dyDescent="0.3">
      <c r="A846">
        <v>180424776</v>
      </c>
      <c r="B846" s="1">
        <v>44928</v>
      </c>
      <c r="C846" s="1">
        <v>45004</v>
      </c>
      <c r="D846">
        <v>39</v>
      </c>
      <c r="E846" t="s">
        <v>6</v>
      </c>
      <c r="F846" t="s">
        <v>7</v>
      </c>
    </row>
    <row r="847" spans="1:6" x14ac:dyDescent="0.3">
      <c r="A847">
        <v>180198528</v>
      </c>
      <c r="B847" s="1">
        <v>44928</v>
      </c>
      <c r="C847" s="1">
        <v>44966</v>
      </c>
      <c r="D847">
        <v>39</v>
      </c>
      <c r="E847" t="s">
        <v>6</v>
      </c>
      <c r="F847" t="s">
        <v>7</v>
      </c>
    </row>
    <row r="848" spans="1:6" x14ac:dyDescent="0.3">
      <c r="A848">
        <v>124634385</v>
      </c>
      <c r="B848" s="1">
        <v>44929</v>
      </c>
      <c r="D848">
        <v>39</v>
      </c>
      <c r="E848" t="s">
        <v>6</v>
      </c>
      <c r="F848" t="s">
        <v>7</v>
      </c>
    </row>
    <row r="849" spans="1:6" x14ac:dyDescent="0.3">
      <c r="A849">
        <v>180740092</v>
      </c>
      <c r="B849" s="1">
        <v>44929</v>
      </c>
      <c r="D849">
        <v>39</v>
      </c>
      <c r="E849" t="s">
        <v>6</v>
      </c>
      <c r="F849" t="s">
        <v>7</v>
      </c>
    </row>
    <row r="850" spans="1:6" x14ac:dyDescent="0.3">
      <c r="A850">
        <v>144385898</v>
      </c>
      <c r="B850" s="1">
        <v>44929</v>
      </c>
      <c r="C850" s="1">
        <v>45110</v>
      </c>
      <c r="D850">
        <v>39</v>
      </c>
      <c r="E850" t="s">
        <v>6</v>
      </c>
      <c r="F850" t="s">
        <v>7</v>
      </c>
    </row>
    <row r="851" spans="1:6" x14ac:dyDescent="0.3">
      <c r="A851">
        <v>175138132</v>
      </c>
      <c r="B851" s="1">
        <v>44929</v>
      </c>
      <c r="C851" s="1">
        <v>45039</v>
      </c>
      <c r="D851">
        <v>39</v>
      </c>
      <c r="E851" t="s">
        <v>6</v>
      </c>
      <c r="F851" t="s">
        <v>7</v>
      </c>
    </row>
    <row r="852" spans="1:6" x14ac:dyDescent="0.3">
      <c r="A852">
        <v>180968287</v>
      </c>
      <c r="B852" s="1">
        <v>44929</v>
      </c>
      <c r="C852" s="1">
        <v>45012</v>
      </c>
      <c r="D852">
        <v>39</v>
      </c>
      <c r="E852" t="s">
        <v>6</v>
      </c>
      <c r="F852" t="s">
        <v>7</v>
      </c>
    </row>
    <row r="853" spans="1:6" x14ac:dyDescent="0.3">
      <c r="A853">
        <v>180959934</v>
      </c>
      <c r="B853" s="1">
        <v>44929</v>
      </c>
      <c r="C853" s="1">
        <v>44993</v>
      </c>
      <c r="D853">
        <v>39</v>
      </c>
      <c r="E853" t="s">
        <v>6</v>
      </c>
      <c r="F853" t="s">
        <v>7</v>
      </c>
    </row>
    <row r="854" spans="1:6" x14ac:dyDescent="0.3">
      <c r="A854">
        <v>176445635</v>
      </c>
      <c r="B854" s="1">
        <v>44929</v>
      </c>
      <c r="C854" s="1">
        <v>44975</v>
      </c>
      <c r="D854">
        <v>39</v>
      </c>
      <c r="E854" t="s">
        <v>6</v>
      </c>
      <c r="F854" t="s">
        <v>7</v>
      </c>
    </row>
    <row r="855" spans="1:6" x14ac:dyDescent="0.3">
      <c r="A855">
        <v>180798046</v>
      </c>
      <c r="B855" s="1">
        <v>44929</v>
      </c>
      <c r="C855" s="1">
        <v>44957</v>
      </c>
      <c r="D855">
        <v>39</v>
      </c>
      <c r="E855" t="s">
        <v>6</v>
      </c>
      <c r="F855" t="s">
        <v>7</v>
      </c>
    </row>
    <row r="856" spans="1:6" x14ac:dyDescent="0.3">
      <c r="A856">
        <v>180718702</v>
      </c>
      <c r="B856" s="1">
        <v>44929</v>
      </c>
      <c r="C856" s="1">
        <v>44951</v>
      </c>
      <c r="D856">
        <v>39</v>
      </c>
      <c r="E856" t="s">
        <v>6</v>
      </c>
      <c r="F856" t="s">
        <v>7</v>
      </c>
    </row>
    <row r="857" spans="1:6" x14ac:dyDescent="0.3">
      <c r="A857">
        <v>181052392</v>
      </c>
      <c r="B857" s="1">
        <v>44929</v>
      </c>
      <c r="C857" s="1">
        <v>45161</v>
      </c>
      <c r="D857">
        <v>39</v>
      </c>
      <c r="E857" t="s">
        <v>6</v>
      </c>
      <c r="F857" t="s">
        <v>7</v>
      </c>
    </row>
    <row r="858" spans="1:6" x14ac:dyDescent="0.3">
      <c r="A858">
        <v>181717508</v>
      </c>
      <c r="B858" s="1">
        <v>44930</v>
      </c>
      <c r="D858">
        <v>39</v>
      </c>
      <c r="E858" t="s">
        <v>6</v>
      </c>
      <c r="F858" t="s">
        <v>7</v>
      </c>
    </row>
    <row r="859" spans="1:6" x14ac:dyDescent="0.3">
      <c r="A859">
        <v>163103592</v>
      </c>
      <c r="B859" s="1">
        <v>44930</v>
      </c>
      <c r="C859" s="1">
        <v>44931</v>
      </c>
      <c r="D859">
        <v>39</v>
      </c>
      <c r="E859" t="s">
        <v>6</v>
      </c>
      <c r="F859" t="s">
        <v>8</v>
      </c>
    </row>
    <row r="860" spans="1:6" x14ac:dyDescent="0.3">
      <c r="A860">
        <v>146860806</v>
      </c>
      <c r="B860" s="1">
        <v>44930</v>
      </c>
      <c r="C860" s="1">
        <v>44989</v>
      </c>
      <c r="D860">
        <v>39</v>
      </c>
      <c r="E860" t="s">
        <v>6</v>
      </c>
      <c r="F860" t="s">
        <v>7</v>
      </c>
    </row>
    <row r="861" spans="1:6" x14ac:dyDescent="0.3">
      <c r="A861">
        <v>160532210</v>
      </c>
      <c r="B861" s="1">
        <v>44930</v>
      </c>
      <c r="C861" s="1">
        <v>44969</v>
      </c>
      <c r="D861">
        <v>39</v>
      </c>
      <c r="E861" t="s">
        <v>6</v>
      </c>
      <c r="F861" t="s">
        <v>7</v>
      </c>
    </row>
    <row r="862" spans="1:6" x14ac:dyDescent="0.3">
      <c r="A862">
        <v>181003342</v>
      </c>
      <c r="B862" s="1">
        <v>44930</v>
      </c>
      <c r="C862" s="1">
        <v>44985</v>
      </c>
      <c r="D862">
        <v>39</v>
      </c>
      <c r="E862" t="s">
        <v>6</v>
      </c>
      <c r="F862" t="s">
        <v>7</v>
      </c>
    </row>
    <row r="863" spans="1:6" x14ac:dyDescent="0.3">
      <c r="A863">
        <v>178661698</v>
      </c>
      <c r="B863" s="1">
        <v>44930</v>
      </c>
      <c r="C863" s="1">
        <v>45118</v>
      </c>
      <c r="D863">
        <v>39</v>
      </c>
      <c r="E863" t="s">
        <v>6</v>
      </c>
      <c r="F863" t="s">
        <v>7</v>
      </c>
    </row>
    <row r="864" spans="1:6" x14ac:dyDescent="0.3">
      <c r="A864">
        <v>178928897</v>
      </c>
      <c r="B864" s="1">
        <v>44931</v>
      </c>
      <c r="D864">
        <v>39</v>
      </c>
      <c r="E864" t="s">
        <v>6</v>
      </c>
      <c r="F864" t="s">
        <v>7</v>
      </c>
    </row>
    <row r="865" spans="1:6" x14ac:dyDescent="0.3">
      <c r="A865">
        <v>181840814</v>
      </c>
      <c r="B865" s="1">
        <v>44931</v>
      </c>
      <c r="D865">
        <v>39</v>
      </c>
      <c r="E865" t="s">
        <v>6</v>
      </c>
      <c r="F865" t="s">
        <v>7</v>
      </c>
    </row>
    <row r="866" spans="1:6" x14ac:dyDescent="0.3">
      <c r="A866">
        <v>166930287</v>
      </c>
      <c r="B866" s="1">
        <v>44931</v>
      </c>
      <c r="C866" s="1">
        <v>44932</v>
      </c>
      <c r="D866">
        <v>39</v>
      </c>
      <c r="E866" t="s">
        <v>6</v>
      </c>
      <c r="F866" t="s">
        <v>8</v>
      </c>
    </row>
    <row r="867" spans="1:6" x14ac:dyDescent="0.3">
      <c r="A867">
        <v>155956314</v>
      </c>
      <c r="B867" s="1">
        <v>44931</v>
      </c>
      <c r="C867" s="1">
        <v>44931</v>
      </c>
      <c r="D867">
        <v>39</v>
      </c>
      <c r="E867" t="s">
        <v>6</v>
      </c>
      <c r="F867" t="s">
        <v>8</v>
      </c>
    </row>
    <row r="868" spans="1:6" x14ac:dyDescent="0.3">
      <c r="A868">
        <v>182408564</v>
      </c>
      <c r="B868" s="1">
        <v>44931</v>
      </c>
      <c r="C868" s="1">
        <v>45050</v>
      </c>
      <c r="D868">
        <v>39</v>
      </c>
      <c r="E868" t="s">
        <v>6</v>
      </c>
      <c r="F868" t="s">
        <v>7</v>
      </c>
    </row>
    <row r="869" spans="1:6" x14ac:dyDescent="0.3">
      <c r="A869">
        <v>182295766</v>
      </c>
      <c r="B869" s="1">
        <v>44931</v>
      </c>
      <c r="C869" s="1">
        <v>44997</v>
      </c>
      <c r="D869">
        <v>39</v>
      </c>
      <c r="E869" t="s">
        <v>6</v>
      </c>
      <c r="F869" t="s">
        <v>7</v>
      </c>
    </row>
    <row r="870" spans="1:6" x14ac:dyDescent="0.3">
      <c r="A870">
        <v>155881023</v>
      </c>
      <c r="B870" s="1">
        <v>44931</v>
      </c>
      <c r="C870" s="1">
        <v>44987</v>
      </c>
      <c r="D870">
        <v>39</v>
      </c>
      <c r="E870" t="s">
        <v>6</v>
      </c>
      <c r="F870" t="s">
        <v>7</v>
      </c>
    </row>
    <row r="871" spans="1:6" x14ac:dyDescent="0.3">
      <c r="A871">
        <v>152750569</v>
      </c>
      <c r="B871" s="1">
        <v>44931</v>
      </c>
      <c r="C871" s="1">
        <v>44969</v>
      </c>
      <c r="D871">
        <v>39</v>
      </c>
      <c r="E871" t="s">
        <v>6</v>
      </c>
      <c r="F871" t="s">
        <v>7</v>
      </c>
    </row>
    <row r="872" spans="1:6" x14ac:dyDescent="0.3">
      <c r="A872">
        <v>178345451</v>
      </c>
      <c r="B872" s="1">
        <v>44931</v>
      </c>
      <c r="C872" s="1">
        <v>44969</v>
      </c>
      <c r="D872">
        <v>39</v>
      </c>
      <c r="E872" t="s">
        <v>6</v>
      </c>
      <c r="F872" t="s">
        <v>7</v>
      </c>
    </row>
    <row r="873" spans="1:6" x14ac:dyDescent="0.3">
      <c r="A873">
        <v>179758181</v>
      </c>
      <c r="B873" s="1">
        <v>44932</v>
      </c>
      <c r="D873">
        <v>39</v>
      </c>
      <c r="E873" t="s">
        <v>6</v>
      </c>
      <c r="F873" t="s">
        <v>7</v>
      </c>
    </row>
    <row r="874" spans="1:6" x14ac:dyDescent="0.3">
      <c r="A874">
        <v>167266048</v>
      </c>
      <c r="B874" s="1">
        <v>44932</v>
      </c>
      <c r="D874">
        <v>39</v>
      </c>
      <c r="E874" t="s">
        <v>6</v>
      </c>
      <c r="F874" t="s">
        <v>7</v>
      </c>
    </row>
    <row r="875" spans="1:6" x14ac:dyDescent="0.3">
      <c r="A875">
        <v>182719870</v>
      </c>
      <c r="B875" s="1">
        <v>44932</v>
      </c>
      <c r="C875" s="1">
        <v>45050</v>
      </c>
      <c r="D875">
        <v>39</v>
      </c>
      <c r="E875" t="s">
        <v>6</v>
      </c>
      <c r="F875" t="s">
        <v>7</v>
      </c>
    </row>
    <row r="876" spans="1:6" x14ac:dyDescent="0.3">
      <c r="A876">
        <v>182408430</v>
      </c>
      <c r="B876" s="1">
        <v>44932</v>
      </c>
      <c r="C876" s="1">
        <v>45056</v>
      </c>
      <c r="D876">
        <v>39</v>
      </c>
      <c r="E876" t="s">
        <v>6</v>
      </c>
      <c r="F876" t="s">
        <v>7</v>
      </c>
    </row>
    <row r="877" spans="1:6" x14ac:dyDescent="0.3">
      <c r="A877">
        <v>181072524</v>
      </c>
      <c r="B877" s="1">
        <v>44932</v>
      </c>
      <c r="C877" s="1">
        <v>45107</v>
      </c>
      <c r="D877">
        <v>39</v>
      </c>
      <c r="E877" t="s">
        <v>6</v>
      </c>
      <c r="F877" t="s">
        <v>7</v>
      </c>
    </row>
    <row r="878" spans="1:6" x14ac:dyDescent="0.3">
      <c r="A878">
        <v>182747824</v>
      </c>
      <c r="B878" s="1">
        <v>44932</v>
      </c>
      <c r="C878" s="1">
        <v>45029</v>
      </c>
      <c r="D878">
        <v>39</v>
      </c>
      <c r="E878" t="s">
        <v>6</v>
      </c>
      <c r="F878" t="s">
        <v>7</v>
      </c>
    </row>
    <row r="879" spans="1:6" x14ac:dyDescent="0.3">
      <c r="A879">
        <v>182700534</v>
      </c>
      <c r="B879" s="1">
        <v>44932</v>
      </c>
      <c r="C879" s="1">
        <v>45011</v>
      </c>
      <c r="D879">
        <v>39</v>
      </c>
      <c r="E879" t="s">
        <v>6</v>
      </c>
      <c r="F879" t="s">
        <v>7</v>
      </c>
    </row>
    <row r="880" spans="1:6" x14ac:dyDescent="0.3">
      <c r="A880">
        <v>182727349</v>
      </c>
      <c r="B880" s="1">
        <v>44932</v>
      </c>
      <c r="C880" s="1">
        <v>44963</v>
      </c>
      <c r="D880">
        <v>39</v>
      </c>
      <c r="E880" t="s">
        <v>6</v>
      </c>
      <c r="F880" t="s">
        <v>7</v>
      </c>
    </row>
    <row r="881" spans="1:6" x14ac:dyDescent="0.3">
      <c r="A881">
        <v>182636324</v>
      </c>
      <c r="B881" s="1">
        <v>44932</v>
      </c>
      <c r="C881" s="1">
        <v>44960</v>
      </c>
      <c r="D881">
        <v>39</v>
      </c>
      <c r="E881" t="s">
        <v>6</v>
      </c>
      <c r="F881" t="s">
        <v>7</v>
      </c>
    </row>
    <row r="882" spans="1:6" x14ac:dyDescent="0.3">
      <c r="A882">
        <v>170485769</v>
      </c>
      <c r="B882" s="1">
        <v>44932</v>
      </c>
      <c r="C882" s="1">
        <v>44932</v>
      </c>
      <c r="D882">
        <v>39</v>
      </c>
      <c r="E882" t="s">
        <v>6</v>
      </c>
      <c r="F882" t="s">
        <v>7</v>
      </c>
    </row>
    <row r="883" spans="1:6" x14ac:dyDescent="0.3">
      <c r="A883">
        <v>182627508</v>
      </c>
      <c r="B883" s="1">
        <v>44932</v>
      </c>
      <c r="C883" s="1">
        <v>44932</v>
      </c>
      <c r="D883">
        <v>39</v>
      </c>
      <c r="E883" t="s">
        <v>6</v>
      </c>
      <c r="F883" t="s">
        <v>7</v>
      </c>
    </row>
    <row r="884" spans="1:6" x14ac:dyDescent="0.3">
      <c r="A884">
        <v>182834016</v>
      </c>
      <c r="B884" s="1">
        <v>44933</v>
      </c>
      <c r="C884" s="1">
        <v>45091</v>
      </c>
      <c r="D884">
        <v>39</v>
      </c>
      <c r="E884" t="s">
        <v>6</v>
      </c>
      <c r="F884" t="s">
        <v>7</v>
      </c>
    </row>
    <row r="885" spans="1:6" x14ac:dyDescent="0.3">
      <c r="A885">
        <v>163535855</v>
      </c>
      <c r="B885" s="1">
        <v>44933</v>
      </c>
      <c r="C885" s="1">
        <v>45098</v>
      </c>
      <c r="D885">
        <v>39</v>
      </c>
      <c r="E885" t="s">
        <v>6</v>
      </c>
      <c r="F885" t="s">
        <v>7</v>
      </c>
    </row>
    <row r="886" spans="1:6" x14ac:dyDescent="0.3">
      <c r="A886">
        <v>183002853</v>
      </c>
      <c r="B886" s="1">
        <v>44933</v>
      </c>
      <c r="C886" s="1">
        <v>45024</v>
      </c>
      <c r="D886">
        <v>39</v>
      </c>
      <c r="E886" t="s">
        <v>6</v>
      </c>
      <c r="F886" t="s">
        <v>7</v>
      </c>
    </row>
    <row r="887" spans="1:6" x14ac:dyDescent="0.3">
      <c r="A887">
        <v>148338824</v>
      </c>
      <c r="B887" s="1">
        <v>44933</v>
      </c>
      <c r="C887" s="1">
        <v>44964</v>
      </c>
      <c r="D887">
        <v>39</v>
      </c>
      <c r="E887" t="s">
        <v>6</v>
      </c>
      <c r="F887" t="s">
        <v>7</v>
      </c>
    </row>
    <row r="888" spans="1:6" x14ac:dyDescent="0.3">
      <c r="A888">
        <v>181712692</v>
      </c>
      <c r="B888" s="1">
        <v>44933</v>
      </c>
      <c r="C888" s="1">
        <v>44933</v>
      </c>
      <c r="D888">
        <v>39</v>
      </c>
      <c r="E888" t="s">
        <v>6</v>
      </c>
      <c r="F888" t="s">
        <v>7</v>
      </c>
    </row>
    <row r="889" spans="1:6" x14ac:dyDescent="0.3">
      <c r="A889">
        <v>181770777</v>
      </c>
      <c r="B889" s="1">
        <v>44934</v>
      </c>
      <c r="D889">
        <v>39</v>
      </c>
      <c r="E889" t="s">
        <v>6</v>
      </c>
      <c r="F889" t="s">
        <v>7</v>
      </c>
    </row>
    <row r="890" spans="1:6" x14ac:dyDescent="0.3">
      <c r="A890">
        <v>161269602</v>
      </c>
      <c r="B890" s="1">
        <v>44934</v>
      </c>
      <c r="C890" s="1">
        <v>44934</v>
      </c>
      <c r="D890">
        <v>39</v>
      </c>
      <c r="E890" t="s">
        <v>6</v>
      </c>
      <c r="F890" t="s">
        <v>7</v>
      </c>
    </row>
    <row r="891" spans="1:6" x14ac:dyDescent="0.3">
      <c r="A891">
        <v>145799416</v>
      </c>
      <c r="B891" s="1">
        <v>44934</v>
      </c>
      <c r="C891" s="1">
        <v>44967</v>
      </c>
      <c r="D891">
        <v>39</v>
      </c>
      <c r="E891" t="s">
        <v>6</v>
      </c>
      <c r="F891" t="s">
        <v>7</v>
      </c>
    </row>
    <row r="892" spans="1:6" x14ac:dyDescent="0.3">
      <c r="A892">
        <v>182753953</v>
      </c>
      <c r="B892" s="1">
        <v>44934</v>
      </c>
      <c r="C892" s="1">
        <v>45019</v>
      </c>
      <c r="D892">
        <v>39</v>
      </c>
      <c r="E892" t="s">
        <v>6</v>
      </c>
      <c r="F892" t="s">
        <v>7</v>
      </c>
    </row>
    <row r="893" spans="1:6" x14ac:dyDescent="0.3">
      <c r="A893">
        <v>162944728</v>
      </c>
      <c r="B893" s="1">
        <v>44934</v>
      </c>
      <c r="C893" s="1">
        <v>44986</v>
      </c>
      <c r="D893">
        <v>39</v>
      </c>
      <c r="E893" t="s">
        <v>6</v>
      </c>
      <c r="F893" t="s">
        <v>7</v>
      </c>
    </row>
    <row r="894" spans="1:6" x14ac:dyDescent="0.3">
      <c r="A894">
        <v>161249852</v>
      </c>
      <c r="B894" s="1">
        <v>44934</v>
      </c>
      <c r="C894" s="1">
        <v>44941</v>
      </c>
      <c r="D894">
        <v>39</v>
      </c>
      <c r="E894" t="s">
        <v>6</v>
      </c>
      <c r="F894" t="s">
        <v>7</v>
      </c>
    </row>
    <row r="895" spans="1:6" x14ac:dyDescent="0.3">
      <c r="A895">
        <v>183916833</v>
      </c>
      <c r="B895" s="1">
        <v>44935</v>
      </c>
      <c r="D895">
        <v>39</v>
      </c>
      <c r="E895" t="s">
        <v>6</v>
      </c>
      <c r="F895" t="s">
        <v>7</v>
      </c>
    </row>
    <row r="896" spans="1:6" x14ac:dyDescent="0.3">
      <c r="A896">
        <v>169141612</v>
      </c>
      <c r="B896" s="1">
        <v>44935</v>
      </c>
      <c r="C896" s="1">
        <v>44936</v>
      </c>
      <c r="D896">
        <v>39</v>
      </c>
      <c r="E896" t="s">
        <v>6</v>
      </c>
      <c r="F896" t="s">
        <v>8</v>
      </c>
    </row>
    <row r="897" spans="1:6" x14ac:dyDescent="0.3">
      <c r="A897">
        <v>128768010</v>
      </c>
      <c r="B897" s="1">
        <v>44935</v>
      </c>
      <c r="C897" s="1">
        <v>44938</v>
      </c>
      <c r="D897">
        <v>39</v>
      </c>
      <c r="E897" t="s">
        <v>6</v>
      </c>
      <c r="F897" t="s">
        <v>7</v>
      </c>
    </row>
    <row r="898" spans="1:6" x14ac:dyDescent="0.3">
      <c r="A898">
        <v>138520918</v>
      </c>
      <c r="B898" s="1">
        <v>44935</v>
      </c>
      <c r="C898" s="1">
        <v>44935</v>
      </c>
      <c r="D898">
        <v>39</v>
      </c>
      <c r="E898" t="s">
        <v>6</v>
      </c>
      <c r="F898" t="s">
        <v>7</v>
      </c>
    </row>
    <row r="899" spans="1:6" x14ac:dyDescent="0.3">
      <c r="A899">
        <v>162946328</v>
      </c>
      <c r="B899" s="1">
        <v>44935</v>
      </c>
      <c r="C899" s="1">
        <v>45054</v>
      </c>
      <c r="D899">
        <v>39</v>
      </c>
      <c r="E899" t="s">
        <v>6</v>
      </c>
      <c r="F899" t="s">
        <v>7</v>
      </c>
    </row>
    <row r="900" spans="1:6" x14ac:dyDescent="0.3">
      <c r="A900">
        <v>182929556</v>
      </c>
      <c r="B900" s="1">
        <v>44935</v>
      </c>
      <c r="C900" s="1">
        <v>45026</v>
      </c>
      <c r="D900">
        <v>39</v>
      </c>
      <c r="E900" t="s">
        <v>6</v>
      </c>
      <c r="F900" t="s">
        <v>7</v>
      </c>
    </row>
    <row r="901" spans="1:6" x14ac:dyDescent="0.3">
      <c r="A901">
        <v>153704184</v>
      </c>
      <c r="B901" s="1">
        <v>44935</v>
      </c>
      <c r="C901" s="1">
        <v>45024</v>
      </c>
      <c r="D901">
        <v>39</v>
      </c>
      <c r="E901" t="s">
        <v>6</v>
      </c>
      <c r="F901" t="s">
        <v>7</v>
      </c>
    </row>
    <row r="902" spans="1:6" x14ac:dyDescent="0.3">
      <c r="A902">
        <v>136326172</v>
      </c>
      <c r="B902" s="1">
        <v>44935</v>
      </c>
      <c r="C902" s="1">
        <v>44993</v>
      </c>
      <c r="D902">
        <v>39</v>
      </c>
      <c r="E902" t="s">
        <v>6</v>
      </c>
      <c r="F902" t="s">
        <v>7</v>
      </c>
    </row>
    <row r="903" spans="1:6" x14ac:dyDescent="0.3">
      <c r="A903">
        <v>182505210</v>
      </c>
      <c r="B903" s="1">
        <v>44935</v>
      </c>
      <c r="C903" s="1">
        <v>44965</v>
      </c>
      <c r="D903">
        <v>39</v>
      </c>
      <c r="E903" t="s">
        <v>6</v>
      </c>
      <c r="F903" t="s">
        <v>7</v>
      </c>
    </row>
    <row r="904" spans="1:6" x14ac:dyDescent="0.3">
      <c r="A904">
        <v>184370857</v>
      </c>
      <c r="B904" s="1">
        <v>44936</v>
      </c>
      <c r="D904">
        <v>39</v>
      </c>
      <c r="E904" t="s">
        <v>6</v>
      </c>
      <c r="F904" t="s">
        <v>7</v>
      </c>
    </row>
    <row r="905" spans="1:6" x14ac:dyDescent="0.3">
      <c r="A905">
        <v>184310344</v>
      </c>
      <c r="B905" s="1">
        <v>44936</v>
      </c>
      <c r="C905" s="1">
        <v>45027</v>
      </c>
      <c r="D905">
        <v>39</v>
      </c>
      <c r="E905" t="s">
        <v>6</v>
      </c>
      <c r="F905" t="s">
        <v>7</v>
      </c>
    </row>
    <row r="906" spans="1:6" x14ac:dyDescent="0.3">
      <c r="A906">
        <v>183346055</v>
      </c>
      <c r="B906" s="1">
        <v>44936</v>
      </c>
      <c r="C906" s="1">
        <v>45002</v>
      </c>
      <c r="D906">
        <v>39</v>
      </c>
      <c r="E906" t="s">
        <v>6</v>
      </c>
      <c r="F906" t="s">
        <v>7</v>
      </c>
    </row>
    <row r="907" spans="1:6" x14ac:dyDescent="0.3">
      <c r="A907">
        <v>178952278</v>
      </c>
      <c r="B907" s="1">
        <v>44936</v>
      </c>
      <c r="C907" s="1">
        <v>44996</v>
      </c>
      <c r="D907">
        <v>39</v>
      </c>
      <c r="E907" t="s">
        <v>6</v>
      </c>
      <c r="F907" t="s">
        <v>7</v>
      </c>
    </row>
    <row r="908" spans="1:6" x14ac:dyDescent="0.3">
      <c r="A908">
        <v>184345202</v>
      </c>
      <c r="B908" s="1">
        <v>44936</v>
      </c>
      <c r="C908" s="1">
        <v>44980</v>
      </c>
      <c r="D908">
        <v>39</v>
      </c>
      <c r="E908" t="s">
        <v>6</v>
      </c>
      <c r="F908" t="s">
        <v>7</v>
      </c>
    </row>
    <row r="909" spans="1:6" x14ac:dyDescent="0.3">
      <c r="A909">
        <v>182837162</v>
      </c>
      <c r="B909" s="1">
        <v>44936</v>
      </c>
      <c r="C909" s="1">
        <v>44962</v>
      </c>
      <c r="D909">
        <v>39</v>
      </c>
      <c r="E909" t="s">
        <v>6</v>
      </c>
      <c r="F909" t="s">
        <v>7</v>
      </c>
    </row>
    <row r="910" spans="1:6" x14ac:dyDescent="0.3">
      <c r="A910">
        <v>182927038</v>
      </c>
      <c r="B910" s="1">
        <v>44936</v>
      </c>
      <c r="C910" s="1">
        <v>44975</v>
      </c>
      <c r="D910">
        <v>39</v>
      </c>
      <c r="E910" t="s">
        <v>6</v>
      </c>
      <c r="F910" t="s">
        <v>7</v>
      </c>
    </row>
    <row r="911" spans="1:6" x14ac:dyDescent="0.3">
      <c r="A911">
        <v>181739784</v>
      </c>
      <c r="B911" s="1">
        <v>44936</v>
      </c>
      <c r="C911" s="1">
        <v>44965</v>
      </c>
      <c r="D911">
        <v>39</v>
      </c>
      <c r="E911" t="s">
        <v>6</v>
      </c>
      <c r="F911" t="s">
        <v>7</v>
      </c>
    </row>
    <row r="912" spans="1:6" x14ac:dyDescent="0.3">
      <c r="A912">
        <v>178605410</v>
      </c>
      <c r="B912" s="1">
        <v>44936</v>
      </c>
      <c r="C912" s="1">
        <v>44974</v>
      </c>
      <c r="D912">
        <v>39</v>
      </c>
      <c r="E912" t="s">
        <v>6</v>
      </c>
      <c r="F912" t="s">
        <v>7</v>
      </c>
    </row>
    <row r="913" spans="1:6" x14ac:dyDescent="0.3">
      <c r="A913">
        <v>184334484</v>
      </c>
      <c r="B913" s="1">
        <v>44937</v>
      </c>
      <c r="D913">
        <v>39</v>
      </c>
      <c r="E913" t="s">
        <v>6</v>
      </c>
      <c r="F913" t="s">
        <v>7</v>
      </c>
    </row>
    <row r="914" spans="1:6" x14ac:dyDescent="0.3">
      <c r="A914">
        <v>181576265</v>
      </c>
      <c r="B914" s="1">
        <v>44937</v>
      </c>
      <c r="D914">
        <v>39</v>
      </c>
      <c r="E914" t="s">
        <v>6</v>
      </c>
      <c r="F914" t="s">
        <v>7</v>
      </c>
    </row>
    <row r="915" spans="1:6" x14ac:dyDescent="0.3">
      <c r="A915">
        <v>183645116</v>
      </c>
      <c r="B915" s="1">
        <v>44937</v>
      </c>
      <c r="D915">
        <v>39</v>
      </c>
      <c r="E915" t="s">
        <v>6</v>
      </c>
      <c r="F915" t="s">
        <v>7</v>
      </c>
    </row>
    <row r="916" spans="1:6" x14ac:dyDescent="0.3">
      <c r="A916">
        <v>184812094</v>
      </c>
      <c r="B916" s="1">
        <v>44937</v>
      </c>
      <c r="C916" s="1">
        <v>45023</v>
      </c>
      <c r="D916">
        <v>39</v>
      </c>
      <c r="E916" t="s">
        <v>6</v>
      </c>
      <c r="F916" t="s">
        <v>7</v>
      </c>
    </row>
    <row r="917" spans="1:6" x14ac:dyDescent="0.3">
      <c r="A917">
        <v>152089648</v>
      </c>
      <c r="B917" s="1">
        <v>44937</v>
      </c>
      <c r="C917" s="1">
        <v>45003</v>
      </c>
      <c r="D917">
        <v>39</v>
      </c>
      <c r="E917" t="s">
        <v>6</v>
      </c>
      <c r="F917" t="s">
        <v>7</v>
      </c>
    </row>
    <row r="918" spans="1:6" x14ac:dyDescent="0.3">
      <c r="A918">
        <v>148710968</v>
      </c>
      <c r="B918" s="1">
        <v>44937</v>
      </c>
      <c r="C918" s="1">
        <v>44964</v>
      </c>
      <c r="D918">
        <v>39</v>
      </c>
      <c r="E918" t="s">
        <v>6</v>
      </c>
      <c r="F918" t="s">
        <v>7</v>
      </c>
    </row>
    <row r="919" spans="1:6" x14ac:dyDescent="0.3">
      <c r="A919">
        <v>183197132</v>
      </c>
      <c r="B919" s="1">
        <v>44938</v>
      </c>
      <c r="D919">
        <v>39</v>
      </c>
      <c r="E919" t="s">
        <v>6</v>
      </c>
      <c r="F919" t="s">
        <v>7</v>
      </c>
    </row>
    <row r="920" spans="1:6" x14ac:dyDescent="0.3">
      <c r="A920">
        <v>156239744</v>
      </c>
      <c r="B920" s="1">
        <v>44938</v>
      </c>
      <c r="D920">
        <v>39</v>
      </c>
      <c r="E920" t="s">
        <v>6</v>
      </c>
      <c r="F920" t="s">
        <v>7</v>
      </c>
    </row>
    <row r="921" spans="1:6" x14ac:dyDescent="0.3">
      <c r="A921">
        <v>184481262</v>
      </c>
      <c r="B921" s="1">
        <v>44938</v>
      </c>
      <c r="D921">
        <v>39</v>
      </c>
      <c r="E921" t="s">
        <v>6</v>
      </c>
      <c r="F921" t="s">
        <v>7</v>
      </c>
    </row>
    <row r="922" spans="1:6" x14ac:dyDescent="0.3">
      <c r="A922">
        <v>153186137</v>
      </c>
      <c r="B922" s="1">
        <v>44938</v>
      </c>
      <c r="C922" s="1">
        <v>44939</v>
      </c>
      <c r="D922">
        <v>39</v>
      </c>
      <c r="E922" t="s">
        <v>6</v>
      </c>
      <c r="F922" t="s">
        <v>7</v>
      </c>
    </row>
    <row r="923" spans="1:6" x14ac:dyDescent="0.3">
      <c r="A923">
        <v>185374268</v>
      </c>
      <c r="B923" s="1">
        <v>44938</v>
      </c>
      <c r="C923" s="1">
        <v>44939</v>
      </c>
      <c r="D923">
        <v>39</v>
      </c>
      <c r="E923" t="s">
        <v>6</v>
      </c>
      <c r="F923" t="s">
        <v>8</v>
      </c>
    </row>
    <row r="924" spans="1:6" x14ac:dyDescent="0.3">
      <c r="A924">
        <v>185367349</v>
      </c>
      <c r="B924" s="1">
        <v>44938</v>
      </c>
      <c r="C924" s="1">
        <v>44939</v>
      </c>
      <c r="D924">
        <v>39</v>
      </c>
      <c r="E924" t="s">
        <v>6</v>
      </c>
      <c r="F924" t="s">
        <v>8</v>
      </c>
    </row>
    <row r="925" spans="1:6" x14ac:dyDescent="0.3">
      <c r="A925">
        <v>150793080</v>
      </c>
      <c r="B925" s="1">
        <v>44938</v>
      </c>
      <c r="C925" s="1">
        <v>44986</v>
      </c>
      <c r="D925">
        <v>39</v>
      </c>
      <c r="E925" t="s">
        <v>6</v>
      </c>
      <c r="F925" t="s">
        <v>7</v>
      </c>
    </row>
    <row r="926" spans="1:6" x14ac:dyDescent="0.3">
      <c r="A926">
        <v>183406772</v>
      </c>
      <c r="B926" s="1">
        <v>44938</v>
      </c>
      <c r="C926" s="1">
        <v>44990</v>
      </c>
      <c r="D926">
        <v>39</v>
      </c>
      <c r="E926" t="s">
        <v>6</v>
      </c>
      <c r="F926" t="s">
        <v>7</v>
      </c>
    </row>
    <row r="927" spans="1:6" x14ac:dyDescent="0.3">
      <c r="A927">
        <v>175760281</v>
      </c>
      <c r="B927" s="1">
        <v>44938</v>
      </c>
      <c r="C927" s="1">
        <v>44969</v>
      </c>
      <c r="D927">
        <v>39</v>
      </c>
      <c r="E927" t="s">
        <v>6</v>
      </c>
      <c r="F927" t="s">
        <v>7</v>
      </c>
    </row>
    <row r="928" spans="1:6" x14ac:dyDescent="0.3">
      <c r="A928">
        <v>162095012</v>
      </c>
      <c r="B928" s="1">
        <v>44938</v>
      </c>
      <c r="C928" s="1">
        <v>44951</v>
      </c>
      <c r="D928">
        <v>39</v>
      </c>
      <c r="E928" t="s">
        <v>6</v>
      </c>
      <c r="F928" t="s">
        <v>7</v>
      </c>
    </row>
    <row r="929" spans="1:6" x14ac:dyDescent="0.3">
      <c r="A929">
        <v>179356036</v>
      </c>
      <c r="B929" s="1">
        <v>44938</v>
      </c>
      <c r="C929" s="1">
        <v>44938</v>
      </c>
      <c r="D929">
        <v>39</v>
      </c>
      <c r="E929" t="s">
        <v>6</v>
      </c>
      <c r="F929" t="s">
        <v>7</v>
      </c>
    </row>
    <row r="930" spans="1:6" x14ac:dyDescent="0.3">
      <c r="A930">
        <v>184567432</v>
      </c>
      <c r="B930" s="1">
        <v>44938</v>
      </c>
      <c r="C930" s="1">
        <v>44949</v>
      </c>
      <c r="D930">
        <v>39</v>
      </c>
      <c r="E930" t="s">
        <v>6</v>
      </c>
      <c r="F930" t="s">
        <v>7</v>
      </c>
    </row>
    <row r="931" spans="1:6" x14ac:dyDescent="0.3">
      <c r="A931">
        <v>185503171</v>
      </c>
      <c r="B931" s="1">
        <v>44938</v>
      </c>
      <c r="C931" s="1">
        <v>45112</v>
      </c>
      <c r="D931">
        <v>39</v>
      </c>
      <c r="E931" t="s">
        <v>6</v>
      </c>
      <c r="F931" t="s">
        <v>7</v>
      </c>
    </row>
    <row r="932" spans="1:6" x14ac:dyDescent="0.3">
      <c r="A932">
        <v>171922477</v>
      </c>
      <c r="B932" s="1">
        <v>44938</v>
      </c>
      <c r="C932" s="1">
        <v>45105</v>
      </c>
      <c r="D932">
        <v>39</v>
      </c>
      <c r="E932" t="s">
        <v>6</v>
      </c>
      <c r="F932" t="s">
        <v>7</v>
      </c>
    </row>
    <row r="933" spans="1:6" x14ac:dyDescent="0.3">
      <c r="A933">
        <v>144830936</v>
      </c>
      <c r="B933" s="1">
        <v>44938</v>
      </c>
      <c r="C933" s="1">
        <v>45134</v>
      </c>
      <c r="D933">
        <v>39</v>
      </c>
      <c r="E933" t="s">
        <v>6</v>
      </c>
      <c r="F933" t="s">
        <v>7</v>
      </c>
    </row>
    <row r="934" spans="1:6" x14ac:dyDescent="0.3">
      <c r="A934">
        <v>157474087</v>
      </c>
      <c r="B934" s="1">
        <v>44939</v>
      </c>
      <c r="D934">
        <v>39</v>
      </c>
      <c r="E934" t="s">
        <v>6</v>
      </c>
      <c r="F934" t="s">
        <v>7</v>
      </c>
    </row>
    <row r="935" spans="1:6" x14ac:dyDescent="0.3">
      <c r="A935">
        <v>182350116</v>
      </c>
      <c r="B935" s="1">
        <v>44939</v>
      </c>
      <c r="D935">
        <v>39</v>
      </c>
      <c r="E935" t="s">
        <v>6</v>
      </c>
      <c r="F935" t="s">
        <v>7</v>
      </c>
    </row>
    <row r="936" spans="1:6" x14ac:dyDescent="0.3">
      <c r="A936">
        <v>132867770</v>
      </c>
      <c r="B936" s="1">
        <v>44939</v>
      </c>
      <c r="C936" s="1">
        <v>44940</v>
      </c>
      <c r="D936">
        <v>39</v>
      </c>
      <c r="E936" t="s">
        <v>6</v>
      </c>
      <c r="F936" t="s">
        <v>7</v>
      </c>
    </row>
    <row r="937" spans="1:6" x14ac:dyDescent="0.3">
      <c r="A937">
        <v>185561880</v>
      </c>
      <c r="B937" s="1">
        <v>44939</v>
      </c>
      <c r="C937" s="1">
        <v>44940</v>
      </c>
      <c r="D937">
        <v>39</v>
      </c>
      <c r="E937" t="s">
        <v>6</v>
      </c>
      <c r="F937" t="s">
        <v>8</v>
      </c>
    </row>
    <row r="938" spans="1:6" x14ac:dyDescent="0.3">
      <c r="A938">
        <v>168884196</v>
      </c>
      <c r="B938" s="1">
        <v>44939</v>
      </c>
      <c r="C938" s="1">
        <v>45022</v>
      </c>
      <c r="D938">
        <v>39</v>
      </c>
      <c r="E938" t="s">
        <v>6</v>
      </c>
      <c r="F938" t="s">
        <v>7</v>
      </c>
    </row>
    <row r="939" spans="1:6" x14ac:dyDescent="0.3">
      <c r="A939">
        <v>161269602</v>
      </c>
      <c r="B939" s="1">
        <v>44939</v>
      </c>
      <c r="C939" s="1">
        <v>44977</v>
      </c>
      <c r="D939">
        <v>39</v>
      </c>
      <c r="E939" t="s">
        <v>6</v>
      </c>
      <c r="F939" t="s">
        <v>7</v>
      </c>
    </row>
    <row r="940" spans="1:6" x14ac:dyDescent="0.3">
      <c r="A940">
        <v>185729058</v>
      </c>
      <c r="B940" s="1">
        <v>44940</v>
      </c>
      <c r="C940" s="1">
        <v>45052</v>
      </c>
      <c r="D940">
        <v>39</v>
      </c>
      <c r="E940" t="s">
        <v>6</v>
      </c>
      <c r="F940" t="s">
        <v>7</v>
      </c>
    </row>
    <row r="941" spans="1:6" x14ac:dyDescent="0.3">
      <c r="A941">
        <v>182527446</v>
      </c>
      <c r="B941" s="1">
        <v>44940</v>
      </c>
      <c r="C941" s="1">
        <v>45050</v>
      </c>
      <c r="D941">
        <v>39</v>
      </c>
      <c r="E941" t="s">
        <v>6</v>
      </c>
      <c r="F941" t="s">
        <v>7</v>
      </c>
    </row>
    <row r="942" spans="1:6" x14ac:dyDescent="0.3">
      <c r="A942">
        <v>151217806</v>
      </c>
      <c r="B942" s="1">
        <v>44940</v>
      </c>
      <c r="C942" s="1">
        <v>44990</v>
      </c>
      <c r="D942">
        <v>39</v>
      </c>
      <c r="E942" t="s">
        <v>6</v>
      </c>
      <c r="F942" t="s">
        <v>7</v>
      </c>
    </row>
    <row r="943" spans="1:6" x14ac:dyDescent="0.3">
      <c r="A943">
        <v>181789030</v>
      </c>
      <c r="B943" s="1">
        <v>44940</v>
      </c>
      <c r="C943" s="1">
        <v>44962</v>
      </c>
      <c r="D943">
        <v>39</v>
      </c>
      <c r="E943" t="s">
        <v>6</v>
      </c>
      <c r="F943" t="s">
        <v>7</v>
      </c>
    </row>
    <row r="944" spans="1:6" x14ac:dyDescent="0.3">
      <c r="A944">
        <v>167939138</v>
      </c>
      <c r="B944" s="1">
        <v>44940</v>
      </c>
      <c r="C944" s="1">
        <v>45118</v>
      </c>
      <c r="D944">
        <v>39</v>
      </c>
      <c r="E944" t="s">
        <v>6</v>
      </c>
      <c r="F944" t="s">
        <v>7</v>
      </c>
    </row>
    <row r="945" spans="1:6" x14ac:dyDescent="0.3">
      <c r="A945">
        <v>168531226</v>
      </c>
      <c r="B945" s="1">
        <v>44940</v>
      </c>
      <c r="C945" s="1">
        <v>45151</v>
      </c>
      <c r="D945">
        <v>39</v>
      </c>
      <c r="E945" t="s">
        <v>6</v>
      </c>
      <c r="F945" t="s">
        <v>7</v>
      </c>
    </row>
    <row r="946" spans="1:6" x14ac:dyDescent="0.3">
      <c r="A946">
        <v>183965840</v>
      </c>
      <c r="B946" s="1">
        <v>44941</v>
      </c>
      <c r="D946">
        <v>39</v>
      </c>
      <c r="E946" t="s">
        <v>6</v>
      </c>
      <c r="F946" t="s">
        <v>7</v>
      </c>
    </row>
    <row r="947" spans="1:6" x14ac:dyDescent="0.3">
      <c r="A947">
        <v>185522938</v>
      </c>
      <c r="B947" s="1">
        <v>44941</v>
      </c>
      <c r="C947" s="1">
        <v>45049</v>
      </c>
      <c r="D947">
        <v>39</v>
      </c>
      <c r="E947" t="s">
        <v>6</v>
      </c>
      <c r="F947" t="s">
        <v>7</v>
      </c>
    </row>
    <row r="948" spans="1:6" x14ac:dyDescent="0.3">
      <c r="A948">
        <v>186413122</v>
      </c>
      <c r="B948" s="1">
        <v>44941</v>
      </c>
      <c r="C948" s="1">
        <v>45048</v>
      </c>
      <c r="D948">
        <v>39</v>
      </c>
      <c r="E948" t="s">
        <v>6</v>
      </c>
      <c r="F948" t="s">
        <v>7</v>
      </c>
    </row>
    <row r="949" spans="1:6" x14ac:dyDescent="0.3">
      <c r="A949">
        <v>186481916</v>
      </c>
      <c r="B949" s="1">
        <v>44941</v>
      </c>
      <c r="C949" s="1">
        <v>45032</v>
      </c>
      <c r="D949">
        <v>39</v>
      </c>
      <c r="E949" t="s">
        <v>6</v>
      </c>
      <c r="F949" t="s">
        <v>7</v>
      </c>
    </row>
    <row r="950" spans="1:6" x14ac:dyDescent="0.3">
      <c r="A950">
        <v>186177212</v>
      </c>
      <c r="B950" s="1">
        <v>44941</v>
      </c>
      <c r="C950" s="1">
        <v>44992</v>
      </c>
      <c r="D950">
        <v>39</v>
      </c>
      <c r="E950" t="s">
        <v>6</v>
      </c>
      <c r="F950" t="s">
        <v>7</v>
      </c>
    </row>
    <row r="951" spans="1:6" x14ac:dyDescent="0.3">
      <c r="A951">
        <v>184809175</v>
      </c>
      <c r="B951" s="1">
        <v>44941</v>
      </c>
      <c r="C951" s="1">
        <v>44992</v>
      </c>
      <c r="D951">
        <v>39</v>
      </c>
      <c r="E951" t="s">
        <v>6</v>
      </c>
      <c r="F951" t="s">
        <v>7</v>
      </c>
    </row>
    <row r="952" spans="1:6" x14ac:dyDescent="0.3">
      <c r="A952">
        <v>186690790</v>
      </c>
      <c r="B952" s="1">
        <v>44941</v>
      </c>
      <c r="C952" s="1">
        <v>44997</v>
      </c>
      <c r="D952">
        <v>39</v>
      </c>
      <c r="E952" t="s">
        <v>6</v>
      </c>
      <c r="F952" t="s">
        <v>7</v>
      </c>
    </row>
    <row r="953" spans="1:6" x14ac:dyDescent="0.3">
      <c r="A953">
        <v>185711685</v>
      </c>
      <c r="B953" s="1">
        <v>44941</v>
      </c>
      <c r="C953" s="1">
        <v>44963</v>
      </c>
      <c r="D953">
        <v>39</v>
      </c>
      <c r="E953" t="s">
        <v>6</v>
      </c>
      <c r="F953" t="s">
        <v>7</v>
      </c>
    </row>
    <row r="954" spans="1:6" x14ac:dyDescent="0.3">
      <c r="A954">
        <v>179509273</v>
      </c>
      <c r="B954" s="1">
        <v>44941</v>
      </c>
      <c r="C954" s="1">
        <v>45107</v>
      </c>
      <c r="D954">
        <v>39</v>
      </c>
      <c r="E954" t="s">
        <v>6</v>
      </c>
      <c r="F954" t="s">
        <v>7</v>
      </c>
    </row>
    <row r="955" spans="1:6" x14ac:dyDescent="0.3">
      <c r="A955">
        <v>186770408</v>
      </c>
      <c r="B955" s="1">
        <v>44942</v>
      </c>
      <c r="D955">
        <v>39</v>
      </c>
      <c r="E955" t="s">
        <v>6</v>
      </c>
      <c r="F955" t="s">
        <v>7</v>
      </c>
    </row>
    <row r="956" spans="1:6" x14ac:dyDescent="0.3">
      <c r="A956">
        <v>181025165</v>
      </c>
      <c r="B956" s="1">
        <v>44942</v>
      </c>
      <c r="D956">
        <v>39</v>
      </c>
      <c r="E956" t="s">
        <v>6</v>
      </c>
      <c r="F956" t="s">
        <v>7</v>
      </c>
    </row>
    <row r="957" spans="1:6" x14ac:dyDescent="0.3">
      <c r="A957">
        <v>157919304</v>
      </c>
      <c r="B957" s="1">
        <v>44942</v>
      </c>
      <c r="C957" s="1">
        <v>45062</v>
      </c>
      <c r="D957">
        <v>39</v>
      </c>
      <c r="E957" t="s">
        <v>6</v>
      </c>
      <c r="F957" t="s">
        <v>7</v>
      </c>
    </row>
    <row r="958" spans="1:6" x14ac:dyDescent="0.3">
      <c r="A958">
        <v>187051266</v>
      </c>
      <c r="B958" s="1">
        <v>44942</v>
      </c>
      <c r="C958" s="1">
        <v>45077</v>
      </c>
      <c r="D958">
        <v>39</v>
      </c>
      <c r="E958" t="s">
        <v>6</v>
      </c>
      <c r="F958" t="s">
        <v>7</v>
      </c>
    </row>
    <row r="959" spans="1:6" x14ac:dyDescent="0.3">
      <c r="A959">
        <v>179713052</v>
      </c>
      <c r="B959" s="1">
        <v>44942</v>
      </c>
      <c r="C959" s="1">
        <v>45031</v>
      </c>
      <c r="D959">
        <v>39</v>
      </c>
      <c r="E959" t="s">
        <v>6</v>
      </c>
      <c r="F959" t="s">
        <v>7</v>
      </c>
    </row>
    <row r="960" spans="1:6" x14ac:dyDescent="0.3">
      <c r="A960">
        <v>185431487</v>
      </c>
      <c r="B960" s="1">
        <v>44942</v>
      </c>
      <c r="C960" s="1">
        <v>45042</v>
      </c>
      <c r="D960">
        <v>39</v>
      </c>
      <c r="E960" t="s">
        <v>6</v>
      </c>
      <c r="F960" t="s">
        <v>7</v>
      </c>
    </row>
    <row r="961" spans="1:6" x14ac:dyDescent="0.3">
      <c r="A961">
        <v>157929345</v>
      </c>
      <c r="B961" s="1">
        <v>44942</v>
      </c>
      <c r="C961" s="1">
        <v>45023</v>
      </c>
      <c r="D961">
        <v>39</v>
      </c>
      <c r="E961" t="s">
        <v>6</v>
      </c>
      <c r="F961" t="s">
        <v>7</v>
      </c>
    </row>
    <row r="962" spans="1:6" x14ac:dyDescent="0.3">
      <c r="A962">
        <v>154087095</v>
      </c>
      <c r="B962" s="1">
        <v>44942</v>
      </c>
      <c r="C962" s="1">
        <v>44998</v>
      </c>
      <c r="D962">
        <v>39</v>
      </c>
      <c r="E962" t="s">
        <v>6</v>
      </c>
      <c r="F962" t="s">
        <v>7</v>
      </c>
    </row>
    <row r="963" spans="1:6" x14ac:dyDescent="0.3">
      <c r="A963">
        <v>186674235</v>
      </c>
      <c r="B963" s="1">
        <v>44942</v>
      </c>
      <c r="C963" s="1">
        <v>44999</v>
      </c>
      <c r="D963">
        <v>39</v>
      </c>
      <c r="E963" t="s">
        <v>6</v>
      </c>
      <c r="F963" t="s">
        <v>7</v>
      </c>
    </row>
    <row r="964" spans="1:6" x14ac:dyDescent="0.3">
      <c r="A964">
        <v>182656156</v>
      </c>
      <c r="B964" s="1">
        <v>44942</v>
      </c>
      <c r="C964" s="1">
        <v>44972</v>
      </c>
      <c r="D964">
        <v>39</v>
      </c>
      <c r="E964" t="s">
        <v>6</v>
      </c>
      <c r="F964" t="s">
        <v>7</v>
      </c>
    </row>
    <row r="965" spans="1:6" x14ac:dyDescent="0.3">
      <c r="A965">
        <v>170319875</v>
      </c>
      <c r="B965" s="1">
        <v>44942</v>
      </c>
      <c r="C965" s="1">
        <v>44942</v>
      </c>
      <c r="D965">
        <v>39</v>
      </c>
      <c r="E965" t="s">
        <v>6</v>
      </c>
      <c r="F965" t="s">
        <v>7</v>
      </c>
    </row>
    <row r="966" spans="1:6" x14ac:dyDescent="0.3">
      <c r="A966">
        <v>188226033</v>
      </c>
      <c r="B966" s="1">
        <v>44943</v>
      </c>
      <c r="D966">
        <v>39</v>
      </c>
      <c r="E966" t="s">
        <v>6</v>
      </c>
      <c r="F966" t="s">
        <v>8</v>
      </c>
    </row>
    <row r="967" spans="1:6" x14ac:dyDescent="0.3">
      <c r="A967">
        <v>188137320</v>
      </c>
      <c r="B967" s="1">
        <v>44943</v>
      </c>
      <c r="D967">
        <v>39</v>
      </c>
      <c r="E967" t="s">
        <v>6</v>
      </c>
      <c r="F967" t="s">
        <v>8</v>
      </c>
    </row>
    <row r="968" spans="1:6" x14ac:dyDescent="0.3">
      <c r="A968">
        <v>163220556</v>
      </c>
      <c r="B968" s="1">
        <v>44943</v>
      </c>
      <c r="C968" s="1">
        <v>44944</v>
      </c>
      <c r="D968">
        <v>39</v>
      </c>
      <c r="E968" t="s">
        <v>6</v>
      </c>
      <c r="F968" t="s">
        <v>7</v>
      </c>
    </row>
    <row r="969" spans="1:6" x14ac:dyDescent="0.3">
      <c r="A969">
        <v>182960960</v>
      </c>
      <c r="B969" s="1">
        <v>44943</v>
      </c>
      <c r="C969" s="1">
        <v>45009</v>
      </c>
      <c r="D969">
        <v>39</v>
      </c>
      <c r="E969" t="s">
        <v>6</v>
      </c>
      <c r="F969" t="s">
        <v>7</v>
      </c>
    </row>
    <row r="970" spans="1:6" x14ac:dyDescent="0.3">
      <c r="A970">
        <v>188175982</v>
      </c>
      <c r="B970" s="1">
        <v>44943</v>
      </c>
      <c r="C970" s="1">
        <v>44974</v>
      </c>
      <c r="D970">
        <v>39</v>
      </c>
      <c r="E970" t="s">
        <v>6</v>
      </c>
      <c r="F970" t="s">
        <v>7</v>
      </c>
    </row>
    <row r="971" spans="1:6" x14ac:dyDescent="0.3">
      <c r="A971">
        <v>169729060</v>
      </c>
      <c r="B971" s="1">
        <v>44943</v>
      </c>
      <c r="C971" s="1">
        <v>44976</v>
      </c>
      <c r="D971">
        <v>39</v>
      </c>
      <c r="E971" t="s">
        <v>6</v>
      </c>
      <c r="F971" t="s">
        <v>7</v>
      </c>
    </row>
    <row r="972" spans="1:6" x14ac:dyDescent="0.3">
      <c r="A972">
        <v>186841270</v>
      </c>
      <c r="B972" s="1">
        <v>44943</v>
      </c>
      <c r="C972" s="1">
        <v>44981</v>
      </c>
      <c r="D972">
        <v>39</v>
      </c>
      <c r="E972" t="s">
        <v>6</v>
      </c>
      <c r="F972" t="s">
        <v>7</v>
      </c>
    </row>
    <row r="973" spans="1:6" x14ac:dyDescent="0.3">
      <c r="A973">
        <v>154563993</v>
      </c>
      <c r="B973" s="1">
        <v>44943</v>
      </c>
      <c r="C973" s="1">
        <v>44982</v>
      </c>
      <c r="D973">
        <v>39</v>
      </c>
      <c r="E973" t="s">
        <v>6</v>
      </c>
      <c r="F973" t="s">
        <v>7</v>
      </c>
    </row>
    <row r="974" spans="1:6" x14ac:dyDescent="0.3">
      <c r="A974">
        <v>159767828</v>
      </c>
      <c r="B974" s="1">
        <v>44943</v>
      </c>
      <c r="C974" s="1">
        <v>44981</v>
      </c>
      <c r="D974">
        <v>39</v>
      </c>
      <c r="E974" t="s">
        <v>6</v>
      </c>
      <c r="F974" t="s">
        <v>7</v>
      </c>
    </row>
    <row r="975" spans="1:6" x14ac:dyDescent="0.3">
      <c r="A975">
        <v>183186612</v>
      </c>
      <c r="B975" s="1">
        <v>44943</v>
      </c>
      <c r="C975" s="1">
        <v>45135</v>
      </c>
      <c r="D975">
        <v>39</v>
      </c>
      <c r="E975" t="s">
        <v>6</v>
      </c>
      <c r="F975" t="s">
        <v>7</v>
      </c>
    </row>
    <row r="976" spans="1:6" x14ac:dyDescent="0.3">
      <c r="A976">
        <v>128603349</v>
      </c>
      <c r="B976" s="1">
        <v>44944</v>
      </c>
      <c r="D976">
        <v>39</v>
      </c>
      <c r="E976" t="s">
        <v>6</v>
      </c>
      <c r="F976" t="s">
        <v>7</v>
      </c>
    </row>
    <row r="977" spans="1:6" x14ac:dyDescent="0.3">
      <c r="A977">
        <v>183736457</v>
      </c>
      <c r="B977" s="1">
        <v>44944</v>
      </c>
      <c r="C977" s="1">
        <v>44945</v>
      </c>
      <c r="D977">
        <v>39</v>
      </c>
      <c r="E977" t="s">
        <v>6</v>
      </c>
      <c r="F977" t="s">
        <v>8</v>
      </c>
    </row>
    <row r="978" spans="1:6" x14ac:dyDescent="0.3">
      <c r="A978">
        <v>188115641</v>
      </c>
      <c r="B978" s="1">
        <v>44944</v>
      </c>
      <c r="C978" s="1">
        <v>44944</v>
      </c>
      <c r="D978">
        <v>39</v>
      </c>
      <c r="E978" t="s">
        <v>6</v>
      </c>
      <c r="F978" t="s">
        <v>8</v>
      </c>
    </row>
    <row r="979" spans="1:6" x14ac:dyDescent="0.3">
      <c r="A979">
        <v>188460699</v>
      </c>
      <c r="B979" s="1">
        <v>44944</v>
      </c>
      <c r="C979" s="1">
        <v>44944</v>
      </c>
      <c r="D979">
        <v>39</v>
      </c>
      <c r="E979" t="s">
        <v>6</v>
      </c>
      <c r="F979" t="s">
        <v>8</v>
      </c>
    </row>
    <row r="980" spans="1:6" x14ac:dyDescent="0.3">
      <c r="A980">
        <v>138228332</v>
      </c>
      <c r="B980" s="1">
        <v>44944</v>
      </c>
      <c r="C980" s="1">
        <v>44982</v>
      </c>
      <c r="D980">
        <v>39</v>
      </c>
      <c r="E980" t="s">
        <v>6</v>
      </c>
      <c r="F980" t="s">
        <v>7</v>
      </c>
    </row>
    <row r="981" spans="1:6" x14ac:dyDescent="0.3">
      <c r="A981">
        <v>184143564</v>
      </c>
      <c r="B981" s="1">
        <v>44944</v>
      </c>
      <c r="C981" s="1">
        <v>45068</v>
      </c>
      <c r="D981">
        <v>39</v>
      </c>
      <c r="E981" t="s">
        <v>6</v>
      </c>
      <c r="F981" t="s">
        <v>7</v>
      </c>
    </row>
    <row r="982" spans="1:6" x14ac:dyDescent="0.3">
      <c r="A982">
        <v>179508142</v>
      </c>
      <c r="B982" s="1">
        <v>44944</v>
      </c>
      <c r="C982" s="1">
        <v>45090</v>
      </c>
      <c r="D982">
        <v>39</v>
      </c>
      <c r="E982" t="s">
        <v>6</v>
      </c>
      <c r="F982" t="s">
        <v>7</v>
      </c>
    </row>
    <row r="983" spans="1:6" x14ac:dyDescent="0.3">
      <c r="A983">
        <v>188269607</v>
      </c>
      <c r="B983" s="1">
        <v>44944</v>
      </c>
      <c r="C983" s="1">
        <v>45032</v>
      </c>
      <c r="D983">
        <v>39</v>
      </c>
      <c r="E983" t="s">
        <v>6</v>
      </c>
      <c r="F983" t="s">
        <v>7</v>
      </c>
    </row>
    <row r="984" spans="1:6" x14ac:dyDescent="0.3">
      <c r="A984">
        <v>181890100</v>
      </c>
      <c r="B984" s="1">
        <v>44944</v>
      </c>
      <c r="C984" s="1">
        <v>45011</v>
      </c>
      <c r="D984">
        <v>39</v>
      </c>
      <c r="E984" t="s">
        <v>6</v>
      </c>
      <c r="F984" t="s">
        <v>7</v>
      </c>
    </row>
    <row r="985" spans="1:6" x14ac:dyDescent="0.3">
      <c r="A985">
        <v>185642830</v>
      </c>
      <c r="B985" s="1">
        <v>44944</v>
      </c>
      <c r="C985" s="1">
        <v>44999</v>
      </c>
      <c r="D985">
        <v>39</v>
      </c>
      <c r="E985" t="s">
        <v>6</v>
      </c>
      <c r="F985" t="s">
        <v>7</v>
      </c>
    </row>
    <row r="986" spans="1:6" x14ac:dyDescent="0.3">
      <c r="A986">
        <v>152223051</v>
      </c>
      <c r="B986" s="1">
        <v>44944</v>
      </c>
      <c r="C986" s="1">
        <v>44982</v>
      </c>
      <c r="D986">
        <v>39</v>
      </c>
      <c r="E986" t="s">
        <v>6</v>
      </c>
      <c r="F986" t="s">
        <v>7</v>
      </c>
    </row>
    <row r="987" spans="1:6" x14ac:dyDescent="0.3">
      <c r="A987">
        <v>156067850</v>
      </c>
      <c r="B987" s="1">
        <v>44944</v>
      </c>
      <c r="C987" s="1">
        <v>44975</v>
      </c>
      <c r="D987">
        <v>39</v>
      </c>
      <c r="E987" t="s">
        <v>6</v>
      </c>
      <c r="F987" t="s">
        <v>7</v>
      </c>
    </row>
    <row r="988" spans="1:6" x14ac:dyDescent="0.3">
      <c r="A988">
        <v>188701816</v>
      </c>
      <c r="B988" s="1">
        <v>44944</v>
      </c>
      <c r="C988" s="1">
        <v>44974</v>
      </c>
      <c r="D988">
        <v>39</v>
      </c>
      <c r="E988" t="s">
        <v>6</v>
      </c>
      <c r="F988" t="s">
        <v>7</v>
      </c>
    </row>
    <row r="989" spans="1:6" x14ac:dyDescent="0.3">
      <c r="A989">
        <v>188133192</v>
      </c>
      <c r="B989" s="1">
        <v>44944</v>
      </c>
      <c r="C989" s="1">
        <v>44976</v>
      </c>
      <c r="D989">
        <v>39</v>
      </c>
      <c r="E989" t="s">
        <v>6</v>
      </c>
      <c r="F989" t="s">
        <v>7</v>
      </c>
    </row>
    <row r="990" spans="1:6" x14ac:dyDescent="0.3">
      <c r="A990">
        <v>183936068</v>
      </c>
      <c r="B990" s="1">
        <v>44944</v>
      </c>
      <c r="C990" s="1">
        <v>45110</v>
      </c>
      <c r="D990">
        <v>39</v>
      </c>
      <c r="E990" t="s">
        <v>6</v>
      </c>
      <c r="F990" t="s">
        <v>7</v>
      </c>
    </row>
    <row r="991" spans="1:6" x14ac:dyDescent="0.3">
      <c r="A991">
        <v>188119778</v>
      </c>
      <c r="B991" s="1">
        <v>44944</v>
      </c>
      <c r="C991" s="1">
        <v>45095</v>
      </c>
      <c r="D991">
        <v>39</v>
      </c>
      <c r="E991" t="s">
        <v>6</v>
      </c>
      <c r="F991" t="s">
        <v>7</v>
      </c>
    </row>
    <row r="992" spans="1:6" x14ac:dyDescent="0.3">
      <c r="A992">
        <v>189410056</v>
      </c>
      <c r="B992" s="1">
        <v>44945</v>
      </c>
      <c r="D992">
        <v>39</v>
      </c>
      <c r="E992" t="s">
        <v>6</v>
      </c>
      <c r="F992" t="s">
        <v>7</v>
      </c>
    </row>
    <row r="993" spans="1:6" x14ac:dyDescent="0.3">
      <c r="A993">
        <v>184970659</v>
      </c>
      <c r="B993" s="1">
        <v>44945</v>
      </c>
      <c r="D993">
        <v>39</v>
      </c>
      <c r="E993" t="s">
        <v>6</v>
      </c>
      <c r="F993" t="s">
        <v>7</v>
      </c>
    </row>
    <row r="994" spans="1:6" x14ac:dyDescent="0.3">
      <c r="A994">
        <v>148476648</v>
      </c>
      <c r="B994" s="1">
        <v>44945</v>
      </c>
      <c r="C994" s="1">
        <v>45058</v>
      </c>
      <c r="D994">
        <v>39</v>
      </c>
      <c r="E994" t="s">
        <v>6</v>
      </c>
      <c r="F994" t="s">
        <v>7</v>
      </c>
    </row>
    <row r="995" spans="1:6" x14ac:dyDescent="0.3">
      <c r="A995">
        <v>189289885</v>
      </c>
      <c r="B995" s="1">
        <v>44945</v>
      </c>
      <c r="C995" s="1">
        <v>45036</v>
      </c>
      <c r="D995">
        <v>39</v>
      </c>
      <c r="E995" t="s">
        <v>6</v>
      </c>
      <c r="F995" t="s">
        <v>7</v>
      </c>
    </row>
    <row r="996" spans="1:6" x14ac:dyDescent="0.3">
      <c r="A996">
        <v>150442182</v>
      </c>
      <c r="B996" s="1">
        <v>44945</v>
      </c>
      <c r="C996" s="1">
        <v>45004</v>
      </c>
      <c r="D996">
        <v>39</v>
      </c>
      <c r="E996" t="s">
        <v>6</v>
      </c>
      <c r="F996" t="s">
        <v>7</v>
      </c>
    </row>
    <row r="997" spans="1:6" x14ac:dyDescent="0.3">
      <c r="A997">
        <v>184826230</v>
      </c>
      <c r="B997" s="1">
        <v>44945</v>
      </c>
      <c r="C997" s="1">
        <v>44972</v>
      </c>
      <c r="D997">
        <v>39</v>
      </c>
      <c r="E997" t="s">
        <v>6</v>
      </c>
      <c r="F997" t="s">
        <v>7</v>
      </c>
    </row>
    <row r="998" spans="1:6" x14ac:dyDescent="0.3">
      <c r="A998">
        <v>184786342</v>
      </c>
      <c r="B998" s="1">
        <v>44945</v>
      </c>
      <c r="C998" s="1">
        <v>44945</v>
      </c>
      <c r="D998">
        <v>39</v>
      </c>
      <c r="E998" t="s">
        <v>6</v>
      </c>
      <c r="F998" t="s">
        <v>7</v>
      </c>
    </row>
    <row r="999" spans="1:6" x14ac:dyDescent="0.3">
      <c r="A999">
        <v>181565760</v>
      </c>
      <c r="B999" s="1">
        <v>44945</v>
      </c>
      <c r="C999" s="1">
        <v>44952</v>
      </c>
      <c r="D999">
        <v>39</v>
      </c>
      <c r="E999" t="s">
        <v>6</v>
      </c>
      <c r="F999" t="s">
        <v>7</v>
      </c>
    </row>
    <row r="1000" spans="1:6" x14ac:dyDescent="0.3">
      <c r="A1000">
        <v>189278478</v>
      </c>
      <c r="B1000" s="1">
        <v>44946</v>
      </c>
      <c r="D1000">
        <v>39</v>
      </c>
      <c r="E1000" t="s">
        <v>6</v>
      </c>
      <c r="F1000" t="s">
        <v>7</v>
      </c>
    </row>
    <row r="1001" spans="1:6" x14ac:dyDescent="0.3">
      <c r="A1001">
        <v>184066428</v>
      </c>
      <c r="B1001" s="1">
        <v>44946</v>
      </c>
      <c r="D1001">
        <v>39</v>
      </c>
      <c r="E1001" t="s">
        <v>6</v>
      </c>
      <c r="F1001" t="s">
        <v>7</v>
      </c>
    </row>
    <row r="1002" spans="1:6" x14ac:dyDescent="0.3">
      <c r="A1002">
        <v>135771077</v>
      </c>
      <c r="B1002" s="1">
        <v>44946</v>
      </c>
      <c r="D1002">
        <v>39</v>
      </c>
      <c r="E1002" t="s">
        <v>6</v>
      </c>
      <c r="F1002" t="s">
        <v>7</v>
      </c>
    </row>
    <row r="1003" spans="1:6" x14ac:dyDescent="0.3">
      <c r="A1003">
        <v>184831280</v>
      </c>
      <c r="B1003" s="1">
        <v>44946</v>
      </c>
      <c r="C1003" s="1">
        <v>45055</v>
      </c>
      <c r="D1003">
        <v>39</v>
      </c>
      <c r="E1003" t="s">
        <v>6</v>
      </c>
      <c r="F1003" t="s">
        <v>7</v>
      </c>
    </row>
    <row r="1004" spans="1:6" x14ac:dyDescent="0.3">
      <c r="A1004">
        <v>188828652</v>
      </c>
      <c r="B1004" s="1">
        <v>44946</v>
      </c>
      <c r="C1004" s="1">
        <v>45047</v>
      </c>
      <c r="D1004">
        <v>39</v>
      </c>
      <c r="E1004" t="s">
        <v>6</v>
      </c>
      <c r="F1004" t="s">
        <v>7</v>
      </c>
    </row>
    <row r="1005" spans="1:6" x14ac:dyDescent="0.3">
      <c r="A1005">
        <v>188666673</v>
      </c>
      <c r="B1005" s="1">
        <v>44946</v>
      </c>
      <c r="C1005" s="1">
        <v>44993</v>
      </c>
      <c r="D1005">
        <v>39</v>
      </c>
      <c r="E1005" t="s">
        <v>6</v>
      </c>
      <c r="F1005" t="s">
        <v>7</v>
      </c>
    </row>
    <row r="1006" spans="1:6" x14ac:dyDescent="0.3">
      <c r="A1006">
        <v>189880452</v>
      </c>
      <c r="B1006" s="1">
        <v>44946</v>
      </c>
      <c r="C1006" s="1">
        <v>44976</v>
      </c>
      <c r="D1006">
        <v>39</v>
      </c>
      <c r="E1006" t="s">
        <v>6</v>
      </c>
      <c r="F1006" t="s">
        <v>7</v>
      </c>
    </row>
    <row r="1007" spans="1:6" x14ac:dyDescent="0.3">
      <c r="A1007">
        <v>160986271</v>
      </c>
      <c r="B1007" s="1">
        <v>44946</v>
      </c>
      <c r="C1007" s="1">
        <v>44984</v>
      </c>
      <c r="D1007">
        <v>39</v>
      </c>
      <c r="E1007" t="s">
        <v>6</v>
      </c>
      <c r="F1007" t="s">
        <v>7</v>
      </c>
    </row>
    <row r="1008" spans="1:6" x14ac:dyDescent="0.3">
      <c r="A1008">
        <v>187895888</v>
      </c>
      <c r="B1008" s="1">
        <v>44946</v>
      </c>
      <c r="C1008" s="1">
        <v>44970</v>
      </c>
      <c r="D1008">
        <v>39</v>
      </c>
      <c r="E1008" t="s">
        <v>6</v>
      </c>
      <c r="F1008" t="s">
        <v>7</v>
      </c>
    </row>
    <row r="1009" spans="1:6" x14ac:dyDescent="0.3">
      <c r="A1009">
        <v>190871376</v>
      </c>
      <c r="B1009" s="1">
        <v>44947</v>
      </c>
      <c r="D1009">
        <v>39</v>
      </c>
      <c r="E1009" t="s">
        <v>6</v>
      </c>
      <c r="F1009" t="s">
        <v>7</v>
      </c>
    </row>
    <row r="1010" spans="1:6" x14ac:dyDescent="0.3">
      <c r="A1010">
        <v>166750222</v>
      </c>
      <c r="B1010" s="1">
        <v>44947</v>
      </c>
      <c r="C1010" s="1">
        <v>45048</v>
      </c>
      <c r="D1010">
        <v>39</v>
      </c>
      <c r="E1010" t="s">
        <v>6</v>
      </c>
      <c r="F1010" t="s">
        <v>7</v>
      </c>
    </row>
    <row r="1011" spans="1:6" x14ac:dyDescent="0.3">
      <c r="A1011">
        <v>189360536</v>
      </c>
      <c r="B1011" s="1">
        <v>44947</v>
      </c>
      <c r="C1011" s="1">
        <v>45041</v>
      </c>
      <c r="D1011">
        <v>39</v>
      </c>
      <c r="E1011" t="s">
        <v>6</v>
      </c>
      <c r="F1011" t="s">
        <v>7</v>
      </c>
    </row>
    <row r="1012" spans="1:6" x14ac:dyDescent="0.3">
      <c r="A1012">
        <v>188197564</v>
      </c>
      <c r="B1012" s="1">
        <v>44947</v>
      </c>
      <c r="C1012" s="1">
        <v>45036</v>
      </c>
      <c r="D1012">
        <v>39</v>
      </c>
      <c r="E1012" t="s">
        <v>6</v>
      </c>
      <c r="F1012" t="s">
        <v>7</v>
      </c>
    </row>
    <row r="1013" spans="1:6" x14ac:dyDescent="0.3">
      <c r="A1013">
        <v>191034251</v>
      </c>
      <c r="B1013" s="1">
        <v>44947</v>
      </c>
      <c r="C1013" s="1">
        <v>44972</v>
      </c>
      <c r="D1013">
        <v>39</v>
      </c>
      <c r="E1013" t="s">
        <v>6</v>
      </c>
      <c r="F1013" t="s">
        <v>7</v>
      </c>
    </row>
    <row r="1014" spans="1:6" x14ac:dyDescent="0.3">
      <c r="A1014">
        <v>182972593</v>
      </c>
      <c r="B1014" s="1">
        <v>44947</v>
      </c>
      <c r="C1014" s="1">
        <v>44960</v>
      </c>
      <c r="D1014">
        <v>39</v>
      </c>
      <c r="E1014" t="s">
        <v>6</v>
      </c>
      <c r="F1014" t="s">
        <v>7</v>
      </c>
    </row>
    <row r="1015" spans="1:6" x14ac:dyDescent="0.3">
      <c r="A1015">
        <v>182958960</v>
      </c>
      <c r="B1015" s="1">
        <v>44948</v>
      </c>
      <c r="C1015" s="1">
        <v>44949</v>
      </c>
      <c r="D1015">
        <v>39</v>
      </c>
      <c r="E1015" t="s">
        <v>6</v>
      </c>
      <c r="F1015" t="s">
        <v>7</v>
      </c>
    </row>
    <row r="1016" spans="1:6" x14ac:dyDescent="0.3">
      <c r="A1016">
        <v>163220556</v>
      </c>
      <c r="B1016" s="1">
        <v>44948</v>
      </c>
      <c r="C1016" s="1">
        <v>44994</v>
      </c>
      <c r="D1016">
        <v>39</v>
      </c>
      <c r="E1016" t="s">
        <v>6</v>
      </c>
      <c r="F1016" t="s">
        <v>7</v>
      </c>
    </row>
    <row r="1017" spans="1:6" x14ac:dyDescent="0.3">
      <c r="A1017">
        <v>191730833</v>
      </c>
      <c r="B1017" s="1">
        <v>44948</v>
      </c>
      <c r="C1017" s="1">
        <v>45006</v>
      </c>
      <c r="D1017">
        <v>39</v>
      </c>
      <c r="E1017" t="s">
        <v>6</v>
      </c>
      <c r="F1017" t="s">
        <v>7</v>
      </c>
    </row>
    <row r="1018" spans="1:6" x14ac:dyDescent="0.3">
      <c r="A1018">
        <v>189680563</v>
      </c>
      <c r="B1018" s="1">
        <v>44948</v>
      </c>
      <c r="C1018" s="1">
        <v>45006</v>
      </c>
      <c r="D1018">
        <v>39</v>
      </c>
      <c r="E1018" t="s">
        <v>6</v>
      </c>
      <c r="F1018" t="s">
        <v>7</v>
      </c>
    </row>
    <row r="1019" spans="1:6" x14ac:dyDescent="0.3">
      <c r="A1019">
        <v>190666110</v>
      </c>
      <c r="B1019" s="1">
        <v>44949</v>
      </c>
      <c r="D1019">
        <v>39</v>
      </c>
      <c r="E1019" t="s">
        <v>6</v>
      </c>
      <c r="F1019" t="s">
        <v>7</v>
      </c>
    </row>
    <row r="1020" spans="1:6" x14ac:dyDescent="0.3">
      <c r="A1020">
        <v>180622613</v>
      </c>
      <c r="B1020" s="1">
        <v>44949</v>
      </c>
      <c r="D1020">
        <v>39</v>
      </c>
      <c r="E1020" t="s">
        <v>6</v>
      </c>
      <c r="F1020" t="s">
        <v>7</v>
      </c>
    </row>
    <row r="1021" spans="1:6" x14ac:dyDescent="0.3">
      <c r="A1021">
        <v>188827172</v>
      </c>
      <c r="B1021" s="1">
        <v>44949</v>
      </c>
      <c r="D1021">
        <v>39</v>
      </c>
      <c r="E1021" t="s">
        <v>6</v>
      </c>
      <c r="F1021" t="s">
        <v>7</v>
      </c>
    </row>
    <row r="1022" spans="1:6" x14ac:dyDescent="0.3">
      <c r="A1022">
        <v>188068965</v>
      </c>
      <c r="B1022" s="1">
        <v>44949</v>
      </c>
      <c r="C1022" s="1">
        <v>45076</v>
      </c>
      <c r="D1022">
        <v>39</v>
      </c>
      <c r="E1022" t="s">
        <v>6</v>
      </c>
      <c r="F1022" t="s">
        <v>7</v>
      </c>
    </row>
    <row r="1023" spans="1:6" x14ac:dyDescent="0.3">
      <c r="A1023">
        <v>182958960</v>
      </c>
      <c r="B1023" s="1">
        <v>44949</v>
      </c>
      <c r="C1023" s="1">
        <v>44987</v>
      </c>
      <c r="D1023">
        <v>39</v>
      </c>
      <c r="E1023" t="s">
        <v>6</v>
      </c>
      <c r="F1023" t="s">
        <v>7</v>
      </c>
    </row>
    <row r="1024" spans="1:6" x14ac:dyDescent="0.3">
      <c r="A1024">
        <v>191999674</v>
      </c>
      <c r="B1024" s="1">
        <v>44949</v>
      </c>
      <c r="C1024" s="1">
        <v>44970</v>
      </c>
      <c r="D1024">
        <v>39</v>
      </c>
      <c r="E1024" t="s">
        <v>6</v>
      </c>
      <c r="F1024" t="s">
        <v>7</v>
      </c>
    </row>
    <row r="1025" spans="1:6" x14ac:dyDescent="0.3">
      <c r="A1025">
        <v>183451114</v>
      </c>
      <c r="B1025" s="1">
        <v>44949</v>
      </c>
      <c r="C1025" s="1">
        <v>45168</v>
      </c>
      <c r="D1025">
        <v>39</v>
      </c>
      <c r="E1025" t="s">
        <v>6</v>
      </c>
      <c r="F1025" t="s">
        <v>7</v>
      </c>
    </row>
    <row r="1026" spans="1:6" x14ac:dyDescent="0.3">
      <c r="A1026">
        <v>191807491</v>
      </c>
      <c r="B1026" s="1">
        <v>44950</v>
      </c>
      <c r="D1026">
        <v>39</v>
      </c>
      <c r="E1026" t="s">
        <v>6</v>
      </c>
      <c r="F1026" t="s">
        <v>7</v>
      </c>
    </row>
    <row r="1027" spans="1:6" x14ac:dyDescent="0.3">
      <c r="A1027">
        <v>157833252</v>
      </c>
      <c r="B1027" s="1">
        <v>44950</v>
      </c>
      <c r="C1027" s="1">
        <v>45176</v>
      </c>
      <c r="D1027">
        <v>39</v>
      </c>
      <c r="E1027" t="s">
        <v>6</v>
      </c>
      <c r="F1027" t="s">
        <v>7</v>
      </c>
    </row>
    <row r="1028" spans="1:6" x14ac:dyDescent="0.3">
      <c r="A1028">
        <v>188162430</v>
      </c>
      <c r="B1028" s="1">
        <v>44950</v>
      </c>
      <c r="C1028" s="1">
        <v>45093</v>
      </c>
      <c r="D1028">
        <v>39</v>
      </c>
      <c r="E1028" t="s">
        <v>6</v>
      </c>
      <c r="F1028" t="s">
        <v>7</v>
      </c>
    </row>
    <row r="1029" spans="1:6" x14ac:dyDescent="0.3">
      <c r="A1029">
        <v>190733249</v>
      </c>
      <c r="B1029" s="1">
        <v>44950</v>
      </c>
      <c r="C1029" s="1">
        <v>45005</v>
      </c>
      <c r="D1029">
        <v>39</v>
      </c>
      <c r="E1029" t="s">
        <v>6</v>
      </c>
      <c r="F1029" t="s">
        <v>7</v>
      </c>
    </row>
    <row r="1030" spans="1:6" x14ac:dyDescent="0.3">
      <c r="A1030">
        <v>192539054</v>
      </c>
      <c r="B1030" s="1">
        <v>44950</v>
      </c>
      <c r="C1030" s="1">
        <v>44985</v>
      </c>
      <c r="D1030">
        <v>39</v>
      </c>
      <c r="E1030" t="s">
        <v>6</v>
      </c>
      <c r="F1030" t="s">
        <v>7</v>
      </c>
    </row>
    <row r="1031" spans="1:6" x14ac:dyDescent="0.3">
      <c r="A1031">
        <v>193572822</v>
      </c>
      <c r="B1031" s="1">
        <v>44950</v>
      </c>
      <c r="C1031" s="1">
        <v>44977</v>
      </c>
      <c r="D1031">
        <v>39</v>
      </c>
      <c r="E1031" t="s">
        <v>6</v>
      </c>
      <c r="F1031" t="s">
        <v>7</v>
      </c>
    </row>
    <row r="1032" spans="1:6" x14ac:dyDescent="0.3">
      <c r="A1032">
        <v>141399368</v>
      </c>
      <c r="B1032" s="1">
        <v>44951</v>
      </c>
      <c r="D1032">
        <v>39</v>
      </c>
      <c r="E1032" t="s">
        <v>6</v>
      </c>
      <c r="F1032" t="s">
        <v>7</v>
      </c>
    </row>
    <row r="1033" spans="1:6" x14ac:dyDescent="0.3">
      <c r="A1033">
        <v>193285633</v>
      </c>
      <c r="B1033" s="1">
        <v>44951</v>
      </c>
      <c r="D1033">
        <v>39</v>
      </c>
      <c r="E1033" t="s">
        <v>6</v>
      </c>
      <c r="F1033" t="s">
        <v>7</v>
      </c>
    </row>
    <row r="1034" spans="1:6" x14ac:dyDescent="0.3">
      <c r="A1034">
        <v>193891378</v>
      </c>
      <c r="B1034" s="1">
        <v>44951</v>
      </c>
      <c r="D1034">
        <v>39</v>
      </c>
      <c r="E1034" t="s">
        <v>6</v>
      </c>
      <c r="F1034" t="s">
        <v>7</v>
      </c>
    </row>
    <row r="1035" spans="1:6" x14ac:dyDescent="0.3">
      <c r="A1035">
        <v>153628260</v>
      </c>
      <c r="B1035" s="1">
        <v>44951</v>
      </c>
      <c r="C1035" s="1">
        <v>44952</v>
      </c>
      <c r="D1035">
        <v>39</v>
      </c>
      <c r="E1035" t="s">
        <v>6</v>
      </c>
      <c r="F1035" t="s">
        <v>7</v>
      </c>
    </row>
    <row r="1036" spans="1:6" x14ac:dyDescent="0.3">
      <c r="A1036">
        <v>194719566</v>
      </c>
      <c r="B1036" s="1">
        <v>44951</v>
      </c>
      <c r="C1036" s="1">
        <v>44951</v>
      </c>
      <c r="D1036">
        <v>39</v>
      </c>
      <c r="E1036" t="s">
        <v>6</v>
      </c>
      <c r="F1036" t="s">
        <v>8</v>
      </c>
    </row>
    <row r="1037" spans="1:6" x14ac:dyDescent="0.3">
      <c r="A1037">
        <v>176559401</v>
      </c>
      <c r="B1037" s="1">
        <v>44951</v>
      </c>
      <c r="C1037" s="1">
        <v>44951</v>
      </c>
      <c r="D1037">
        <v>39</v>
      </c>
      <c r="E1037" t="s">
        <v>6</v>
      </c>
      <c r="F1037" t="s">
        <v>8</v>
      </c>
    </row>
    <row r="1038" spans="1:6" x14ac:dyDescent="0.3">
      <c r="A1038">
        <v>150178354</v>
      </c>
      <c r="B1038" s="1">
        <v>44951</v>
      </c>
      <c r="C1038" s="1">
        <v>45071</v>
      </c>
      <c r="D1038">
        <v>39</v>
      </c>
      <c r="E1038" t="s">
        <v>6</v>
      </c>
      <c r="F1038" t="s">
        <v>7</v>
      </c>
    </row>
    <row r="1039" spans="1:6" x14ac:dyDescent="0.3">
      <c r="A1039">
        <v>192395073</v>
      </c>
      <c r="B1039" s="1">
        <v>44951</v>
      </c>
      <c r="C1039" s="1">
        <v>45022</v>
      </c>
      <c r="D1039">
        <v>39</v>
      </c>
      <c r="E1039" t="s">
        <v>6</v>
      </c>
      <c r="F1039" t="s">
        <v>7</v>
      </c>
    </row>
    <row r="1040" spans="1:6" x14ac:dyDescent="0.3">
      <c r="A1040">
        <v>152690237</v>
      </c>
      <c r="B1040" s="1">
        <v>44951</v>
      </c>
      <c r="C1040" s="1">
        <v>45007</v>
      </c>
      <c r="D1040">
        <v>39</v>
      </c>
      <c r="E1040" t="s">
        <v>6</v>
      </c>
      <c r="F1040" t="s">
        <v>7</v>
      </c>
    </row>
    <row r="1041" spans="1:6" x14ac:dyDescent="0.3">
      <c r="A1041">
        <v>151572886</v>
      </c>
      <c r="B1041" s="1">
        <v>44951</v>
      </c>
      <c r="C1041" s="1">
        <v>44997</v>
      </c>
      <c r="D1041">
        <v>39</v>
      </c>
      <c r="E1041" t="s">
        <v>6</v>
      </c>
      <c r="F1041" t="s">
        <v>7</v>
      </c>
    </row>
    <row r="1042" spans="1:6" x14ac:dyDescent="0.3">
      <c r="A1042">
        <v>193869975</v>
      </c>
      <c r="B1042" s="1">
        <v>44951</v>
      </c>
      <c r="C1042" s="1">
        <v>45000</v>
      </c>
      <c r="D1042">
        <v>39</v>
      </c>
      <c r="E1042" t="s">
        <v>6</v>
      </c>
      <c r="F1042" t="s">
        <v>7</v>
      </c>
    </row>
    <row r="1043" spans="1:6" x14ac:dyDescent="0.3">
      <c r="A1043">
        <v>175077871</v>
      </c>
      <c r="B1043" s="1">
        <v>44951</v>
      </c>
      <c r="C1043" s="1">
        <v>45000</v>
      </c>
      <c r="D1043">
        <v>39</v>
      </c>
      <c r="E1043" t="s">
        <v>6</v>
      </c>
      <c r="F1043" t="s">
        <v>7</v>
      </c>
    </row>
    <row r="1044" spans="1:6" x14ac:dyDescent="0.3">
      <c r="A1044">
        <v>193229869</v>
      </c>
      <c r="B1044" s="1">
        <v>44951</v>
      </c>
      <c r="C1044" s="1">
        <v>44986</v>
      </c>
      <c r="D1044">
        <v>39</v>
      </c>
      <c r="E1044" t="s">
        <v>6</v>
      </c>
      <c r="F1044" t="s">
        <v>7</v>
      </c>
    </row>
    <row r="1045" spans="1:6" x14ac:dyDescent="0.3">
      <c r="A1045">
        <v>189257579</v>
      </c>
      <c r="B1045" s="1">
        <v>44952</v>
      </c>
      <c r="D1045">
        <v>39</v>
      </c>
      <c r="E1045" t="s">
        <v>6</v>
      </c>
      <c r="F1045" t="s">
        <v>7</v>
      </c>
    </row>
    <row r="1046" spans="1:6" x14ac:dyDescent="0.3">
      <c r="A1046">
        <v>184333409</v>
      </c>
      <c r="B1046" s="1">
        <v>44952</v>
      </c>
      <c r="D1046">
        <v>39</v>
      </c>
      <c r="E1046" t="s">
        <v>6</v>
      </c>
      <c r="F1046" t="s">
        <v>7</v>
      </c>
    </row>
    <row r="1047" spans="1:6" x14ac:dyDescent="0.3">
      <c r="A1047">
        <v>144719454</v>
      </c>
      <c r="B1047" s="1">
        <v>44952</v>
      </c>
      <c r="D1047">
        <v>39</v>
      </c>
      <c r="E1047" t="s">
        <v>6</v>
      </c>
      <c r="F1047" t="s">
        <v>7</v>
      </c>
    </row>
    <row r="1048" spans="1:6" x14ac:dyDescent="0.3">
      <c r="A1048">
        <v>195759475</v>
      </c>
      <c r="B1048" s="1">
        <v>44952</v>
      </c>
      <c r="D1048">
        <v>39</v>
      </c>
      <c r="E1048" t="s">
        <v>6</v>
      </c>
      <c r="F1048" t="s">
        <v>7</v>
      </c>
    </row>
    <row r="1049" spans="1:6" x14ac:dyDescent="0.3">
      <c r="A1049">
        <v>167602454</v>
      </c>
      <c r="B1049" s="1">
        <v>44952</v>
      </c>
      <c r="D1049">
        <v>39</v>
      </c>
      <c r="E1049" t="s">
        <v>6</v>
      </c>
      <c r="F1049" t="s">
        <v>7</v>
      </c>
    </row>
    <row r="1050" spans="1:6" x14ac:dyDescent="0.3">
      <c r="A1050">
        <v>148838269</v>
      </c>
      <c r="B1050" s="1">
        <v>44952</v>
      </c>
      <c r="D1050">
        <v>39</v>
      </c>
      <c r="E1050" t="s">
        <v>6</v>
      </c>
      <c r="F1050" t="s">
        <v>7</v>
      </c>
    </row>
    <row r="1051" spans="1:6" x14ac:dyDescent="0.3">
      <c r="A1051">
        <v>195938394</v>
      </c>
      <c r="B1051" s="1">
        <v>44952</v>
      </c>
      <c r="C1051" s="1">
        <v>45100</v>
      </c>
      <c r="D1051">
        <v>39</v>
      </c>
      <c r="E1051" t="s">
        <v>6</v>
      </c>
      <c r="F1051" t="s">
        <v>7</v>
      </c>
    </row>
    <row r="1052" spans="1:6" x14ac:dyDescent="0.3">
      <c r="A1052">
        <v>194091086</v>
      </c>
      <c r="B1052" s="1">
        <v>44952</v>
      </c>
      <c r="C1052" s="1">
        <v>45020</v>
      </c>
      <c r="D1052">
        <v>39</v>
      </c>
      <c r="E1052" t="s">
        <v>6</v>
      </c>
      <c r="F1052" t="s">
        <v>7</v>
      </c>
    </row>
    <row r="1053" spans="1:6" x14ac:dyDescent="0.3">
      <c r="A1053">
        <v>181456580</v>
      </c>
      <c r="B1053" s="1">
        <v>44952</v>
      </c>
      <c r="C1053" s="1">
        <v>45039</v>
      </c>
      <c r="D1053">
        <v>39</v>
      </c>
      <c r="E1053" t="s">
        <v>6</v>
      </c>
      <c r="F1053" t="s">
        <v>7</v>
      </c>
    </row>
    <row r="1054" spans="1:6" x14ac:dyDescent="0.3">
      <c r="A1054">
        <v>169302100</v>
      </c>
      <c r="B1054" s="1">
        <v>44952</v>
      </c>
      <c r="C1054" s="1">
        <v>45015</v>
      </c>
      <c r="D1054">
        <v>39</v>
      </c>
      <c r="E1054" t="s">
        <v>6</v>
      </c>
      <c r="F1054" t="s">
        <v>7</v>
      </c>
    </row>
    <row r="1055" spans="1:6" x14ac:dyDescent="0.3">
      <c r="A1055">
        <v>180997025</v>
      </c>
      <c r="B1055" s="1">
        <v>44952</v>
      </c>
      <c r="C1055" s="1">
        <v>44990</v>
      </c>
      <c r="D1055">
        <v>39</v>
      </c>
      <c r="E1055" t="s">
        <v>6</v>
      </c>
      <c r="F1055" t="s">
        <v>7</v>
      </c>
    </row>
    <row r="1056" spans="1:6" x14ac:dyDescent="0.3">
      <c r="A1056">
        <v>196091620</v>
      </c>
      <c r="B1056" s="1">
        <v>44952</v>
      </c>
      <c r="C1056" s="1">
        <v>44959</v>
      </c>
      <c r="D1056">
        <v>39</v>
      </c>
      <c r="E1056" t="s">
        <v>6</v>
      </c>
      <c r="F1056" t="s">
        <v>7</v>
      </c>
    </row>
    <row r="1057" spans="1:6" x14ac:dyDescent="0.3">
      <c r="A1057">
        <v>189277140</v>
      </c>
      <c r="B1057" s="1">
        <v>44952</v>
      </c>
      <c r="C1057" s="1">
        <v>44980</v>
      </c>
      <c r="D1057">
        <v>39</v>
      </c>
      <c r="E1057" t="s">
        <v>6</v>
      </c>
      <c r="F1057" t="s">
        <v>7</v>
      </c>
    </row>
    <row r="1058" spans="1:6" x14ac:dyDescent="0.3">
      <c r="A1058">
        <v>195279352</v>
      </c>
      <c r="B1058" s="1">
        <v>44952</v>
      </c>
      <c r="C1058" s="1">
        <v>44980</v>
      </c>
      <c r="D1058">
        <v>39</v>
      </c>
      <c r="E1058" t="s">
        <v>6</v>
      </c>
      <c r="F1058" t="s">
        <v>7</v>
      </c>
    </row>
    <row r="1059" spans="1:6" x14ac:dyDescent="0.3">
      <c r="A1059">
        <v>191113428</v>
      </c>
      <c r="B1059" s="1">
        <v>44952</v>
      </c>
      <c r="C1059" s="1">
        <v>44952</v>
      </c>
      <c r="D1059">
        <v>39</v>
      </c>
      <c r="E1059" t="s">
        <v>6</v>
      </c>
      <c r="F1059" t="s">
        <v>7</v>
      </c>
    </row>
    <row r="1060" spans="1:6" x14ac:dyDescent="0.3">
      <c r="A1060">
        <v>193802414</v>
      </c>
      <c r="B1060" s="1">
        <v>44952</v>
      </c>
      <c r="C1060" s="1">
        <v>45104</v>
      </c>
      <c r="D1060">
        <v>39</v>
      </c>
      <c r="E1060" t="s">
        <v>6</v>
      </c>
      <c r="F1060" t="s">
        <v>7</v>
      </c>
    </row>
    <row r="1061" spans="1:6" x14ac:dyDescent="0.3">
      <c r="A1061">
        <v>115735280</v>
      </c>
      <c r="B1061" s="1">
        <v>44953</v>
      </c>
      <c r="D1061">
        <v>39</v>
      </c>
      <c r="E1061" t="s">
        <v>6</v>
      </c>
      <c r="F1061" t="s">
        <v>7</v>
      </c>
    </row>
    <row r="1062" spans="1:6" x14ac:dyDescent="0.3">
      <c r="A1062">
        <v>153026024</v>
      </c>
      <c r="B1062" s="1">
        <v>44953</v>
      </c>
      <c r="D1062">
        <v>39</v>
      </c>
      <c r="E1062" t="s">
        <v>6</v>
      </c>
      <c r="F1062" t="s">
        <v>7</v>
      </c>
    </row>
    <row r="1063" spans="1:6" x14ac:dyDescent="0.3">
      <c r="A1063">
        <v>196069557</v>
      </c>
      <c r="B1063" s="1">
        <v>44953</v>
      </c>
      <c r="D1063">
        <v>39</v>
      </c>
      <c r="E1063" t="s">
        <v>6</v>
      </c>
      <c r="F1063" t="s">
        <v>7</v>
      </c>
    </row>
    <row r="1064" spans="1:6" x14ac:dyDescent="0.3">
      <c r="A1064">
        <v>193666586</v>
      </c>
      <c r="B1064" s="1">
        <v>44953</v>
      </c>
      <c r="D1064">
        <v>39</v>
      </c>
      <c r="E1064" t="s">
        <v>6</v>
      </c>
      <c r="F1064" t="s">
        <v>7</v>
      </c>
    </row>
    <row r="1065" spans="1:6" x14ac:dyDescent="0.3">
      <c r="A1065">
        <v>192550222</v>
      </c>
      <c r="B1065" s="1">
        <v>44953</v>
      </c>
      <c r="D1065">
        <v>39</v>
      </c>
      <c r="E1065" t="s">
        <v>6</v>
      </c>
      <c r="F1065" t="s">
        <v>7</v>
      </c>
    </row>
    <row r="1066" spans="1:6" x14ac:dyDescent="0.3">
      <c r="A1066">
        <v>196022560</v>
      </c>
      <c r="B1066" s="1">
        <v>44953</v>
      </c>
      <c r="C1066" s="1">
        <v>45174</v>
      </c>
      <c r="D1066">
        <v>39</v>
      </c>
      <c r="E1066" t="s">
        <v>6</v>
      </c>
      <c r="F1066" t="s">
        <v>7</v>
      </c>
    </row>
    <row r="1067" spans="1:6" x14ac:dyDescent="0.3">
      <c r="A1067">
        <v>196715854</v>
      </c>
      <c r="B1067" s="1">
        <v>44953</v>
      </c>
      <c r="C1067" s="1">
        <v>44954</v>
      </c>
      <c r="D1067">
        <v>39</v>
      </c>
      <c r="E1067" t="s">
        <v>6</v>
      </c>
      <c r="F1067" t="s">
        <v>8</v>
      </c>
    </row>
    <row r="1068" spans="1:6" x14ac:dyDescent="0.3">
      <c r="A1068">
        <v>196969212</v>
      </c>
      <c r="B1068" s="1">
        <v>44953</v>
      </c>
      <c r="C1068" s="1">
        <v>45040</v>
      </c>
      <c r="D1068">
        <v>39</v>
      </c>
      <c r="E1068" t="s">
        <v>6</v>
      </c>
      <c r="F1068" t="s">
        <v>7</v>
      </c>
    </row>
    <row r="1069" spans="1:6" x14ac:dyDescent="0.3">
      <c r="A1069">
        <v>196308725</v>
      </c>
      <c r="B1069" s="1">
        <v>44953</v>
      </c>
      <c r="C1069" s="1">
        <v>45016</v>
      </c>
      <c r="D1069">
        <v>39</v>
      </c>
      <c r="E1069" t="s">
        <v>6</v>
      </c>
      <c r="F1069" t="s">
        <v>7</v>
      </c>
    </row>
    <row r="1070" spans="1:6" x14ac:dyDescent="0.3">
      <c r="A1070">
        <v>196245690</v>
      </c>
      <c r="B1070" s="1">
        <v>44953</v>
      </c>
      <c r="C1070" s="1">
        <v>45012</v>
      </c>
      <c r="D1070">
        <v>39</v>
      </c>
      <c r="E1070" t="s">
        <v>6</v>
      </c>
      <c r="F1070" t="s">
        <v>7</v>
      </c>
    </row>
    <row r="1071" spans="1:6" x14ac:dyDescent="0.3">
      <c r="A1071">
        <v>195988242</v>
      </c>
      <c r="B1071" s="1">
        <v>44953</v>
      </c>
      <c r="C1071" s="1">
        <v>44991</v>
      </c>
      <c r="D1071">
        <v>39</v>
      </c>
      <c r="E1071" t="s">
        <v>6</v>
      </c>
      <c r="F1071" t="s">
        <v>7</v>
      </c>
    </row>
    <row r="1072" spans="1:6" x14ac:dyDescent="0.3">
      <c r="A1072">
        <v>192068317</v>
      </c>
      <c r="B1072" s="1">
        <v>44953</v>
      </c>
      <c r="C1072" s="1">
        <v>45013</v>
      </c>
      <c r="D1072">
        <v>39</v>
      </c>
      <c r="E1072" t="s">
        <v>6</v>
      </c>
      <c r="F1072" t="s">
        <v>7</v>
      </c>
    </row>
    <row r="1073" spans="1:6" x14ac:dyDescent="0.3">
      <c r="A1073">
        <v>195039185</v>
      </c>
      <c r="B1073" s="1">
        <v>44953</v>
      </c>
      <c r="C1073" s="1">
        <v>44980</v>
      </c>
      <c r="D1073">
        <v>39</v>
      </c>
      <c r="E1073" t="s">
        <v>6</v>
      </c>
      <c r="F1073" t="s">
        <v>7</v>
      </c>
    </row>
    <row r="1074" spans="1:6" x14ac:dyDescent="0.3">
      <c r="A1074">
        <v>188563149</v>
      </c>
      <c r="B1074" s="1">
        <v>44953</v>
      </c>
      <c r="C1074" s="1">
        <v>45154</v>
      </c>
      <c r="D1074">
        <v>39</v>
      </c>
      <c r="E1074" t="s">
        <v>6</v>
      </c>
      <c r="F1074" t="s">
        <v>7</v>
      </c>
    </row>
    <row r="1075" spans="1:6" x14ac:dyDescent="0.3">
      <c r="A1075">
        <v>188748439</v>
      </c>
      <c r="B1075" s="1">
        <v>44953</v>
      </c>
      <c r="C1075" s="1">
        <v>45157</v>
      </c>
      <c r="D1075">
        <v>39</v>
      </c>
      <c r="E1075" t="s">
        <v>6</v>
      </c>
      <c r="F1075" t="s">
        <v>7</v>
      </c>
    </row>
    <row r="1076" spans="1:6" x14ac:dyDescent="0.3">
      <c r="A1076">
        <v>160873880</v>
      </c>
      <c r="B1076" s="1">
        <v>44954</v>
      </c>
      <c r="D1076">
        <v>39</v>
      </c>
      <c r="E1076" t="s">
        <v>6</v>
      </c>
      <c r="F1076" t="s">
        <v>7</v>
      </c>
    </row>
    <row r="1077" spans="1:6" x14ac:dyDescent="0.3">
      <c r="A1077">
        <v>160379194</v>
      </c>
      <c r="B1077" s="1">
        <v>44954</v>
      </c>
      <c r="C1077" s="1">
        <v>44954</v>
      </c>
      <c r="D1077">
        <v>39</v>
      </c>
      <c r="E1077" t="s">
        <v>6</v>
      </c>
      <c r="F1077" t="s">
        <v>7</v>
      </c>
    </row>
    <row r="1078" spans="1:6" x14ac:dyDescent="0.3">
      <c r="A1078">
        <v>194169961</v>
      </c>
      <c r="B1078" s="1">
        <v>44954</v>
      </c>
      <c r="C1078" s="1">
        <v>45009</v>
      </c>
      <c r="D1078">
        <v>39</v>
      </c>
      <c r="E1078" t="s">
        <v>6</v>
      </c>
      <c r="F1078" t="s">
        <v>7</v>
      </c>
    </row>
    <row r="1079" spans="1:6" x14ac:dyDescent="0.3">
      <c r="A1079">
        <v>184209232</v>
      </c>
      <c r="B1079" s="1">
        <v>44954</v>
      </c>
      <c r="C1079" s="1">
        <v>44992</v>
      </c>
      <c r="D1079">
        <v>39</v>
      </c>
      <c r="E1079" t="s">
        <v>6</v>
      </c>
      <c r="F1079" t="s">
        <v>7</v>
      </c>
    </row>
    <row r="1080" spans="1:6" x14ac:dyDescent="0.3">
      <c r="A1080">
        <v>195198228</v>
      </c>
      <c r="B1080" s="1">
        <v>44954</v>
      </c>
      <c r="C1080" s="1">
        <v>44974</v>
      </c>
      <c r="D1080">
        <v>39</v>
      </c>
      <c r="E1080" t="s">
        <v>6</v>
      </c>
      <c r="F1080" t="s">
        <v>7</v>
      </c>
    </row>
    <row r="1081" spans="1:6" x14ac:dyDescent="0.3">
      <c r="A1081">
        <v>153657568</v>
      </c>
      <c r="B1081" s="1">
        <v>44955</v>
      </c>
      <c r="D1081">
        <v>39</v>
      </c>
      <c r="E1081" t="s">
        <v>6</v>
      </c>
      <c r="F1081" t="s">
        <v>7</v>
      </c>
    </row>
    <row r="1082" spans="1:6" x14ac:dyDescent="0.3">
      <c r="A1082">
        <v>127697219</v>
      </c>
      <c r="B1082" s="1">
        <v>44955</v>
      </c>
      <c r="C1082" s="1">
        <v>45071</v>
      </c>
      <c r="D1082">
        <v>39</v>
      </c>
      <c r="E1082" t="s">
        <v>6</v>
      </c>
      <c r="F1082" t="s">
        <v>7</v>
      </c>
    </row>
    <row r="1083" spans="1:6" x14ac:dyDescent="0.3">
      <c r="A1083">
        <v>198448283</v>
      </c>
      <c r="B1083" s="1">
        <v>44955</v>
      </c>
      <c r="C1083" s="1">
        <v>45113</v>
      </c>
      <c r="D1083">
        <v>39</v>
      </c>
      <c r="E1083" t="s">
        <v>6</v>
      </c>
      <c r="F1083" t="s">
        <v>7</v>
      </c>
    </row>
    <row r="1084" spans="1:6" x14ac:dyDescent="0.3">
      <c r="A1084">
        <v>159483118</v>
      </c>
      <c r="B1084" s="1">
        <v>44955</v>
      </c>
      <c r="C1084" s="1">
        <v>44986</v>
      </c>
      <c r="D1084">
        <v>39</v>
      </c>
      <c r="E1084" t="s">
        <v>6</v>
      </c>
      <c r="F1084" t="s">
        <v>7</v>
      </c>
    </row>
    <row r="1085" spans="1:6" x14ac:dyDescent="0.3">
      <c r="A1085">
        <v>152433647</v>
      </c>
      <c r="B1085" s="1">
        <v>44955</v>
      </c>
      <c r="C1085" s="1">
        <v>44998</v>
      </c>
      <c r="D1085">
        <v>39</v>
      </c>
      <c r="E1085" t="s">
        <v>6</v>
      </c>
      <c r="F1085" t="s">
        <v>7</v>
      </c>
    </row>
    <row r="1086" spans="1:6" x14ac:dyDescent="0.3">
      <c r="A1086">
        <v>154790198</v>
      </c>
      <c r="B1086" s="1">
        <v>44955</v>
      </c>
      <c r="C1086" s="1">
        <v>44972</v>
      </c>
      <c r="D1086">
        <v>39</v>
      </c>
      <c r="E1086" t="s">
        <v>6</v>
      </c>
      <c r="F1086" t="s">
        <v>7</v>
      </c>
    </row>
    <row r="1087" spans="1:6" x14ac:dyDescent="0.3">
      <c r="A1087">
        <v>191896242</v>
      </c>
      <c r="B1087" s="1">
        <v>44956</v>
      </c>
      <c r="D1087">
        <v>39</v>
      </c>
      <c r="E1087" t="s">
        <v>6</v>
      </c>
      <c r="F1087" t="s">
        <v>7</v>
      </c>
    </row>
    <row r="1088" spans="1:6" x14ac:dyDescent="0.3">
      <c r="A1088">
        <v>136407072</v>
      </c>
      <c r="B1088" s="1">
        <v>44956</v>
      </c>
      <c r="C1088" s="1">
        <v>45138</v>
      </c>
      <c r="D1088">
        <v>39</v>
      </c>
      <c r="E1088" t="s">
        <v>6</v>
      </c>
      <c r="F1088" t="s">
        <v>7</v>
      </c>
    </row>
    <row r="1089" spans="1:6" x14ac:dyDescent="0.3">
      <c r="A1089">
        <v>199439964</v>
      </c>
      <c r="B1089" s="1">
        <v>44956</v>
      </c>
      <c r="C1089" s="1">
        <v>45083</v>
      </c>
      <c r="D1089">
        <v>39</v>
      </c>
      <c r="E1089" t="s">
        <v>6</v>
      </c>
      <c r="F1089" t="s">
        <v>7</v>
      </c>
    </row>
    <row r="1090" spans="1:6" x14ac:dyDescent="0.3">
      <c r="A1090">
        <v>199255574</v>
      </c>
      <c r="B1090" s="1">
        <v>44956</v>
      </c>
      <c r="C1090" s="1">
        <v>45098</v>
      </c>
      <c r="D1090">
        <v>39</v>
      </c>
      <c r="E1090" t="s">
        <v>6</v>
      </c>
      <c r="F1090" t="s">
        <v>7</v>
      </c>
    </row>
    <row r="1091" spans="1:6" x14ac:dyDescent="0.3">
      <c r="A1091">
        <v>167938302</v>
      </c>
      <c r="B1091" s="1">
        <v>44956</v>
      </c>
      <c r="C1091" s="1">
        <v>45022</v>
      </c>
      <c r="D1091">
        <v>39</v>
      </c>
      <c r="E1091" t="s">
        <v>6</v>
      </c>
      <c r="F1091" t="s">
        <v>7</v>
      </c>
    </row>
    <row r="1092" spans="1:6" x14ac:dyDescent="0.3">
      <c r="A1092">
        <v>154173057</v>
      </c>
      <c r="B1092" s="1">
        <v>44956</v>
      </c>
      <c r="C1092" s="1">
        <v>44961</v>
      </c>
      <c r="D1092">
        <v>39</v>
      </c>
      <c r="E1092" t="s">
        <v>6</v>
      </c>
      <c r="F1092" t="s">
        <v>7</v>
      </c>
    </row>
    <row r="1093" spans="1:6" x14ac:dyDescent="0.3">
      <c r="A1093">
        <v>153199550</v>
      </c>
      <c r="B1093" s="1">
        <v>44956</v>
      </c>
      <c r="C1093" s="1">
        <v>44959</v>
      </c>
      <c r="D1093">
        <v>39</v>
      </c>
      <c r="E1093" t="s">
        <v>6</v>
      </c>
      <c r="F1093" t="s">
        <v>7</v>
      </c>
    </row>
    <row r="1094" spans="1:6" x14ac:dyDescent="0.3">
      <c r="A1094">
        <v>199302158</v>
      </c>
      <c r="B1094" s="1">
        <v>44956</v>
      </c>
      <c r="C1094" s="1">
        <v>44959</v>
      </c>
      <c r="D1094">
        <v>39</v>
      </c>
      <c r="E1094" t="s">
        <v>6</v>
      </c>
      <c r="F1094" t="s">
        <v>7</v>
      </c>
    </row>
    <row r="1095" spans="1:6" x14ac:dyDescent="0.3">
      <c r="A1095">
        <v>187482966</v>
      </c>
      <c r="B1095" s="1">
        <v>44956</v>
      </c>
      <c r="C1095" s="1">
        <v>45147</v>
      </c>
      <c r="D1095">
        <v>39</v>
      </c>
      <c r="E1095" t="s">
        <v>6</v>
      </c>
      <c r="F1095" t="s">
        <v>7</v>
      </c>
    </row>
    <row r="1096" spans="1:6" x14ac:dyDescent="0.3">
      <c r="A1096">
        <v>168436547</v>
      </c>
      <c r="B1096" s="1">
        <v>44956</v>
      </c>
      <c r="C1096" s="1">
        <v>45127</v>
      </c>
      <c r="D1096">
        <v>39</v>
      </c>
      <c r="E1096" t="s">
        <v>6</v>
      </c>
      <c r="F1096" t="s">
        <v>7</v>
      </c>
    </row>
    <row r="1097" spans="1:6" x14ac:dyDescent="0.3">
      <c r="A1097">
        <v>195007481</v>
      </c>
      <c r="B1097" s="1">
        <v>44957</v>
      </c>
      <c r="D1097">
        <v>39</v>
      </c>
      <c r="E1097" t="s">
        <v>6</v>
      </c>
      <c r="F1097" t="s">
        <v>7</v>
      </c>
    </row>
    <row r="1098" spans="1:6" x14ac:dyDescent="0.3">
      <c r="A1098">
        <v>181830574</v>
      </c>
      <c r="B1098" s="1">
        <v>44957</v>
      </c>
      <c r="D1098">
        <v>39</v>
      </c>
      <c r="E1098" t="s">
        <v>6</v>
      </c>
      <c r="F1098" t="s">
        <v>7</v>
      </c>
    </row>
    <row r="1099" spans="1:6" x14ac:dyDescent="0.3">
      <c r="A1099">
        <v>198691553</v>
      </c>
      <c r="B1099" s="1">
        <v>44957</v>
      </c>
      <c r="D1099">
        <v>39</v>
      </c>
      <c r="E1099" t="s">
        <v>6</v>
      </c>
      <c r="F1099" t="s">
        <v>7</v>
      </c>
    </row>
    <row r="1100" spans="1:6" x14ac:dyDescent="0.3">
      <c r="A1100">
        <v>200001674</v>
      </c>
      <c r="B1100" s="1">
        <v>44957</v>
      </c>
      <c r="C1100" s="1">
        <v>45074</v>
      </c>
      <c r="D1100">
        <v>39</v>
      </c>
      <c r="E1100" t="s">
        <v>6</v>
      </c>
      <c r="F1100" t="s">
        <v>7</v>
      </c>
    </row>
    <row r="1101" spans="1:6" x14ac:dyDescent="0.3">
      <c r="A1101">
        <v>200252155</v>
      </c>
      <c r="B1101" s="1">
        <v>44957</v>
      </c>
      <c r="C1101" s="1">
        <v>45084</v>
      </c>
      <c r="D1101">
        <v>39</v>
      </c>
      <c r="E1101" t="s">
        <v>6</v>
      </c>
      <c r="F1101" t="s">
        <v>7</v>
      </c>
    </row>
    <row r="1102" spans="1:6" x14ac:dyDescent="0.3">
      <c r="A1102">
        <v>188206991</v>
      </c>
      <c r="B1102" s="1">
        <v>44957</v>
      </c>
      <c r="C1102" s="1">
        <v>45033</v>
      </c>
      <c r="D1102">
        <v>39</v>
      </c>
      <c r="E1102" t="s">
        <v>6</v>
      </c>
      <c r="F1102" t="s">
        <v>7</v>
      </c>
    </row>
    <row r="1103" spans="1:6" x14ac:dyDescent="0.3">
      <c r="A1103">
        <v>184330352</v>
      </c>
      <c r="B1103" s="1">
        <v>44957</v>
      </c>
      <c r="C1103" s="1">
        <v>45046</v>
      </c>
      <c r="D1103">
        <v>39</v>
      </c>
      <c r="E1103" t="s">
        <v>6</v>
      </c>
      <c r="F1103" t="s">
        <v>7</v>
      </c>
    </row>
    <row r="1104" spans="1:6" x14ac:dyDescent="0.3">
      <c r="A1104">
        <v>198701510</v>
      </c>
      <c r="B1104" s="1">
        <v>44957</v>
      </c>
      <c r="C1104" s="1">
        <v>45031</v>
      </c>
      <c r="D1104">
        <v>39</v>
      </c>
      <c r="E1104" t="s">
        <v>6</v>
      </c>
      <c r="F1104" t="s">
        <v>7</v>
      </c>
    </row>
    <row r="1105" spans="1:6" x14ac:dyDescent="0.3">
      <c r="A1105">
        <v>164909402</v>
      </c>
      <c r="B1105" s="1">
        <v>44957</v>
      </c>
      <c r="C1105" s="1">
        <v>44984</v>
      </c>
      <c r="D1105">
        <v>39</v>
      </c>
      <c r="E1105" t="s">
        <v>6</v>
      </c>
      <c r="F1105" t="s">
        <v>7</v>
      </c>
    </row>
    <row r="1106" spans="1:6" x14ac:dyDescent="0.3">
      <c r="A1106">
        <v>126737063</v>
      </c>
      <c r="B1106" s="1">
        <v>44957</v>
      </c>
      <c r="C1106" s="1">
        <v>45156</v>
      </c>
      <c r="D1106">
        <v>39</v>
      </c>
      <c r="E1106" t="s">
        <v>6</v>
      </c>
      <c r="F1106" t="s">
        <v>7</v>
      </c>
    </row>
    <row r="1107" spans="1:6" x14ac:dyDescent="0.3">
      <c r="A1107">
        <v>194472898</v>
      </c>
      <c r="B1107" s="1">
        <v>44958</v>
      </c>
      <c r="D1107">
        <v>39</v>
      </c>
      <c r="E1107" t="s">
        <v>6</v>
      </c>
      <c r="F1107" t="s">
        <v>7</v>
      </c>
    </row>
    <row r="1108" spans="1:6" x14ac:dyDescent="0.3">
      <c r="A1108">
        <v>200962065</v>
      </c>
      <c r="B1108" s="1">
        <v>44958</v>
      </c>
      <c r="D1108">
        <v>39</v>
      </c>
      <c r="E1108" t="s">
        <v>6</v>
      </c>
      <c r="F1108" t="s">
        <v>7</v>
      </c>
    </row>
    <row r="1109" spans="1:6" x14ac:dyDescent="0.3">
      <c r="A1109">
        <v>196821289</v>
      </c>
      <c r="B1109" s="1">
        <v>44958</v>
      </c>
      <c r="D1109">
        <v>39</v>
      </c>
      <c r="E1109" t="s">
        <v>6</v>
      </c>
      <c r="F1109" t="s">
        <v>7</v>
      </c>
    </row>
    <row r="1110" spans="1:6" x14ac:dyDescent="0.3">
      <c r="A1110">
        <v>200867442</v>
      </c>
      <c r="B1110" s="1">
        <v>44958</v>
      </c>
      <c r="D1110">
        <v>39</v>
      </c>
      <c r="E1110" t="s">
        <v>6</v>
      </c>
      <c r="F1110" t="s">
        <v>7</v>
      </c>
    </row>
    <row r="1111" spans="1:6" x14ac:dyDescent="0.3">
      <c r="A1111">
        <v>187855576</v>
      </c>
      <c r="B1111" s="1">
        <v>44958</v>
      </c>
      <c r="D1111">
        <v>39</v>
      </c>
      <c r="E1111" t="s">
        <v>6</v>
      </c>
      <c r="F1111" t="s">
        <v>7</v>
      </c>
    </row>
    <row r="1112" spans="1:6" x14ac:dyDescent="0.3">
      <c r="A1112">
        <v>198475060</v>
      </c>
      <c r="B1112" s="1">
        <v>44958</v>
      </c>
      <c r="C1112" s="1">
        <v>44959</v>
      </c>
      <c r="D1112">
        <v>39</v>
      </c>
      <c r="E1112" t="s">
        <v>6</v>
      </c>
      <c r="F1112" t="s">
        <v>8</v>
      </c>
    </row>
    <row r="1113" spans="1:6" x14ac:dyDescent="0.3">
      <c r="A1113">
        <v>137201021</v>
      </c>
      <c r="B1113" s="1">
        <v>44958</v>
      </c>
      <c r="C1113" s="1">
        <v>45106</v>
      </c>
      <c r="D1113">
        <v>39</v>
      </c>
      <c r="E1113" t="s">
        <v>6</v>
      </c>
      <c r="F1113" t="s">
        <v>7</v>
      </c>
    </row>
    <row r="1114" spans="1:6" x14ac:dyDescent="0.3">
      <c r="A1114">
        <v>192942271</v>
      </c>
      <c r="B1114" s="1">
        <v>44958</v>
      </c>
      <c r="C1114" s="1">
        <v>45104</v>
      </c>
      <c r="D1114">
        <v>39</v>
      </c>
      <c r="E1114" t="s">
        <v>6</v>
      </c>
      <c r="F1114" t="s">
        <v>7</v>
      </c>
    </row>
    <row r="1115" spans="1:6" x14ac:dyDescent="0.3">
      <c r="A1115">
        <v>155088727</v>
      </c>
      <c r="B1115" s="1">
        <v>44958</v>
      </c>
      <c r="C1115" s="1">
        <v>45071</v>
      </c>
      <c r="D1115">
        <v>39</v>
      </c>
      <c r="E1115" t="s">
        <v>6</v>
      </c>
      <c r="F1115" t="s">
        <v>7</v>
      </c>
    </row>
    <row r="1116" spans="1:6" x14ac:dyDescent="0.3">
      <c r="A1116">
        <v>145416349</v>
      </c>
      <c r="B1116" s="1">
        <v>44958</v>
      </c>
      <c r="C1116" s="1">
        <v>45047</v>
      </c>
      <c r="D1116">
        <v>39</v>
      </c>
      <c r="E1116" t="s">
        <v>6</v>
      </c>
      <c r="F1116" t="s">
        <v>7</v>
      </c>
    </row>
    <row r="1117" spans="1:6" x14ac:dyDescent="0.3">
      <c r="A1117">
        <v>154064672</v>
      </c>
      <c r="B1117" s="1">
        <v>44958</v>
      </c>
      <c r="C1117" s="1">
        <v>45041</v>
      </c>
      <c r="D1117">
        <v>39</v>
      </c>
      <c r="E1117" t="s">
        <v>6</v>
      </c>
      <c r="F1117" t="s">
        <v>7</v>
      </c>
    </row>
    <row r="1118" spans="1:6" x14ac:dyDescent="0.3">
      <c r="A1118">
        <v>174670793</v>
      </c>
      <c r="B1118" s="1">
        <v>44958</v>
      </c>
      <c r="C1118" s="1">
        <v>45039</v>
      </c>
      <c r="D1118">
        <v>39</v>
      </c>
      <c r="E1118" t="s">
        <v>6</v>
      </c>
      <c r="F1118" t="s">
        <v>7</v>
      </c>
    </row>
    <row r="1119" spans="1:6" x14ac:dyDescent="0.3">
      <c r="A1119">
        <v>200600365</v>
      </c>
      <c r="B1119" s="1">
        <v>44958</v>
      </c>
      <c r="C1119" s="1">
        <v>45029</v>
      </c>
      <c r="D1119">
        <v>39</v>
      </c>
      <c r="E1119" t="s">
        <v>6</v>
      </c>
      <c r="F1119" t="s">
        <v>7</v>
      </c>
    </row>
    <row r="1120" spans="1:6" x14ac:dyDescent="0.3">
      <c r="A1120">
        <v>196253752</v>
      </c>
      <c r="B1120" s="1">
        <v>44958</v>
      </c>
      <c r="C1120" s="1">
        <v>44976</v>
      </c>
      <c r="D1120">
        <v>39</v>
      </c>
      <c r="E1120" t="s">
        <v>6</v>
      </c>
      <c r="F1120" t="s">
        <v>7</v>
      </c>
    </row>
    <row r="1121" spans="1:6" x14ac:dyDescent="0.3">
      <c r="A1121">
        <v>148710722</v>
      </c>
      <c r="B1121" s="1">
        <v>44958</v>
      </c>
      <c r="C1121" s="1">
        <v>44960</v>
      </c>
      <c r="D1121">
        <v>39</v>
      </c>
      <c r="E1121" t="s">
        <v>6</v>
      </c>
      <c r="F1121" t="s">
        <v>7</v>
      </c>
    </row>
    <row r="1122" spans="1:6" x14ac:dyDescent="0.3">
      <c r="A1122">
        <v>201015936</v>
      </c>
      <c r="B1122" s="1">
        <v>44958</v>
      </c>
      <c r="C1122" s="1">
        <v>44971</v>
      </c>
      <c r="D1122">
        <v>39</v>
      </c>
      <c r="E1122" t="s">
        <v>6</v>
      </c>
      <c r="F1122" t="s">
        <v>7</v>
      </c>
    </row>
    <row r="1123" spans="1:6" x14ac:dyDescent="0.3">
      <c r="A1123">
        <v>200766423</v>
      </c>
      <c r="B1123" s="1">
        <v>44958</v>
      </c>
      <c r="C1123" s="1">
        <v>44963</v>
      </c>
      <c r="D1123">
        <v>39</v>
      </c>
      <c r="E1123" t="s">
        <v>6</v>
      </c>
      <c r="F1123" t="s">
        <v>7</v>
      </c>
    </row>
    <row r="1124" spans="1:6" x14ac:dyDescent="0.3">
      <c r="A1124">
        <v>188152753</v>
      </c>
      <c r="B1124" s="1">
        <v>44958</v>
      </c>
      <c r="C1124" s="1">
        <v>44995</v>
      </c>
      <c r="D1124">
        <v>39</v>
      </c>
      <c r="E1124" t="s">
        <v>6</v>
      </c>
      <c r="F1124" t="s">
        <v>7</v>
      </c>
    </row>
    <row r="1125" spans="1:6" x14ac:dyDescent="0.3">
      <c r="A1125">
        <v>194406214</v>
      </c>
      <c r="B1125" s="1">
        <v>44958</v>
      </c>
      <c r="C1125" s="1">
        <v>45149</v>
      </c>
      <c r="D1125">
        <v>39</v>
      </c>
      <c r="E1125" t="s">
        <v>6</v>
      </c>
      <c r="F1125" t="s">
        <v>7</v>
      </c>
    </row>
    <row r="1126" spans="1:6" x14ac:dyDescent="0.3">
      <c r="A1126">
        <v>199388324</v>
      </c>
      <c r="B1126" s="1">
        <v>44959</v>
      </c>
      <c r="D1126">
        <v>39</v>
      </c>
      <c r="E1126" t="s">
        <v>6</v>
      </c>
      <c r="F1126" t="s">
        <v>7</v>
      </c>
    </row>
    <row r="1127" spans="1:6" x14ac:dyDescent="0.3">
      <c r="A1127">
        <v>202030516</v>
      </c>
      <c r="B1127" s="1">
        <v>44959</v>
      </c>
      <c r="D1127">
        <v>39</v>
      </c>
      <c r="E1127" t="s">
        <v>6</v>
      </c>
      <c r="F1127" t="s">
        <v>7</v>
      </c>
    </row>
    <row r="1128" spans="1:6" x14ac:dyDescent="0.3">
      <c r="A1128">
        <v>196926212</v>
      </c>
      <c r="B1128" s="1">
        <v>44959</v>
      </c>
      <c r="D1128">
        <v>39</v>
      </c>
      <c r="E1128" t="s">
        <v>6</v>
      </c>
      <c r="F1128" t="s">
        <v>7</v>
      </c>
    </row>
    <row r="1129" spans="1:6" x14ac:dyDescent="0.3">
      <c r="A1129">
        <v>199374328</v>
      </c>
      <c r="B1129" s="1">
        <v>44959</v>
      </c>
      <c r="C1129" s="1">
        <v>45113</v>
      </c>
      <c r="D1129">
        <v>39</v>
      </c>
      <c r="E1129" t="s">
        <v>6</v>
      </c>
      <c r="F1129" t="s">
        <v>7</v>
      </c>
    </row>
    <row r="1130" spans="1:6" x14ac:dyDescent="0.3">
      <c r="A1130">
        <v>201313318</v>
      </c>
      <c r="B1130" s="1">
        <v>44959</v>
      </c>
      <c r="C1130" s="1">
        <v>45076</v>
      </c>
      <c r="D1130">
        <v>39</v>
      </c>
      <c r="E1130" t="s">
        <v>6</v>
      </c>
      <c r="F1130" t="s">
        <v>7</v>
      </c>
    </row>
    <row r="1131" spans="1:6" x14ac:dyDescent="0.3">
      <c r="A1131">
        <v>200960179</v>
      </c>
      <c r="B1131" s="1">
        <v>44959</v>
      </c>
      <c r="C1131" s="1">
        <v>45077</v>
      </c>
      <c r="D1131">
        <v>39</v>
      </c>
      <c r="E1131" t="s">
        <v>6</v>
      </c>
      <c r="F1131" t="s">
        <v>7</v>
      </c>
    </row>
    <row r="1132" spans="1:6" x14ac:dyDescent="0.3">
      <c r="A1132">
        <v>180890046</v>
      </c>
      <c r="B1132" s="1">
        <v>44959</v>
      </c>
      <c r="C1132" s="1">
        <v>45073</v>
      </c>
      <c r="D1132">
        <v>39</v>
      </c>
      <c r="E1132" t="s">
        <v>6</v>
      </c>
      <c r="F1132" t="s">
        <v>7</v>
      </c>
    </row>
    <row r="1133" spans="1:6" x14ac:dyDescent="0.3">
      <c r="A1133">
        <v>159227956</v>
      </c>
      <c r="B1133" s="1">
        <v>44959</v>
      </c>
      <c r="C1133" s="1">
        <v>45055</v>
      </c>
      <c r="D1133">
        <v>39</v>
      </c>
      <c r="E1133" t="s">
        <v>6</v>
      </c>
      <c r="F1133" t="s">
        <v>7</v>
      </c>
    </row>
    <row r="1134" spans="1:6" x14ac:dyDescent="0.3">
      <c r="A1134">
        <v>182325407</v>
      </c>
      <c r="B1134" s="1">
        <v>44959</v>
      </c>
      <c r="C1134" s="1">
        <v>45019</v>
      </c>
      <c r="D1134">
        <v>39</v>
      </c>
      <c r="E1134" t="s">
        <v>6</v>
      </c>
      <c r="F1134" t="s">
        <v>7</v>
      </c>
    </row>
    <row r="1135" spans="1:6" x14ac:dyDescent="0.3">
      <c r="A1135">
        <v>194828965</v>
      </c>
      <c r="B1135" s="1">
        <v>44959</v>
      </c>
      <c r="C1135" s="1">
        <v>45018</v>
      </c>
      <c r="D1135">
        <v>39</v>
      </c>
      <c r="E1135" t="s">
        <v>6</v>
      </c>
      <c r="F1135" t="s">
        <v>7</v>
      </c>
    </row>
    <row r="1136" spans="1:6" x14ac:dyDescent="0.3">
      <c r="A1136">
        <v>202139613</v>
      </c>
      <c r="B1136" s="1">
        <v>44959</v>
      </c>
      <c r="C1136" s="1">
        <v>44991</v>
      </c>
      <c r="D1136">
        <v>39</v>
      </c>
      <c r="E1136" t="s">
        <v>6</v>
      </c>
      <c r="F1136" t="s">
        <v>7</v>
      </c>
    </row>
    <row r="1137" spans="1:6" x14ac:dyDescent="0.3">
      <c r="A1137">
        <v>202137510</v>
      </c>
      <c r="B1137" s="1">
        <v>44959</v>
      </c>
      <c r="C1137" s="1">
        <v>44995</v>
      </c>
      <c r="D1137">
        <v>39</v>
      </c>
      <c r="E1137" t="s">
        <v>6</v>
      </c>
      <c r="F1137" t="s">
        <v>7</v>
      </c>
    </row>
    <row r="1138" spans="1:6" x14ac:dyDescent="0.3">
      <c r="A1138">
        <v>201182176</v>
      </c>
      <c r="B1138" s="1">
        <v>44959</v>
      </c>
      <c r="C1138" s="1">
        <v>44987</v>
      </c>
      <c r="D1138">
        <v>39</v>
      </c>
      <c r="E1138" t="s">
        <v>6</v>
      </c>
      <c r="F1138" t="s">
        <v>7</v>
      </c>
    </row>
    <row r="1139" spans="1:6" x14ac:dyDescent="0.3">
      <c r="A1139">
        <v>202010803</v>
      </c>
      <c r="B1139" s="1">
        <v>44959</v>
      </c>
      <c r="C1139" s="1">
        <v>44986</v>
      </c>
      <c r="D1139">
        <v>39</v>
      </c>
      <c r="E1139" t="s">
        <v>6</v>
      </c>
      <c r="F1139" t="s">
        <v>7</v>
      </c>
    </row>
    <row r="1140" spans="1:6" x14ac:dyDescent="0.3">
      <c r="A1140">
        <v>131734107</v>
      </c>
      <c r="B1140" s="1">
        <v>44960</v>
      </c>
      <c r="C1140" s="1">
        <v>45172</v>
      </c>
      <c r="D1140">
        <v>39</v>
      </c>
      <c r="E1140" t="s">
        <v>6</v>
      </c>
      <c r="F1140" t="s">
        <v>7</v>
      </c>
    </row>
    <row r="1141" spans="1:6" x14ac:dyDescent="0.3">
      <c r="A1141">
        <v>202277130</v>
      </c>
      <c r="B1141" s="1">
        <v>44960</v>
      </c>
      <c r="C1141" s="1">
        <v>45017</v>
      </c>
      <c r="D1141">
        <v>39</v>
      </c>
      <c r="E1141" t="s">
        <v>6</v>
      </c>
      <c r="F1141" t="s">
        <v>7</v>
      </c>
    </row>
    <row r="1142" spans="1:6" x14ac:dyDescent="0.3">
      <c r="A1142">
        <v>137196428</v>
      </c>
      <c r="B1142" s="1">
        <v>44960</v>
      </c>
      <c r="C1142" s="1">
        <v>44994</v>
      </c>
      <c r="D1142">
        <v>39</v>
      </c>
      <c r="E1142" t="s">
        <v>6</v>
      </c>
      <c r="F1142" t="s">
        <v>7</v>
      </c>
    </row>
    <row r="1143" spans="1:6" x14ac:dyDescent="0.3">
      <c r="A1143">
        <v>153568282</v>
      </c>
      <c r="B1143" s="1">
        <v>44960</v>
      </c>
      <c r="C1143" s="1">
        <v>44973</v>
      </c>
      <c r="D1143">
        <v>39</v>
      </c>
      <c r="E1143" t="s">
        <v>6</v>
      </c>
      <c r="F1143" t="s">
        <v>7</v>
      </c>
    </row>
    <row r="1144" spans="1:6" x14ac:dyDescent="0.3">
      <c r="A1144">
        <v>199895190</v>
      </c>
      <c r="B1144" s="1">
        <v>44960</v>
      </c>
      <c r="C1144" s="1">
        <v>44998</v>
      </c>
      <c r="D1144">
        <v>39</v>
      </c>
      <c r="E1144" t="s">
        <v>6</v>
      </c>
      <c r="F1144" t="s">
        <v>7</v>
      </c>
    </row>
    <row r="1145" spans="1:6" x14ac:dyDescent="0.3">
      <c r="A1145">
        <v>200894076</v>
      </c>
      <c r="B1145" s="1">
        <v>44960</v>
      </c>
      <c r="C1145" s="1">
        <v>45015</v>
      </c>
      <c r="D1145">
        <v>39</v>
      </c>
      <c r="E1145" t="s">
        <v>6</v>
      </c>
      <c r="F1145" t="s">
        <v>7</v>
      </c>
    </row>
    <row r="1146" spans="1:6" x14ac:dyDescent="0.3">
      <c r="A1146">
        <v>201162862</v>
      </c>
      <c r="B1146" s="1">
        <v>44960</v>
      </c>
      <c r="C1146" s="1">
        <v>44995</v>
      </c>
      <c r="D1146">
        <v>39</v>
      </c>
      <c r="E1146" t="s">
        <v>6</v>
      </c>
      <c r="F1146" t="s">
        <v>7</v>
      </c>
    </row>
    <row r="1147" spans="1:6" x14ac:dyDescent="0.3">
      <c r="A1147">
        <v>198748705</v>
      </c>
      <c r="B1147" s="1">
        <v>44960</v>
      </c>
      <c r="C1147" s="1">
        <v>45011</v>
      </c>
      <c r="D1147">
        <v>39</v>
      </c>
      <c r="E1147" t="s">
        <v>6</v>
      </c>
      <c r="F1147" t="s">
        <v>7</v>
      </c>
    </row>
    <row r="1148" spans="1:6" x14ac:dyDescent="0.3">
      <c r="A1148">
        <v>202308735</v>
      </c>
      <c r="B1148" s="1">
        <v>44960</v>
      </c>
      <c r="C1148" s="1">
        <v>45159</v>
      </c>
      <c r="D1148">
        <v>39</v>
      </c>
      <c r="E1148" t="s">
        <v>6</v>
      </c>
      <c r="F1148" t="s">
        <v>7</v>
      </c>
    </row>
    <row r="1149" spans="1:6" x14ac:dyDescent="0.3">
      <c r="A1149">
        <v>202276540</v>
      </c>
      <c r="B1149" s="1">
        <v>44960</v>
      </c>
      <c r="C1149" s="1">
        <v>45110</v>
      </c>
      <c r="D1149">
        <v>39</v>
      </c>
      <c r="E1149" t="s">
        <v>6</v>
      </c>
      <c r="F1149" t="s">
        <v>7</v>
      </c>
    </row>
    <row r="1150" spans="1:6" x14ac:dyDescent="0.3">
      <c r="A1150">
        <v>202401357</v>
      </c>
      <c r="B1150" s="1">
        <v>44961</v>
      </c>
      <c r="D1150">
        <v>39</v>
      </c>
      <c r="E1150" t="s">
        <v>6</v>
      </c>
      <c r="F1150" t="s">
        <v>7</v>
      </c>
    </row>
    <row r="1151" spans="1:6" x14ac:dyDescent="0.3">
      <c r="A1151">
        <v>184539258</v>
      </c>
      <c r="B1151" s="1">
        <v>44961</v>
      </c>
      <c r="C1151" s="1">
        <v>45048</v>
      </c>
      <c r="D1151">
        <v>39</v>
      </c>
      <c r="E1151" t="s">
        <v>6</v>
      </c>
      <c r="F1151" t="s">
        <v>7</v>
      </c>
    </row>
    <row r="1152" spans="1:6" x14ac:dyDescent="0.3">
      <c r="A1152">
        <v>202349754</v>
      </c>
      <c r="B1152" s="1">
        <v>44961</v>
      </c>
      <c r="C1152" s="1">
        <v>45054</v>
      </c>
      <c r="D1152">
        <v>39</v>
      </c>
      <c r="E1152" t="s">
        <v>6</v>
      </c>
      <c r="F1152" t="s">
        <v>7</v>
      </c>
    </row>
    <row r="1153" spans="1:6" x14ac:dyDescent="0.3">
      <c r="A1153">
        <v>202410436</v>
      </c>
      <c r="B1153" s="1">
        <v>44961</v>
      </c>
      <c r="C1153" s="1">
        <v>44982</v>
      </c>
      <c r="D1153">
        <v>39</v>
      </c>
      <c r="E1153" t="s">
        <v>6</v>
      </c>
      <c r="F1153" t="s">
        <v>7</v>
      </c>
    </row>
    <row r="1154" spans="1:6" x14ac:dyDescent="0.3">
      <c r="A1154">
        <v>197151544</v>
      </c>
      <c r="B1154" s="1">
        <v>44961</v>
      </c>
      <c r="C1154" s="1">
        <v>45006</v>
      </c>
      <c r="D1154">
        <v>39</v>
      </c>
      <c r="E1154" t="s">
        <v>6</v>
      </c>
      <c r="F1154" t="s">
        <v>7</v>
      </c>
    </row>
    <row r="1155" spans="1:6" x14ac:dyDescent="0.3">
      <c r="A1155">
        <v>202305934</v>
      </c>
      <c r="B1155" s="1">
        <v>44961</v>
      </c>
      <c r="C1155" s="1">
        <v>45004</v>
      </c>
      <c r="D1155">
        <v>39</v>
      </c>
      <c r="E1155" t="s">
        <v>6</v>
      </c>
      <c r="F1155" t="s">
        <v>7</v>
      </c>
    </row>
    <row r="1156" spans="1:6" x14ac:dyDescent="0.3">
      <c r="A1156">
        <v>202304812</v>
      </c>
      <c r="B1156" s="1">
        <v>44962</v>
      </c>
      <c r="D1156">
        <v>39</v>
      </c>
      <c r="E1156" t="s">
        <v>6</v>
      </c>
      <c r="F1156" t="s">
        <v>7</v>
      </c>
    </row>
    <row r="1157" spans="1:6" x14ac:dyDescent="0.3">
      <c r="A1157">
        <v>160030890</v>
      </c>
      <c r="B1157" s="1">
        <v>44962</v>
      </c>
      <c r="D1157">
        <v>39</v>
      </c>
      <c r="E1157" t="s">
        <v>6</v>
      </c>
      <c r="F1157" t="s">
        <v>7</v>
      </c>
    </row>
    <row r="1158" spans="1:6" x14ac:dyDescent="0.3">
      <c r="A1158">
        <v>202524608</v>
      </c>
      <c r="B1158" s="1">
        <v>44962</v>
      </c>
      <c r="D1158">
        <v>39</v>
      </c>
      <c r="E1158" t="s">
        <v>6</v>
      </c>
      <c r="F1158" t="s">
        <v>7</v>
      </c>
    </row>
    <row r="1159" spans="1:6" x14ac:dyDescent="0.3">
      <c r="A1159">
        <v>198447368</v>
      </c>
      <c r="B1159" s="1">
        <v>44962</v>
      </c>
      <c r="D1159">
        <v>39</v>
      </c>
      <c r="E1159" t="s">
        <v>6</v>
      </c>
      <c r="F1159" t="s">
        <v>7</v>
      </c>
    </row>
    <row r="1160" spans="1:6" x14ac:dyDescent="0.3">
      <c r="A1160">
        <v>202458624</v>
      </c>
      <c r="B1160" s="1">
        <v>44962</v>
      </c>
      <c r="D1160">
        <v>39</v>
      </c>
      <c r="E1160" t="s">
        <v>6</v>
      </c>
      <c r="F1160" t="s">
        <v>7</v>
      </c>
    </row>
    <row r="1161" spans="1:6" x14ac:dyDescent="0.3">
      <c r="A1161">
        <v>132256211</v>
      </c>
      <c r="B1161" s="1">
        <v>44962</v>
      </c>
      <c r="C1161" s="1">
        <v>44997</v>
      </c>
      <c r="D1161">
        <v>39</v>
      </c>
      <c r="E1161" t="s">
        <v>6</v>
      </c>
      <c r="F1161" t="s">
        <v>7</v>
      </c>
    </row>
    <row r="1162" spans="1:6" x14ac:dyDescent="0.3">
      <c r="A1162">
        <v>202504135</v>
      </c>
      <c r="B1162" s="1">
        <v>44962</v>
      </c>
      <c r="C1162" s="1">
        <v>45089</v>
      </c>
      <c r="D1162">
        <v>39</v>
      </c>
      <c r="E1162" t="s">
        <v>6</v>
      </c>
      <c r="F1162" t="s">
        <v>7</v>
      </c>
    </row>
    <row r="1163" spans="1:6" x14ac:dyDescent="0.3">
      <c r="A1163">
        <v>192182455</v>
      </c>
      <c r="B1163" s="1">
        <v>44962</v>
      </c>
      <c r="C1163" s="1">
        <v>45052</v>
      </c>
      <c r="D1163">
        <v>39</v>
      </c>
      <c r="E1163" t="s">
        <v>6</v>
      </c>
      <c r="F1163" t="s">
        <v>7</v>
      </c>
    </row>
    <row r="1164" spans="1:6" x14ac:dyDescent="0.3">
      <c r="A1164">
        <v>202505276</v>
      </c>
      <c r="B1164" s="1">
        <v>44962</v>
      </c>
      <c r="C1164" s="1">
        <v>44999</v>
      </c>
      <c r="D1164">
        <v>39</v>
      </c>
      <c r="E1164" t="s">
        <v>6</v>
      </c>
      <c r="F1164" t="s">
        <v>7</v>
      </c>
    </row>
    <row r="1165" spans="1:6" x14ac:dyDescent="0.3">
      <c r="A1165">
        <v>152050632</v>
      </c>
      <c r="B1165" s="1">
        <v>44963</v>
      </c>
      <c r="D1165">
        <v>39</v>
      </c>
      <c r="E1165" t="s">
        <v>6</v>
      </c>
      <c r="F1165" t="s">
        <v>7</v>
      </c>
    </row>
    <row r="1166" spans="1:6" x14ac:dyDescent="0.3">
      <c r="A1166">
        <v>201313284</v>
      </c>
      <c r="B1166" s="1">
        <v>44963</v>
      </c>
      <c r="D1166">
        <v>39</v>
      </c>
      <c r="E1166" t="s">
        <v>6</v>
      </c>
      <c r="F1166" t="s">
        <v>7</v>
      </c>
    </row>
    <row r="1167" spans="1:6" x14ac:dyDescent="0.3">
      <c r="A1167">
        <v>202118292</v>
      </c>
      <c r="B1167" s="1">
        <v>44963</v>
      </c>
      <c r="D1167">
        <v>39</v>
      </c>
      <c r="E1167" t="s">
        <v>6</v>
      </c>
      <c r="F1167" t="s">
        <v>7</v>
      </c>
    </row>
    <row r="1168" spans="1:6" x14ac:dyDescent="0.3">
      <c r="A1168">
        <v>202298964</v>
      </c>
      <c r="B1168" s="1">
        <v>44963</v>
      </c>
      <c r="D1168">
        <v>39</v>
      </c>
      <c r="E1168" t="s">
        <v>6</v>
      </c>
      <c r="F1168" t="s">
        <v>7</v>
      </c>
    </row>
    <row r="1169" spans="1:6" x14ac:dyDescent="0.3">
      <c r="A1169">
        <v>202496216</v>
      </c>
      <c r="B1169" s="1">
        <v>44963</v>
      </c>
      <c r="D1169">
        <v>39</v>
      </c>
      <c r="E1169" t="s">
        <v>6</v>
      </c>
      <c r="F1169" t="s">
        <v>7</v>
      </c>
    </row>
    <row r="1170" spans="1:6" x14ac:dyDescent="0.3">
      <c r="A1170">
        <v>152354478</v>
      </c>
      <c r="B1170" s="1">
        <v>44963</v>
      </c>
      <c r="D1170">
        <v>39</v>
      </c>
      <c r="E1170" t="s">
        <v>6</v>
      </c>
      <c r="F1170" t="s">
        <v>7</v>
      </c>
    </row>
    <row r="1171" spans="1:6" x14ac:dyDescent="0.3">
      <c r="A1171">
        <v>200490112</v>
      </c>
      <c r="B1171" s="1">
        <v>44963</v>
      </c>
      <c r="C1171" s="1">
        <v>44964</v>
      </c>
      <c r="D1171">
        <v>39</v>
      </c>
      <c r="E1171" t="s">
        <v>6</v>
      </c>
      <c r="F1171" t="s">
        <v>8</v>
      </c>
    </row>
    <row r="1172" spans="1:6" x14ac:dyDescent="0.3">
      <c r="A1172">
        <v>131310280</v>
      </c>
      <c r="B1172" s="1">
        <v>44963</v>
      </c>
      <c r="C1172" s="1">
        <v>44974</v>
      </c>
      <c r="D1172">
        <v>39</v>
      </c>
      <c r="E1172" t="s">
        <v>6</v>
      </c>
      <c r="F1172" t="s">
        <v>7</v>
      </c>
    </row>
    <row r="1173" spans="1:6" x14ac:dyDescent="0.3">
      <c r="A1173">
        <v>154161250</v>
      </c>
      <c r="B1173" s="1">
        <v>44963</v>
      </c>
      <c r="C1173" s="1">
        <v>45006</v>
      </c>
      <c r="D1173">
        <v>39</v>
      </c>
      <c r="E1173" t="s">
        <v>6</v>
      </c>
      <c r="F1173" t="s">
        <v>7</v>
      </c>
    </row>
    <row r="1174" spans="1:6" x14ac:dyDescent="0.3">
      <c r="A1174">
        <v>150521180</v>
      </c>
      <c r="B1174" s="1">
        <v>44963</v>
      </c>
      <c r="C1174" s="1">
        <v>45082</v>
      </c>
      <c r="D1174">
        <v>39</v>
      </c>
      <c r="E1174" t="s">
        <v>6</v>
      </c>
      <c r="F1174" t="s">
        <v>7</v>
      </c>
    </row>
    <row r="1175" spans="1:6" x14ac:dyDescent="0.3">
      <c r="A1175">
        <v>195280988</v>
      </c>
      <c r="B1175" s="1">
        <v>44963</v>
      </c>
      <c r="C1175" s="1">
        <v>45098</v>
      </c>
      <c r="D1175">
        <v>39</v>
      </c>
      <c r="E1175" t="s">
        <v>6</v>
      </c>
      <c r="F1175" t="s">
        <v>7</v>
      </c>
    </row>
    <row r="1176" spans="1:6" x14ac:dyDescent="0.3">
      <c r="A1176">
        <v>201231494</v>
      </c>
      <c r="B1176" s="1">
        <v>44963</v>
      </c>
      <c r="C1176" s="1">
        <v>45055</v>
      </c>
      <c r="D1176">
        <v>39</v>
      </c>
      <c r="E1176" t="s">
        <v>6</v>
      </c>
      <c r="F1176" t="s">
        <v>7</v>
      </c>
    </row>
    <row r="1177" spans="1:6" x14ac:dyDescent="0.3">
      <c r="A1177">
        <v>199554496</v>
      </c>
      <c r="B1177" s="1">
        <v>44963</v>
      </c>
      <c r="C1177" s="1">
        <v>44965</v>
      </c>
      <c r="D1177">
        <v>39</v>
      </c>
      <c r="E1177" t="s">
        <v>6</v>
      </c>
      <c r="F1177" t="s">
        <v>7</v>
      </c>
    </row>
    <row r="1178" spans="1:6" x14ac:dyDescent="0.3">
      <c r="A1178">
        <v>125747106</v>
      </c>
      <c r="B1178" s="1">
        <v>44963</v>
      </c>
      <c r="C1178" s="1">
        <v>44989</v>
      </c>
      <c r="D1178">
        <v>39</v>
      </c>
      <c r="E1178" t="s">
        <v>6</v>
      </c>
      <c r="F1178" t="s">
        <v>7</v>
      </c>
    </row>
    <row r="1179" spans="1:6" x14ac:dyDescent="0.3">
      <c r="A1179">
        <v>195345030</v>
      </c>
      <c r="B1179" s="1">
        <v>44963</v>
      </c>
      <c r="C1179" s="1">
        <v>44989</v>
      </c>
      <c r="D1179">
        <v>39</v>
      </c>
      <c r="E1179" t="s">
        <v>6</v>
      </c>
      <c r="F1179" t="s">
        <v>7</v>
      </c>
    </row>
    <row r="1180" spans="1:6" x14ac:dyDescent="0.3">
      <c r="A1180">
        <v>202269874</v>
      </c>
      <c r="B1180" s="1">
        <v>44963</v>
      </c>
      <c r="C1180" s="1">
        <v>45010</v>
      </c>
      <c r="D1180">
        <v>39</v>
      </c>
      <c r="E1180" t="s">
        <v>6</v>
      </c>
      <c r="F1180" t="s">
        <v>7</v>
      </c>
    </row>
    <row r="1181" spans="1:6" x14ac:dyDescent="0.3">
      <c r="A1181">
        <v>191036527</v>
      </c>
      <c r="B1181" s="1">
        <v>44963</v>
      </c>
      <c r="C1181" s="1">
        <v>44992</v>
      </c>
      <c r="D1181">
        <v>39</v>
      </c>
      <c r="E1181" t="s">
        <v>6</v>
      </c>
      <c r="F1181" t="s">
        <v>7</v>
      </c>
    </row>
    <row r="1182" spans="1:6" x14ac:dyDescent="0.3">
      <c r="A1182">
        <v>202633556</v>
      </c>
      <c r="B1182" s="1">
        <v>44963</v>
      </c>
      <c r="C1182" s="1">
        <v>44979</v>
      </c>
      <c r="D1182">
        <v>39</v>
      </c>
      <c r="E1182" t="s">
        <v>6</v>
      </c>
      <c r="F1182" t="s">
        <v>7</v>
      </c>
    </row>
    <row r="1183" spans="1:6" x14ac:dyDescent="0.3">
      <c r="A1183">
        <v>202750328</v>
      </c>
      <c r="B1183" s="1">
        <v>44963</v>
      </c>
      <c r="C1183" s="1">
        <v>45140</v>
      </c>
      <c r="D1183">
        <v>39</v>
      </c>
      <c r="E1183" t="s">
        <v>6</v>
      </c>
      <c r="F1183" t="s">
        <v>7</v>
      </c>
    </row>
    <row r="1184" spans="1:6" x14ac:dyDescent="0.3">
      <c r="A1184">
        <v>192781688</v>
      </c>
      <c r="B1184" s="1">
        <v>44964</v>
      </c>
      <c r="D1184">
        <v>39</v>
      </c>
      <c r="E1184" t="s">
        <v>6</v>
      </c>
      <c r="F1184" t="s">
        <v>7</v>
      </c>
    </row>
    <row r="1185" spans="1:6" x14ac:dyDescent="0.3">
      <c r="A1185">
        <v>196859472</v>
      </c>
      <c r="B1185" s="1">
        <v>44964</v>
      </c>
      <c r="D1185">
        <v>39</v>
      </c>
      <c r="E1185" t="s">
        <v>6</v>
      </c>
      <c r="F1185" t="s">
        <v>7</v>
      </c>
    </row>
    <row r="1186" spans="1:6" x14ac:dyDescent="0.3">
      <c r="A1186">
        <v>200333728</v>
      </c>
      <c r="B1186" s="1">
        <v>44964</v>
      </c>
      <c r="D1186">
        <v>39</v>
      </c>
      <c r="E1186" t="s">
        <v>6</v>
      </c>
      <c r="F1186" t="s">
        <v>7</v>
      </c>
    </row>
    <row r="1187" spans="1:6" x14ac:dyDescent="0.3">
      <c r="A1187">
        <v>129896329</v>
      </c>
      <c r="B1187" s="1">
        <v>44964</v>
      </c>
      <c r="D1187">
        <v>39</v>
      </c>
      <c r="E1187" t="s">
        <v>6</v>
      </c>
      <c r="F1187" t="s">
        <v>7</v>
      </c>
    </row>
    <row r="1188" spans="1:6" x14ac:dyDescent="0.3">
      <c r="A1188">
        <v>168202891</v>
      </c>
      <c r="B1188" s="1">
        <v>44964</v>
      </c>
      <c r="C1188" s="1">
        <v>44964</v>
      </c>
      <c r="D1188">
        <v>39</v>
      </c>
      <c r="E1188" t="s">
        <v>6</v>
      </c>
      <c r="F1188" t="s">
        <v>8</v>
      </c>
    </row>
    <row r="1189" spans="1:6" x14ac:dyDescent="0.3">
      <c r="A1189">
        <v>202924219</v>
      </c>
      <c r="B1189" s="1">
        <v>44964</v>
      </c>
      <c r="C1189" s="1">
        <v>45097</v>
      </c>
      <c r="D1189">
        <v>39</v>
      </c>
      <c r="E1189" t="s">
        <v>6</v>
      </c>
      <c r="F1189" t="s">
        <v>7</v>
      </c>
    </row>
    <row r="1190" spans="1:6" x14ac:dyDescent="0.3">
      <c r="A1190">
        <v>202863670</v>
      </c>
      <c r="B1190" s="1">
        <v>44964</v>
      </c>
      <c r="C1190" s="1">
        <v>45030</v>
      </c>
      <c r="D1190">
        <v>39</v>
      </c>
      <c r="E1190" t="s">
        <v>6</v>
      </c>
      <c r="F1190" t="s">
        <v>7</v>
      </c>
    </row>
    <row r="1191" spans="1:6" x14ac:dyDescent="0.3">
      <c r="A1191">
        <v>202398629</v>
      </c>
      <c r="B1191" s="1">
        <v>44964</v>
      </c>
      <c r="C1191" s="1">
        <v>44991</v>
      </c>
      <c r="D1191">
        <v>39</v>
      </c>
      <c r="E1191" t="s">
        <v>6</v>
      </c>
      <c r="F1191" t="s">
        <v>7</v>
      </c>
    </row>
    <row r="1192" spans="1:6" x14ac:dyDescent="0.3">
      <c r="A1192">
        <v>188448878</v>
      </c>
      <c r="B1192" s="1">
        <v>44964</v>
      </c>
      <c r="C1192" s="1">
        <v>44964</v>
      </c>
      <c r="D1192">
        <v>39</v>
      </c>
      <c r="E1192" t="s">
        <v>6</v>
      </c>
      <c r="F1192" t="s">
        <v>7</v>
      </c>
    </row>
    <row r="1193" spans="1:6" x14ac:dyDescent="0.3">
      <c r="A1193">
        <v>203254948</v>
      </c>
      <c r="B1193" s="1">
        <v>44965</v>
      </c>
      <c r="D1193">
        <v>39</v>
      </c>
      <c r="E1193" t="s">
        <v>6</v>
      </c>
      <c r="F1193" t="s">
        <v>7</v>
      </c>
    </row>
    <row r="1194" spans="1:6" x14ac:dyDescent="0.3">
      <c r="A1194">
        <v>203120229</v>
      </c>
      <c r="B1194" s="1">
        <v>44965</v>
      </c>
      <c r="C1194" s="1">
        <v>45094</v>
      </c>
      <c r="D1194">
        <v>39</v>
      </c>
      <c r="E1194" t="s">
        <v>6</v>
      </c>
      <c r="F1194" t="s">
        <v>7</v>
      </c>
    </row>
    <row r="1195" spans="1:6" x14ac:dyDescent="0.3">
      <c r="A1195">
        <v>203225874</v>
      </c>
      <c r="B1195" s="1">
        <v>44965</v>
      </c>
      <c r="C1195" s="1">
        <v>45050</v>
      </c>
      <c r="D1195">
        <v>39</v>
      </c>
      <c r="E1195" t="s">
        <v>6</v>
      </c>
      <c r="F1195" t="s">
        <v>7</v>
      </c>
    </row>
    <row r="1196" spans="1:6" x14ac:dyDescent="0.3">
      <c r="A1196">
        <v>203107308</v>
      </c>
      <c r="B1196" s="1">
        <v>44965</v>
      </c>
      <c r="C1196" s="1">
        <v>45062</v>
      </c>
      <c r="D1196">
        <v>39</v>
      </c>
      <c r="E1196" t="s">
        <v>6</v>
      </c>
      <c r="F1196" t="s">
        <v>7</v>
      </c>
    </row>
    <row r="1197" spans="1:6" x14ac:dyDescent="0.3">
      <c r="A1197">
        <v>156558244</v>
      </c>
      <c r="B1197" s="1">
        <v>44965</v>
      </c>
      <c r="C1197" s="1">
        <v>45138</v>
      </c>
      <c r="D1197">
        <v>39</v>
      </c>
      <c r="E1197" t="s">
        <v>6</v>
      </c>
      <c r="F1197" t="s">
        <v>7</v>
      </c>
    </row>
    <row r="1198" spans="1:6" x14ac:dyDescent="0.3">
      <c r="A1198">
        <v>194306726</v>
      </c>
      <c r="B1198" s="1">
        <v>44965</v>
      </c>
      <c r="C1198" s="1">
        <v>44986</v>
      </c>
      <c r="D1198">
        <v>39</v>
      </c>
      <c r="E1198" t="s">
        <v>6</v>
      </c>
      <c r="F1198" t="s">
        <v>7</v>
      </c>
    </row>
    <row r="1199" spans="1:6" x14ac:dyDescent="0.3">
      <c r="A1199">
        <v>202410948</v>
      </c>
      <c r="B1199" s="1">
        <v>44965</v>
      </c>
      <c r="C1199" s="1">
        <v>45000</v>
      </c>
      <c r="D1199">
        <v>39</v>
      </c>
      <c r="E1199" t="s">
        <v>6</v>
      </c>
      <c r="F1199" t="s">
        <v>7</v>
      </c>
    </row>
    <row r="1200" spans="1:6" x14ac:dyDescent="0.3">
      <c r="A1200">
        <v>203166018</v>
      </c>
      <c r="B1200" s="1">
        <v>44965</v>
      </c>
      <c r="C1200" s="1">
        <v>44993</v>
      </c>
      <c r="D1200">
        <v>39</v>
      </c>
      <c r="E1200" t="s">
        <v>6</v>
      </c>
      <c r="F1200" t="s">
        <v>7</v>
      </c>
    </row>
    <row r="1201" spans="1:6" x14ac:dyDescent="0.3">
      <c r="A1201">
        <v>203116697</v>
      </c>
      <c r="B1201" s="1">
        <v>44965</v>
      </c>
      <c r="C1201" s="1">
        <v>45008</v>
      </c>
      <c r="D1201">
        <v>39</v>
      </c>
      <c r="E1201" t="s">
        <v>6</v>
      </c>
      <c r="F1201" t="s">
        <v>7</v>
      </c>
    </row>
    <row r="1202" spans="1:6" x14ac:dyDescent="0.3">
      <c r="A1202">
        <v>202982608</v>
      </c>
      <c r="B1202" s="1">
        <v>44965</v>
      </c>
      <c r="C1202" s="1">
        <v>44987</v>
      </c>
      <c r="D1202">
        <v>39</v>
      </c>
      <c r="E1202" t="s">
        <v>6</v>
      </c>
      <c r="F1202" t="s">
        <v>7</v>
      </c>
    </row>
    <row r="1203" spans="1:6" x14ac:dyDescent="0.3">
      <c r="A1203">
        <v>198167700</v>
      </c>
      <c r="B1203" s="1">
        <v>44965</v>
      </c>
      <c r="C1203" s="1">
        <v>44968</v>
      </c>
      <c r="D1203">
        <v>39</v>
      </c>
      <c r="E1203" t="s">
        <v>6</v>
      </c>
      <c r="F1203" t="s">
        <v>7</v>
      </c>
    </row>
    <row r="1204" spans="1:6" x14ac:dyDescent="0.3">
      <c r="A1204">
        <v>190567582</v>
      </c>
      <c r="B1204" s="1">
        <v>44965</v>
      </c>
      <c r="C1204" s="1">
        <v>44979</v>
      </c>
      <c r="D1204">
        <v>39</v>
      </c>
      <c r="E1204" t="s">
        <v>6</v>
      </c>
      <c r="F1204" t="s">
        <v>7</v>
      </c>
    </row>
    <row r="1205" spans="1:6" x14ac:dyDescent="0.3">
      <c r="A1205">
        <v>202699972</v>
      </c>
      <c r="B1205" s="1">
        <v>44965</v>
      </c>
      <c r="C1205" s="1">
        <v>45145</v>
      </c>
      <c r="D1205">
        <v>39</v>
      </c>
      <c r="E1205" t="s">
        <v>6</v>
      </c>
      <c r="F1205" t="s">
        <v>7</v>
      </c>
    </row>
    <row r="1206" spans="1:6" x14ac:dyDescent="0.3">
      <c r="A1206">
        <v>203242766</v>
      </c>
      <c r="B1206" s="1">
        <v>44966</v>
      </c>
      <c r="D1206">
        <v>39</v>
      </c>
      <c r="E1206" t="s">
        <v>6</v>
      </c>
      <c r="F1206" t="s">
        <v>7</v>
      </c>
    </row>
    <row r="1207" spans="1:6" x14ac:dyDescent="0.3">
      <c r="A1207">
        <v>203398103</v>
      </c>
      <c r="B1207" s="1">
        <v>44966</v>
      </c>
      <c r="D1207">
        <v>39</v>
      </c>
      <c r="E1207" t="s">
        <v>6</v>
      </c>
      <c r="F1207" t="s">
        <v>7</v>
      </c>
    </row>
    <row r="1208" spans="1:6" x14ac:dyDescent="0.3">
      <c r="A1208">
        <v>203243685</v>
      </c>
      <c r="B1208" s="1">
        <v>44966</v>
      </c>
      <c r="D1208">
        <v>39</v>
      </c>
      <c r="E1208" t="s">
        <v>6</v>
      </c>
      <c r="F1208" t="s">
        <v>7</v>
      </c>
    </row>
    <row r="1209" spans="1:6" x14ac:dyDescent="0.3">
      <c r="A1209">
        <v>203370322</v>
      </c>
      <c r="B1209" s="1">
        <v>44966</v>
      </c>
      <c r="D1209">
        <v>39</v>
      </c>
      <c r="E1209" t="s">
        <v>6</v>
      </c>
      <c r="F1209" t="s">
        <v>7</v>
      </c>
    </row>
    <row r="1210" spans="1:6" x14ac:dyDescent="0.3">
      <c r="A1210">
        <v>138689458</v>
      </c>
      <c r="B1210" s="1">
        <v>44966</v>
      </c>
      <c r="D1210">
        <v>39</v>
      </c>
      <c r="E1210" t="s">
        <v>6</v>
      </c>
      <c r="F1210" t="s">
        <v>7</v>
      </c>
    </row>
    <row r="1211" spans="1:6" x14ac:dyDescent="0.3">
      <c r="A1211">
        <v>203315186</v>
      </c>
      <c r="B1211" s="1">
        <v>44966</v>
      </c>
      <c r="D1211">
        <v>39</v>
      </c>
      <c r="E1211" t="s">
        <v>6</v>
      </c>
      <c r="F1211" t="s">
        <v>7</v>
      </c>
    </row>
    <row r="1212" spans="1:6" x14ac:dyDescent="0.3">
      <c r="A1212">
        <v>203292575</v>
      </c>
      <c r="B1212" s="1">
        <v>44966</v>
      </c>
      <c r="D1212">
        <v>39</v>
      </c>
      <c r="E1212" t="s">
        <v>6</v>
      </c>
      <c r="F1212" t="s">
        <v>7</v>
      </c>
    </row>
    <row r="1213" spans="1:6" x14ac:dyDescent="0.3">
      <c r="A1213">
        <v>144830936</v>
      </c>
      <c r="B1213" s="1">
        <v>44966</v>
      </c>
      <c r="C1213" s="1">
        <v>44967</v>
      </c>
      <c r="D1213">
        <v>39</v>
      </c>
      <c r="E1213" t="s">
        <v>6</v>
      </c>
      <c r="F1213" t="s">
        <v>7</v>
      </c>
    </row>
    <row r="1214" spans="1:6" x14ac:dyDescent="0.3">
      <c r="A1214">
        <v>168980588</v>
      </c>
      <c r="B1214" s="1">
        <v>44966</v>
      </c>
      <c r="C1214" s="1">
        <v>44966</v>
      </c>
      <c r="D1214">
        <v>39</v>
      </c>
      <c r="E1214" t="s">
        <v>6</v>
      </c>
      <c r="F1214" t="s">
        <v>8</v>
      </c>
    </row>
    <row r="1215" spans="1:6" x14ac:dyDescent="0.3">
      <c r="A1215">
        <v>136832520</v>
      </c>
      <c r="B1215" s="1">
        <v>44966</v>
      </c>
      <c r="C1215" s="1">
        <v>44995</v>
      </c>
      <c r="D1215">
        <v>39</v>
      </c>
      <c r="E1215" t="s">
        <v>6</v>
      </c>
      <c r="F1215" t="s">
        <v>7</v>
      </c>
    </row>
    <row r="1216" spans="1:6" x14ac:dyDescent="0.3">
      <c r="A1216">
        <v>202103959</v>
      </c>
      <c r="B1216" s="1">
        <v>44966</v>
      </c>
      <c r="C1216" s="1">
        <v>45073</v>
      </c>
      <c r="D1216">
        <v>39</v>
      </c>
      <c r="E1216" t="s">
        <v>6</v>
      </c>
      <c r="F1216" t="s">
        <v>7</v>
      </c>
    </row>
    <row r="1217" spans="1:6" x14ac:dyDescent="0.3">
      <c r="A1217">
        <v>148764147</v>
      </c>
      <c r="B1217" s="1">
        <v>44966</v>
      </c>
      <c r="C1217" s="1">
        <v>45024</v>
      </c>
      <c r="D1217">
        <v>39</v>
      </c>
      <c r="E1217" t="s">
        <v>6</v>
      </c>
      <c r="F1217" t="s">
        <v>7</v>
      </c>
    </row>
    <row r="1218" spans="1:6" x14ac:dyDescent="0.3">
      <c r="A1218">
        <v>182748610</v>
      </c>
      <c r="B1218" s="1">
        <v>44966</v>
      </c>
      <c r="C1218" s="1">
        <v>45027</v>
      </c>
      <c r="D1218">
        <v>39</v>
      </c>
      <c r="E1218" t="s">
        <v>6</v>
      </c>
      <c r="F1218" t="s">
        <v>7</v>
      </c>
    </row>
    <row r="1219" spans="1:6" x14ac:dyDescent="0.3">
      <c r="A1219">
        <v>197883626</v>
      </c>
      <c r="B1219" s="1">
        <v>44966</v>
      </c>
      <c r="C1219" s="1">
        <v>45001</v>
      </c>
      <c r="D1219">
        <v>39</v>
      </c>
      <c r="E1219" t="s">
        <v>6</v>
      </c>
      <c r="F1219" t="s">
        <v>7</v>
      </c>
    </row>
    <row r="1220" spans="1:6" x14ac:dyDescent="0.3">
      <c r="A1220">
        <v>195893842</v>
      </c>
      <c r="B1220" s="1">
        <v>44966</v>
      </c>
      <c r="C1220" s="1">
        <v>44985</v>
      </c>
      <c r="D1220">
        <v>39</v>
      </c>
      <c r="E1220" t="s">
        <v>6</v>
      </c>
      <c r="F1220" t="s">
        <v>7</v>
      </c>
    </row>
    <row r="1221" spans="1:6" x14ac:dyDescent="0.3">
      <c r="A1221">
        <v>169081778</v>
      </c>
      <c r="B1221" s="1">
        <v>44966</v>
      </c>
      <c r="C1221" s="1">
        <v>45154</v>
      </c>
      <c r="D1221">
        <v>39</v>
      </c>
      <c r="E1221" t="s">
        <v>6</v>
      </c>
      <c r="F1221" t="s">
        <v>7</v>
      </c>
    </row>
    <row r="1222" spans="1:6" x14ac:dyDescent="0.3">
      <c r="A1222">
        <v>150422738</v>
      </c>
      <c r="B1222" s="1">
        <v>44967</v>
      </c>
      <c r="C1222" s="1">
        <v>44968</v>
      </c>
      <c r="D1222">
        <v>39</v>
      </c>
      <c r="E1222" t="s">
        <v>6</v>
      </c>
      <c r="F1222" t="s">
        <v>7</v>
      </c>
    </row>
    <row r="1223" spans="1:6" x14ac:dyDescent="0.3">
      <c r="A1223">
        <v>190839721</v>
      </c>
      <c r="B1223" s="1">
        <v>44967</v>
      </c>
      <c r="C1223" s="1">
        <v>45002</v>
      </c>
      <c r="D1223">
        <v>39</v>
      </c>
      <c r="E1223" t="s">
        <v>6</v>
      </c>
      <c r="F1223" t="s">
        <v>7</v>
      </c>
    </row>
    <row r="1224" spans="1:6" x14ac:dyDescent="0.3">
      <c r="A1224">
        <v>152193617</v>
      </c>
      <c r="B1224" s="1">
        <v>44968</v>
      </c>
      <c r="D1224">
        <v>39</v>
      </c>
      <c r="E1224" t="s">
        <v>6</v>
      </c>
      <c r="F1224" t="s">
        <v>7</v>
      </c>
    </row>
    <row r="1225" spans="1:6" x14ac:dyDescent="0.3">
      <c r="A1225">
        <v>133869989</v>
      </c>
      <c r="B1225" s="1">
        <v>44968</v>
      </c>
      <c r="C1225" s="1">
        <v>44969</v>
      </c>
      <c r="D1225">
        <v>39</v>
      </c>
      <c r="E1225" t="s">
        <v>6</v>
      </c>
      <c r="F1225" t="s">
        <v>7</v>
      </c>
    </row>
    <row r="1226" spans="1:6" x14ac:dyDescent="0.3">
      <c r="A1226">
        <v>186843516</v>
      </c>
      <c r="B1226" s="1">
        <v>44968</v>
      </c>
      <c r="C1226" s="1">
        <v>45035</v>
      </c>
      <c r="D1226">
        <v>39</v>
      </c>
      <c r="E1226" t="s">
        <v>6</v>
      </c>
      <c r="F1226" t="s">
        <v>7</v>
      </c>
    </row>
    <row r="1227" spans="1:6" x14ac:dyDescent="0.3">
      <c r="A1227">
        <v>138913080</v>
      </c>
      <c r="B1227" s="1">
        <v>44968</v>
      </c>
      <c r="C1227" s="1">
        <v>45038</v>
      </c>
      <c r="D1227">
        <v>39</v>
      </c>
      <c r="E1227" t="s">
        <v>6</v>
      </c>
      <c r="F1227" t="s">
        <v>7</v>
      </c>
    </row>
    <row r="1228" spans="1:6" x14ac:dyDescent="0.3">
      <c r="A1228">
        <v>134879280</v>
      </c>
      <c r="B1228" s="1">
        <v>44968</v>
      </c>
      <c r="C1228" s="1">
        <v>44992</v>
      </c>
      <c r="D1228">
        <v>39</v>
      </c>
      <c r="E1228" t="s">
        <v>6</v>
      </c>
      <c r="F1228" t="s">
        <v>7</v>
      </c>
    </row>
    <row r="1229" spans="1:6" x14ac:dyDescent="0.3">
      <c r="A1229">
        <v>160878134</v>
      </c>
      <c r="B1229" s="1">
        <v>44970</v>
      </c>
      <c r="D1229">
        <v>39</v>
      </c>
      <c r="E1229" t="s">
        <v>6</v>
      </c>
      <c r="F1229" t="s">
        <v>7</v>
      </c>
    </row>
    <row r="1230" spans="1:6" x14ac:dyDescent="0.3">
      <c r="A1230">
        <v>144423338</v>
      </c>
      <c r="B1230" s="1">
        <v>44970</v>
      </c>
      <c r="C1230" s="1">
        <v>45159</v>
      </c>
      <c r="D1230">
        <v>39</v>
      </c>
      <c r="E1230" t="s">
        <v>6</v>
      </c>
      <c r="F1230" t="s">
        <v>7</v>
      </c>
    </row>
    <row r="1231" spans="1:6" x14ac:dyDescent="0.3">
      <c r="A1231">
        <v>136218542</v>
      </c>
      <c r="B1231" s="1">
        <v>44970</v>
      </c>
      <c r="C1231" s="1">
        <v>45059</v>
      </c>
      <c r="D1231">
        <v>39</v>
      </c>
      <c r="E1231" t="s">
        <v>6</v>
      </c>
      <c r="F1231" t="s">
        <v>7</v>
      </c>
    </row>
    <row r="1232" spans="1:6" x14ac:dyDescent="0.3">
      <c r="A1232">
        <v>204121686</v>
      </c>
      <c r="B1232" s="1">
        <v>44970</v>
      </c>
      <c r="C1232" s="1">
        <v>45089</v>
      </c>
      <c r="D1232">
        <v>39</v>
      </c>
      <c r="E1232" t="s">
        <v>6</v>
      </c>
      <c r="F1232" t="s">
        <v>7</v>
      </c>
    </row>
    <row r="1233" spans="1:6" x14ac:dyDescent="0.3">
      <c r="A1233">
        <v>204114138</v>
      </c>
      <c r="B1233" s="1">
        <v>44970</v>
      </c>
      <c r="C1233" s="1">
        <v>45056</v>
      </c>
      <c r="D1233">
        <v>39</v>
      </c>
      <c r="E1233" t="s">
        <v>6</v>
      </c>
      <c r="F1233" t="s">
        <v>7</v>
      </c>
    </row>
    <row r="1234" spans="1:6" x14ac:dyDescent="0.3">
      <c r="A1234">
        <v>152197442</v>
      </c>
      <c r="B1234" s="1">
        <v>44970</v>
      </c>
      <c r="C1234" s="1">
        <v>44998</v>
      </c>
      <c r="D1234">
        <v>39</v>
      </c>
      <c r="E1234" t="s">
        <v>6</v>
      </c>
      <c r="F1234" t="s">
        <v>7</v>
      </c>
    </row>
    <row r="1235" spans="1:6" x14ac:dyDescent="0.3">
      <c r="A1235">
        <v>151695881</v>
      </c>
      <c r="B1235" s="1">
        <v>44970</v>
      </c>
      <c r="C1235" s="1">
        <v>45012</v>
      </c>
      <c r="D1235">
        <v>39</v>
      </c>
      <c r="E1235" t="s">
        <v>6</v>
      </c>
      <c r="F1235" t="s">
        <v>7</v>
      </c>
    </row>
    <row r="1236" spans="1:6" x14ac:dyDescent="0.3">
      <c r="A1236">
        <v>204378294</v>
      </c>
      <c r="B1236" s="1">
        <v>44971</v>
      </c>
      <c r="D1236">
        <v>39</v>
      </c>
      <c r="E1236" t="s">
        <v>6</v>
      </c>
      <c r="F1236" t="s">
        <v>7</v>
      </c>
    </row>
    <row r="1237" spans="1:6" x14ac:dyDescent="0.3">
      <c r="A1237">
        <v>204376665</v>
      </c>
      <c r="B1237" s="1">
        <v>44971</v>
      </c>
      <c r="D1237">
        <v>39</v>
      </c>
      <c r="E1237" t="s">
        <v>6</v>
      </c>
      <c r="F1237" t="s">
        <v>7</v>
      </c>
    </row>
    <row r="1238" spans="1:6" x14ac:dyDescent="0.3">
      <c r="A1238">
        <v>204270637</v>
      </c>
      <c r="B1238" s="1">
        <v>44971</v>
      </c>
      <c r="D1238">
        <v>39</v>
      </c>
      <c r="E1238" t="s">
        <v>6</v>
      </c>
      <c r="F1238" t="s">
        <v>7</v>
      </c>
    </row>
    <row r="1239" spans="1:6" x14ac:dyDescent="0.3">
      <c r="A1239">
        <v>204380751</v>
      </c>
      <c r="B1239" s="1">
        <v>44971</v>
      </c>
      <c r="C1239" s="1">
        <v>44971</v>
      </c>
      <c r="D1239">
        <v>39</v>
      </c>
      <c r="E1239" t="s">
        <v>6</v>
      </c>
      <c r="F1239" t="s">
        <v>7</v>
      </c>
    </row>
    <row r="1240" spans="1:6" x14ac:dyDescent="0.3">
      <c r="A1240">
        <v>204402989</v>
      </c>
      <c r="B1240" s="1">
        <v>44971</v>
      </c>
      <c r="C1240" s="1">
        <v>45085</v>
      </c>
      <c r="D1240">
        <v>39</v>
      </c>
      <c r="E1240" t="s">
        <v>6</v>
      </c>
      <c r="F1240" t="s">
        <v>7</v>
      </c>
    </row>
    <row r="1241" spans="1:6" x14ac:dyDescent="0.3">
      <c r="A1241">
        <v>203403136</v>
      </c>
      <c r="B1241" s="1">
        <v>44971</v>
      </c>
      <c r="C1241" s="1">
        <v>45089</v>
      </c>
      <c r="D1241">
        <v>39</v>
      </c>
      <c r="E1241" t="s">
        <v>6</v>
      </c>
      <c r="F1241" t="s">
        <v>7</v>
      </c>
    </row>
    <row r="1242" spans="1:6" x14ac:dyDescent="0.3">
      <c r="A1242">
        <v>198453918</v>
      </c>
      <c r="B1242" s="1">
        <v>44971</v>
      </c>
      <c r="C1242" s="1">
        <v>45061</v>
      </c>
      <c r="D1242">
        <v>39</v>
      </c>
      <c r="E1242" t="s">
        <v>6</v>
      </c>
      <c r="F1242" t="s">
        <v>7</v>
      </c>
    </row>
    <row r="1243" spans="1:6" x14ac:dyDescent="0.3">
      <c r="A1243">
        <v>133514912</v>
      </c>
      <c r="B1243" s="1">
        <v>44971</v>
      </c>
      <c r="C1243" s="1">
        <v>44992</v>
      </c>
      <c r="D1243">
        <v>39</v>
      </c>
      <c r="E1243" t="s">
        <v>6</v>
      </c>
      <c r="F1243" t="s">
        <v>7</v>
      </c>
    </row>
    <row r="1244" spans="1:6" x14ac:dyDescent="0.3">
      <c r="A1244">
        <v>203414698</v>
      </c>
      <c r="B1244" s="1">
        <v>44971</v>
      </c>
      <c r="C1244" s="1">
        <v>45011</v>
      </c>
      <c r="D1244">
        <v>39</v>
      </c>
      <c r="E1244" t="s">
        <v>6</v>
      </c>
      <c r="F1244" t="s">
        <v>7</v>
      </c>
    </row>
    <row r="1245" spans="1:6" x14ac:dyDescent="0.3">
      <c r="A1245">
        <v>190400854</v>
      </c>
      <c r="B1245" s="1">
        <v>44971</v>
      </c>
      <c r="C1245" s="1">
        <v>45127</v>
      </c>
      <c r="D1245">
        <v>39</v>
      </c>
      <c r="E1245" t="s">
        <v>6</v>
      </c>
      <c r="F1245" t="s">
        <v>7</v>
      </c>
    </row>
    <row r="1246" spans="1:6" x14ac:dyDescent="0.3">
      <c r="A1246">
        <v>204114797</v>
      </c>
      <c r="B1246" s="1">
        <v>44971</v>
      </c>
      <c r="C1246" s="1">
        <v>45095</v>
      </c>
      <c r="D1246">
        <v>39</v>
      </c>
      <c r="E1246" t="s">
        <v>6</v>
      </c>
      <c r="F1246" t="s">
        <v>7</v>
      </c>
    </row>
    <row r="1247" spans="1:6" x14ac:dyDescent="0.3">
      <c r="A1247">
        <v>202377942</v>
      </c>
      <c r="B1247" s="1">
        <v>44972</v>
      </c>
      <c r="D1247">
        <v>39</v>
      </c>
      <c r="E1247" t="s">
        <v>6</v>
      </c>
      <c r="F1247" t="s">
        <v>7</v>
      </c>
    </row>
    <row r="1248" spans="1:6" x14ac:dyDescent="0.3">
      <c r="A1248">
        <v>204555612</v>
      </c>
      <c r="B1248" s="1">
        <v>44972</v>
      </c>
      <c r="C1248" s="1">
        <v>44972</v>
      </c>
      <c r="D1248">
        <v>39</v>
      </c>
      <c r="E1248" t="s">
        <v>6</v>
      </c>
      <c r="F1248" t="s">
        <v>8</v>
      </c>
    </row>
    <row r="1249" spans="1:6" x14ac:dyDescent="0.3">
      <c r="A1249">
        <v>204556376</v>
      </c>
      <c r="B1249" s="1">
        <v>44972</v>
      </c>
      <c r="C1249" s="1">
        <v>44972</v>
      </c>
      <c r="D1249">
        <v>39</v>
      </c>
      <c r="E1249" t="s">
        <v>6</v>
      </c>
      <c r="F1249" t="s">
        <v>8</v>
      </c>
    </row>
    <row r="1250" spans="1:6" x14ac:dyDescent="0.3">
      <c r="A1250">
        <v>204515997</v>
      </c>
      <c r="B1250" s="1">
        <v>44972</v>
      </c>
      <c r="C1250" s="1">
        <v>45091</v>
      </c>
      <c r="D1250">
        <v>39</v>
      </c>
      <c r="E1250" t="s">
        <v>6</v>
      </c>
      <c r="F1250" t="s">
        <v>7</v>
      </c>
    </row>
    <row r="1251" spans="1:6" x14ac:dyDescent="0.3">
      <c r="A1251">
        <v>153342734</v>
      </c>
      <c r="B1251" s="1">
        <v>44972</v>
      </c>
      <c r="C1251" s="1">
        <v>45007</v>
      </c>
      <c r="D1251">
        <v>39</v>
      </c>
      <c r="E1251" t="s">
        <v>6</v>
      </c>
      <c r="F1251" t="s">
        <v>7</v>
      </c>
    </row>
    <row r="1252" spans="1:6" x14ac:dyDescent="0.3">
      <c r="A1252">
        <v>204650391</v>
      </c>
      <c r="B1252" s="1">
        <v>44973</v>
      </c>
      <c r="D1252">
        <v>39</v>
      </c>
      <c r="E1252" t="s">
        <v>6</v>
      </c>
      <c r="F1252" t="s">
        <v>7</v>
      </c>
    </row>
    <row r="1253" spans="1:6" x14ac:dyDescent="0.3">
      <c r="A1253">
        <v>150906486</v>
      </c>
      <c r="B1253" s="1">
        <v>44973</v>
      </c>
      <c r="C1253" s="1">
        <v>45002</v>
      </c>
      <c r="D1253">
        <v>39</v>
      </c>
      <c r="E1253" t="s">
        <v>6</v>
      </c>
      <c r="F1253" t="s">
        <v>7</v>
      </c>
    </row>
    <row r="1254" spans="1:6" x14ac:dyDescent="0.3">
      <c r="A1254">
        <v>153961940</v>
      </c>
      <c r="B1254" s="1">
        <v>44973</v>
      </c>
      <c r="C1254" s="1">
        <v>44973</v>
      </c>
      <c r="D1254">
        <v>39</v>
      </c>
      <c r="E1254" t="s">
        <v>6</v>
      </c>
      <c r="F1254" t="s">
        <v>7</v>
      </c>
    </row>
    <row r="1255" spans="1:6" x14ac:dyDescent="0.3">
      <c r="A1255">
        <v>154175766</v>
      </c>
      <c r="B1255" s="1">
        <v>44973</v>
      </c>
      <c r="C1255" s="1">
        <v>45000</v>
      </c>
      <c r="D1255">
        <v>39</v>
      </c>
      <c r="E1255" t="s">
        <v>6</v>
      </c>
      <c r="F1255" t="s">
        <v>7</v>
      </c>
    </row>
    <row r="1256" spans="1:6" x14ac:dyDescent="0.3">
      <c r="A1256">
        <v>204631298</v>
      </c>
      <c r="B1256" s="1">
        <v>44973</v>
      </c>
      <c r="C1256" s="1">
        <v>45033</v>
      </c>
      <c r="D1256">
        <v>39</v>
      </c>
      <c r="E1256" t="s">
        <v>6</v>
      </c>
      <c r="F1256" t="s">
        <v>7</v>
      </c>
    </row>
    <row r="1257" spans="1:6" x14ac:dyDescent="0.3">
      <c r="A1257">
        <v>195534585</v>
      </c>
      <c r="B1257" s="1">
        <v>44973</v>
      </c>
      <c r="C1257" s="1">
        <v>45030</v>
      </c>
      <c r="D1257">
        <v>39</v>
      </c>
      <c r="E1257" t="s">
        <v>6</v>
      </c>
      <c r="F1257" t="s">
        <v>7</v>
      </c>
    </row>
    <row r="1258" spans="1:6" x14ac:dyDescent="0.3">
      <c r="A1258">
        <v>176421166</v>
      </c>
      <c r="B1258" s="1">
        <v>44973</v>
      </c>
      <c r="C1258" s="1">
        <v>45030</v>
      </c>
      <c r="D1258">
        <v>39</v>
      </c>
      <c r="E1258" t="s">
        <v>6</v>
      </c>
      <c r="F1258" t="s">
        <v>7</v>
      </c>
    </row>
    <row r="1259" spans="1:6" x14ac:dyDescent="0.3">
      <c r="A1259">
        <v>204679416</v>
      </c>
      <c r="B1259" s="1">
        <v>44973</v>
      </c>
      <c r="C1259" s="1">
        <v>45002</v>
      </c>
      <c r="D1259">
        <v>39</v>
      </c>
      <c r="E1259" t="s">
        <v>6</v>
      </c>
      <c r="F1259" t="s">
        <v>7</v>
      </c>
    </row>
    <row r="1260" spans="1:6" x14ac:dyDescent="0.3">
      <c r="A1260">
        <v>204448721</v>
      </c>
      <c r="B1260" s="1">
        <v>44973</v>
      </c>
      <c r="C1260" s="1">
        <v>44975</v>
      </c>
      <c r="D1260">
        <v>39</v>
      </c>
      <c r="E1260" t="s">
        <v>6</v>
      </c>
      <c r="F1260" t="s">
        <v>7</v>
      </c>
    </row>
    <row r="1261" spans="1:6" x14ac:dyDescent="0.3">
      <c r="A1261">
        <v>151908347</v>
      </c>
      <c r="B1261" s="1">
        <v>44973</v>
      </c>
      <c r="C1261" s="1">
        <v>45095</v>
      </c>
      <c r="D1261">
        <v>39</v>
      </c>
      <c r="E1261" t="s">
        <v>6</v>
      </c>
      <c r="F1261" t="s">
        <v>7</v>
      </c>
    </row>
    <row r="1262" spans="1:6" x14ac:dyDescent="0.3">
      <c r="A1262">
        <v>150652956</v>
      </c>
      <c r="B1262" s="1">
        <v>44974</v>
      </c>
      <c r="C1262" s="1">
        <v>44975</v>
      </c>
      <c r="D1262">
        <v>39</v>
      </c>
      <c r="E1262" t="s">
        <v>6</v>
      </c>
      <c r="F1262" t="s">
        <v>7</v>
      </c>
    </row>
    <row r="1263" spans="1:6" x14ac:dyDescent="0.3">
      <c r="A1263">
        <v>183321644</v>
      </c>
      <c r="B1263" s="1">
        <v>44974</v>
      </c>
      <c r="C1263" s="1">
        <v>44974</v>
      </c>
      <c r="D1263">
        <v>39</v>
      </c>
      <c r="E1263" t="s">
        <v>6</v>
      </c>
      <c r="F1263" t="s">
        <v>8</v>
      </c>
    </row>
    <row r="1264" spans="1:6" x14ac:dyDescent="0.3">
      <c r="A1264">
        <v>204740476</v>
      </c>
      <c r="B1264" s="1">
        <v>44974</v>
      </c>
      <c r="C1264" s="1">
        <v>44999</v>
      </c>
      <c r="D1264">
        <v>39</v>
      </c>
      <c r="E1264" t="s">
        <v>6</v>
      </c>
      <c r="F1264" t="s">
        <v>8</v>
      </c>
    </row>
    <row r="1265" spans="1:6" x14ac:dyDescent="0.3">
      <c r="A1265">
        <v>204439086</v>
      </c>
      <c r="B1265" s="1">
        <v>44974</v>
      </c>
      <c r="C1265" s="1">
        <v>45093</v>
      </c>
      <c r="D1265">
        <v>39</v>
      </c>
      <c r="E1265" t="s">
        <v>6</v>
      </c>
      <c r="F1265" t="s">
        <v>7</v>
      </c>
    </row>
    <row r="1266" spans="1:6" x14ac:dyDescent="0.3">
      <c r="A1266">
        <v>204685109</v>
      </c>
      <c r="B1266" s="1">
        <v>44974</v>
      </c>
      <c r="C1266" s="1">
        <v>45069</v>
      </c>
      <c r="D1266">
        <v>39</v>
      </c>
      <c r="E1266" t="s">
        <v>6</v>
      </c>
      <c r="F1266" t="s">
        <v>7</v>
      </c>
    </row>
    <row r="1267" spans="1:6" x14ac:dyDescent="0.3">
      <c r="A1267">
        <v>175211528</v>
      </c>
      <c r="B1267" s="1">
        <v>44974</v>
      </c>
      <c r="C1267" s="1">
        <v>44980</v>
      </c>
      <c r="D1267">
        <v>39</v>
      </c>
      <c r="E1267" t="s">
        <v>6</v>
      </c>
      <c r="F1267" t="s">
        <v>7</v>
      </c>
    </row>
    <row r="1268" spans="1:6" x14ac:dyDescent="0.3">
      <c r="A1268">
        <v>204646698</v>
      </c>
      <c r="B1268" s="1">
        <v>44974</v>
      </c>
      <c r="C1268" s="1">
        <v>44974</v>
      </c>
      <c r="D1268">
        <v>39</v>
      </c>
      <c r="E1268" t="s">
        <v>6</v>
      </c>
      <c r="F1268" t="s">
        <v>7</v>
      </c>
    </row>
    <row r="1269" spans="1:6" x14ac:dyDescent="0.3">
      <c r="A1269">
        <v>204728203</v>
      </c>
      <c r="B1269" s="1">
        <v>44974</v>
      </c>
      <c r="C1269" s="1">
        <v>45144</v>
      </c>
      <c r="D1269">
        <v>39</v>
      </c>
      <c r="E1269" t="s">
        <v>6</v>
      </c>
      <c r="F1269" t="s">
        <v>7</v>
      </c>
    </row>
    <row r="1270" spans="1:6" x14ac:dyDescent="0.3">
      <c r="A1270">
        <v>166674547</v>
      </c>
      <c r="B1270" s="1">
        <v>44974</v>
      </c>
      <c r="C1270" s="1">
        <v>45099</v>
      </c>
      <c r="D1270">
        <v>39</v>
      </c>
      <c r="E1270" t="s">
        <v>6</v>
      </c>
      <c r="F1270" t="s">
        <v>7</v>
      </c>
    </row>
    <row r="1271" spans="1:6" x14ac:dyDescent="0.3">
      <c r="A1271">
        <v>202459470</v>
      </c>
      <c r="B1271" s="1">
        <v>44975</v>
      </c>
      <c r="D1271">
        <v>39</v>
      </c>
      <c r="E1271" t="s">
        <v>6</v>
      </c>
      <c r="F1271" t="s">
        <v>7</v>
      </c>
    </row>
    <row r="1272" spans="1:6" x14ac:dyDescent="0.3">
      <c r="A1272">
        <v>155508761</v>
      </c>
      <c r="B1272" s="1">
        <v>44975</v>
      </c>
      <c r="D1272">
        <v>39</v>
      </c>
      <c r="E1272" t="s">
        <v>6</v>
      </c>
      <c r="F1272" t="s">
        <v>7</v>
      </c>
    </row>
    <row r="1273" spans="1:6" x14ac:dyDescent="0.3">
      <c r="A1273">
        <v>168484421</v>
      </c>
      <c r="B1273" s="1">
        <v>44975</v>
      </c>
      <c r="C1273" s="1">
        <v>44975</v>
      </c>
      <c r="D1273">
        <v>39</v>
      </c>
      <c r="E1273" t="s">
        <v>6</v>
      </c>
      <c r="F1273" t="s">
        <v>8</v>
      </c>
    </row>
    <row r="1274" spans="1:6" x14ac:dyDescent="0.3">
      <c r="A1274">
        <v>130864124</v>
      </c>
      <c r="B1274" s="1">
        <v>44975</v>
      </c>
      <c r="C1274" s="1">
        <v>44976</v>
      </c>
      <c r="D1274">
        <v>39</v>
      </c>
      <c r="E1274" t="s">
        <v>6</v>
      </c>
      <c r="F1274" t="s">
        <v>7</v>
      </c>
    </row>
    <row r="1275" spans="1:6" x14ac:dyDescent="0.3">
      <c r="A1275">
        <v>204752959</v>
      </c>
      <c r="B1275" s="1">
        <v>44975</v>
      </c>
      <c r="C1275" s="1">
        <v>45102</v>
      </c>
      <c r="D1275">
        <v>39</v>
      </c>
      <c r="E1275" t="s">
        <v>6</v>
      </c>
      <c r="F1275" t="s">
        <v>7</v>
      </c>
    </row>
    <row r="1276" spans="1:6" x14ac:dyDescent="0.3">
      <c r="A1276">
        <v>204761235</v>
      </c>
      <c r="B1276" s="1">
        <v>44975</v>
      </c>
      <c r="C1276" s="1">
        <v>45063</v>
      </c>
      <c r="D1276">
        <v>39</v>
      </c>
      <c r="E1276" t="s">
        <v>6</v>
      </c>
      <c r="F1276" t="s">
        <v>7</v>
      </c>
    </row>
    <row r="1277" spans="1:6" x14ac:dyDescent="0.3">
      <c r="A1277">
        <v>159142615</v>
      </c>
      <c r="B1277" s="1">
        <v>44975</v>
      </c>
      <c r="C1277" s="1">
        <v>45074</v>
      </c>
      <c r="D1277">
        <v>39</v>
      </c>
      <c r="E1277" t="s">
        <v>6</v>
      </c>
      <c r="F1277" t="s">
        <v>7</v>
      </c>
    </row>
    <row r="1278" spans="1:6" x14ac:dyDescent="0.3">
      <c r="A1278">
        <v>204753316</v>
      </c>
      <c r="B1278" s="1">
        <v>44975</v>
      </c>
      <c r="C1278" s="1">
        <v>45010</v>
      </c>
      <c r="D1278">
        <v>39</v>
      </c>
      <c r="E1278" t="s">
        <v>6</v>
      </c>
      <c r="F1278" t="s">
        <v>7</v>
      </c>
    </row>
    <row r="1279" spans="1:6" x14ac:dyDescent="0.3">
      <c r="A1279">
        <v>195188483</v>
      </c>
      <c r="B1279" s="1">
        <v>44976</v>
      </c>
      <c r="D1279">
        <v>39</v>
      </c>
      <c r="E1279" t="s">
        <v>6</v>
      </c>
      <c r="F1279" t="s">
        <v>7</v>
      </c>
    </row>
    <row r="1280" spans="1:6" x14ac:dyDescent="0.3">
      <c r="A1280">
        <v>204773056</v>
      </c>
      <c r="B1280" s="1">
        <v>44976</v>
      </c>
      <c r="D1280">
        <v>39</v>
      </c>
      <c r="E1280" t="s">
        <v>6</v>
      </c>
      <c r="F1280" t="s">
        <v>7</v>
      </c>
    </row>
    <row r="1281" spans="1:6" x14ac:dyDescent="0.3">
      <c r="A1281">
        <v>204814698</v>
      </c>
      <c r="B1281" s="1">
        <v>44976</v>
      </c>
      <c r="C1281" s="1">
        <v>45160</v>
      </c>
      <c r="D1281">
        <v>39</v>
      </c>
      <c r="E1281" t="s">
        <v>6</v>
      </c>
      <c r="F1281" t="s">
        <v>7</v>
      </c>
    </row>
    <row r="1282" spans="1:6" x14ac:dyDescent="0.3">
      <c r="A1282">
        <v>204732463</v>
      </c>
      <c r="B1282" s="1">
        <v>44976</v>
      </c>
      <c r="C1282" s="1">
        <v>45089</v>
      </c>
      <c r="D1282">
        <v>39</v>
      </c>
      <c r="E1282" t="s">
        <v>6</v>
      </c>
      <c r="F1282" t="s">
        <v>7</v>
      </c>
    </row>
    <row r="1283" spans="1:6" x14ac:dyDescent="0.3">
      <c r="A1283">
        <v>204772360</v>
      </c>
      <c r="B1283" s="1">
        <v>44976</v>
      </c>
      <c r="C1283" s="1">
        <v>45034</v>
      </c>
      <c r="D1283">
        <v>39</v>
      </c>
      <c r="E1283" t="s">
        <v>6</v>
      </c>
      <c r="F1283" t="s">
        <v>7</v>
      </c>
    </row>
    <row r="1284" spans="1:6" x14ac:dyDescent="0.3">
      <c r="A1284">
        <v>204812582</v>
      </c>
      <c r="B1284" s="1">
        <v>44976</v>
      </c>
      <c r="C1284" s="1">
        <v>45023</v>
      </c>
      <c r="D1284">
        <v>39</v>
      </c>
      <c r="E1284" t="s">
        <v>6</v>
      </c>
      <c r="F1284" t="s">
        <v>7</v>
      </c>
    </row>
    <row r="1285" spans="1:6" x14ac:dyDescent="0.3">
      <c r="A1285">
        <v>204662556</v>
      </c>
      <c r="B1285" s="1">
        <v>44976</v>
      </c>
      <c r="C1285" s="1">
        <v>45018</v>
      </c>
      <c r="D1285">
        <v>39</v>
      </c>
      <c r="E1285" t="s">
        <v>6</v>
      </c>
      <c r="F1285" t="s">
        <v>7</v>
      </c>
    </row>
    <row r="1286" spans="1:6" x14ac:dyDescent="0.3">
      <c r="A1286">
        <v>163781430</v>
      </c>
      <c r="B1286" s="1">
        <v>44976</v>
      </c>
      <c r="C1286" s="1">
        <v>45042</v>
      </c>
      <c r="D1286">
        <v>39</v>
      </c>
      <c r="E1286" t="s">
        <v>6</v>
      </c>
      <c r="F1286" t="s">
        <v>7</v>
      </c>
    </row>
    <row r="1287" spans="1:6" x14ac:dyDescent="0.3">
      <c r="A1287">
        <v>143963064</v>
      </c>
      <c r="B1287" s="1">
        <v>44976</v>
      </c>
      <c r="C1287" s="1">
        <v>45125</v>
      </c>
      <c r="D1287">
        <v>39</v>
      </c>
      <c r="E1287" t="s">
        <v>6</v>
      </c>
      <c r="F1287" t="s">
        <v>7</v>
      </c>
    </row>
    <row r="1288" spans="1:6" x14ac:dyDescent="0.3">
      <c r="A1288">
        <v>204797166</v>
      </c>
      <c r="B1288" s="1">
        <v>44976</v>
      </c>
      <c r="C1288" s="1">
        <v>44991</v>
      </c>
      <c r="D1288">
        <v>39</v>
      </c>
      <c r="E1288" t="s">
        <v>6</v>
      </c>
      <c r="F1288" t="s">
        <v>7</v>
      </c>
    </row>
    <row r="1289" spans="1:6" x14ac:dyDescent="0.3">
      <c r="A1289">
        <v>204774421</v>
      </c>
      <c r="B1289" s="1">
        <v>44976</v>
      </c>
      <c r="C1289" s="1">
        <v>44999</v>
      </c>
      <c r="D1289">
        <v>39</v>
      </c>
      <c r="E1289" t="s">
        <v>6</v>
      </c>
      <c r="F1289" t="s">
        <v>7</v>
      </c>
    </row>
    <row r="1290" spans="1:6" x14ac:dyDescent="0.3">
      <c r="A1290">
        <v>204801675</v>
      </c>
      <c r="B1290" s="1">
        <v>44976</v>
      </c>
      <c r="C1290" s="1">
        <v>45007</v>
      </c>
      <c r="D1290">
        <v>39</v>
      </c>
      <c r="E1290" t="s">
        <v>6</v>
      </c>
      <c r="F1290" t="s">
        <v>7</v>
      </c>
    </row>
    <row r="1291" spans="1:6" x14ac:dyDescent="0.3">
      <c r="A1291">
        <v>204518099</v>
      </c>
      <c r="B1291" s="1">
        <v>44976</v>
      </c>
      <c r="C1291" s="1">
        <v>44981</v>
      </c>
      <c r="D1291">
        <v>39</v>
      </c>
      <c r="E1291" t="s">
        <v>6</v>
      </c>
      <c r="F1291" t="s">
        <v>7</v>
      </c>
    </row>
    <row r="1292" spans="1:6" x14ac:dyDescent="0.3">
      <c r="A1292">
        <v>204814320</v>
      </c>
      <c r="B1292" s="1">
        <v>44977</v>
      </c>
      <c r="D1292">
        <v>39</v>
      </c>
      <c r="E1292" t="s">
        <v>6</v>
      </c>
      <c r="F1292" t="s">
        <v>7</v>
      </c>
    </row>
    <row r="1293" spans="1:6" x14ac:dyDescent="0.3">
      <c r="A1293">
        <v>126851221</v>
      </c>
      <c r="B1293" s="1">
        <v>44977</v>
      </c>
      <c r="D1293">
        <v>39</v>
      </c>
      <c r="E1293" t="s">
        <v>6</v>
      </c>
      <c r="F1293" t="s">
        <v>7</v>
      </c>
    </row>
    <row r="1294" spans="1:6" x14ac:dyDescent="0.3">
      <c r="A1294">
        <v>204845935</v>
      </c>
      <c r="B1294" s="1">
        <v>44977</v>
      </c>
      <c r="D1294">
        <v>39</v>
      </c>
      <c r="E1294" t="s">
        <v>6</v>
      </c>
      <c r="F1294" t="s">
        <v>7</v>
      </c>
    </row>
    <row r="1295" spans="1:6" x14ac:dyDescent="0.3">
      <c r="A1295">
        <v>122215146</v>
      </c>
      <c r="B1295" s="1">
        <v>44977</v>
      </c>
      <c r="C1295" s="1">
        <v>44978</v>
      </c>
      <c r="D1295">
        <v>39</v>
      </c>
      <c r="E1295" t="s">
        <v>6</v>
      </c>
      <c r="F1295" t="s">
        <v>7</v>
      </c>
    </row>
    <row r="1296" spans="1:6" x14ac:dyDescent="0.3">
      <c r="A1296">
        <v>147300748</v>
      </c>
      <c r="B1296" s="1">
        <v>44977</v>
      </c>
      <c r="C1296" s="1">
        <v>45119</v>
      </c>
      <c r="D1296">
        <v>39</v>
      </c>
      <c r="E1296" t="s">
        <v>6</v>
      </c>
      <c r="F1296" t="s">
        <v>7</v>
      </c>
    </row>
    <row r="1297" spans="1:6" x14ac:dyDescent="0.3">
      <c r="A1297">
        <v>162596645</v>
      </c>
      <c r="B1297" s="1">
        <v>44977</v>
      </c>
      <c r="C1297" s="1">
        <v>45105</v>
      </c>
      <c r="D1297">
        <v>39</v>
      </c>
      <c r="E1297" t="s">
        <v>6</v>
      </c>
      <c r="F1297" t="s">
        <v>7</v>
      </c>
    </row>
    <row r="1298" spans="1:6" x14ac:dyDescent="0.3">
      <c r="A1298">
        <v>177666771</v>
      </c>
      <c r="B1298" s="1">
        <v>44977</v>
      </c>
      <c r="C1298" s="1">
        <v>45089</v>
      </c>
      <c r="D1298">
        <v>39</v>
      </c>
      <c r="E1298" t="s">
        <v>6</v>
      </c>
      <c r="F1298" t="s">
        <v>7</v>
      </c>
    </row>
    <row r="1299" spans="1:6" x14ac:dyDescent="0.3">
      <c r="A1299">
        <v>204884248</v>
      </c>
      <c r="B1299" s="1">
        <v>44977</v>
      </c>
      <c r="C1299" s="1">
        <v>45048</v>
      </c>
      <c r="D1299">
        <v>39</v>
      </c>
      <c r="E1299" t="s">
        <v>6</v>
      </c>
      <c r="F1299" t="s">
        <v>7</v>
      </c>
    </row>
    <row r="1300" spans="1:6" x14ac:dyDescent="0.3">
      <c r="A1300">
        <v>204826054</v>
      </c>
      <c r="B1300" s="1">
        <v>44977</v>
      </c>
      <c r="C1300" s="1">
        <v>45077</v>
      </c>
      <c r="D1300">
        <v>39</v>
      </c>
      <c r="E1300" t="s">
        <v>6</v>
      </c>
      <c r="F1300" t="s">
        <v>7</v>
      </c>
    </row>
    <row r="1301" spans="1:6" x14ac:dyDescent="0.3">
      <c r="A1301">
        <v>145096572</v>
      </c>
      <c r="B1301" s="1">
        <v>44977</v>
      </c>
      <c r="C1301" s="1">
        <v>44999</v>
      </c>
      <c r="D1301">
        <v>39</v>
      </c>
      <c r="E1301" t="s">
        <v>6</v>
      </c>
      <c r="F1301" t="s">
        <v>7</v>
      </c>
    </row>
    <row r="1302" spans="1:6" x14ac:dyDescent="0.3">
      <c r="A1302">
        <v>158472404</v>
      </c>
      <c r="B1302" s="1">
        <v>44977</v>
      </c>
      <c r="C1302" s="1">
        <v>44995</v>
      </c>
      <c r="D1302">
        <v>39</v>
      </c>
      <c r="E1302" t="s">
        <v>6</v>
      </c>
      <c r="F1302" t="s">
        <v>7</v>
      </c>
    </row>
    <row r="1303" spans="1:6" x14ac:dyDescent="0.3">
      <c r="A1303">
        <v>204907118</v>
      </c>
      <c r="B1303" s="1">
        <v>44977</v>
      </c>
      <c r="C1303" s="1">
        <v>45026</v>
      </c>
      <c r="D1303">
        <v>39</v>
      </c>
      <c r="E1303" t="s">
        <v>6</v>
      </c>
      <c r="F1303" t="s">
        <v>7</v>
      </c>
    </row>
    <row r="1304" spans="1:6" x14ac:dyDescent="0.3">
      <c r="A1304">
        <v>204602410</v>
      </c>
      <c r="B1304" s="1">
        <v>44977</v>
      </c>
      <c r="C1304" s="1">
        <v>45005</v>
      </c>
      <c r="D1304">
        <v>39</v>
      </c>
      <c r="E1304" t="s">
        <v>6</v>
      </c>
      <c r="F1304" t="s">
        <v>7</v>
      </c>
    </row>
    <row r="1305" spans="1:6" x14ac:dyDescent="0.3">
      <c r="A1305">
        <v>204853460</v>
      </c>
      <c r="B1305" s="1">
        <v>44977</v>
      </c>
      <c r="C1305" s="1">
        <v>45126</v>
      </c>
      <c r="D1305">
        <v>39</v>
      </c>
      <c r="E1305" t="s">
        <v>6</v>
      </c>
      <c r="F1305" t="s">
        <v>7</v>
      </c>
    </row>
    <row r="1306" spans="1:6" x14ac:dyDescent="0.3">
      <c r="A1306">
        <v>194310997</v>
      </c>
      <c r="B1306" s="1">
        <v>44977</v>
      </c>
      <c r="C1306" s="1">
        <v>45124</v>
      </c>
      <c r="D1306">
        <v>39</v>
      </c>
      <c r="E1306" t="s">
        <v>6</v>
      </c>
      <c r="F1306" t="s">
        <v>7</v>
      </c>
    </row>
    <row r="1307" spans="1:6" x14ac:dyDescent="0.3">
      <c r="A1307">
        <v>204902258</v>
      </c>
      <c r="B1307" s="1">
        <v>44978</v>
      </c>
      <c r="D1307">
        <v>39</v>
      </c>
      <c r="E1307" t="s">
        <v>6</v>
      </c>
      <c r="F1307" t="s">
        <v>7</v>
      </c>
    </row>
    <row r="1308" spans="1:6" x14ac:dyDescent="0.3">
      <c r="A1308">
        <v>162865034</v>
      </c>
      <c r="B1308" s="1">
        <v>44978</v>
      </c>
      <c r="C1308" s="1">
        <v>45013</v>
      </c>
      <c r="D1308">
        <v>39</v>
      </c>
      <c r="E1308" t="s">
        <v>6</v>
      </c>
      <c r="F1308" t="s">
        <v>7</v>
      </c>
    </row>
    <row r="1309" spans="1:6" x14ac:dyDescent="0.3">
      <c r="A1309">
        <v>204467695</v>
      </c>
      <c r="B1309" s="1">
        <v>44978</v>
      </c>
      <c r="C1309" s="1">
        <v>45055</v>
      </c>
      <c r="D1309">
        <v>39</v>
      </c>
      <c r="E1309" t="s">
        <v>6</v>
      </c>
      <c r="F1309" t="s">
        <v>7</v>
      </c>
    </row>
    <row r="1310" spans="1:6" x14ac:dyDescent="0.3">
      <c r="A1310">
        <v>204774193</v>
      </c>
      <c r="B1310" s="1">
        <v>44978</v>
      </c>
      <c r="C1310" s="1">
        <v>45076</v>
      </c>
      <c r="D1310">
        <v>39</v>
      </c>
      <c r="E1310" t="s">
        <v>6</v>
      </c>
      <c r="F1310" t="s">
        <v>7</v>
      </c>
    </row>
    <row r="1311" spans="1:6" x14ac:dyDescent="0.3">
      <c r="A1311">
        <v>189046085</v>
      </c>
      <c r="B1311" s="1">
        <v>44978</v>
      </c>
      <c r="C1311" s="1">
        <v>45064</v>
      </c>
      <c r="D1311">
        <v>39</v>
      </c>
      <c r="E1311" t="s">
        <v>6</v>
      </c>
      <c r="F1311" t="s">
        <v>7</v>
      </c>
    </row>
    <row r="1312" spans="1:6" x14ac:dyDescent="0.3">
      <c r="A1312">
        <v>188082436</v>
      </c>
      <c r="B1312" s="1">
        <v>44978</v>
      </c>
      <c r="C1312" s="1">
        <v>45020</v>
      </c>
      <c r="D1312">
        <v>39</v>
      </c>
      <c r="E1312" t="s">
        <v>6</v>
      </c>
      <c r="F1312" t="s">
        <v>7</v>
      </c>
    </row>
    <row r="1313" spans="1:6" x14ac:dyDescent="0.3">
      <c r="A1313">
        <v>204947361</v>
      </c>
      <c r="B1313" s="1">
        <v>44978</v>
      </c>
      <c r="C1313" s="1">
        <v>45021</v>
      </c>
      <c r="D1313">
        <v>39</v>
      </c>
      <c r="E1313" t="s">
        <v>6</v>
      </c>
      <c r="F1313" t="s">
        <v>7</v>
      </c>
    </row>
    <row r="1314" spans="1:6" x14ac:dyDescent="0.3">
      <c r="A1314">
        <v>158852962</v>
      </c>
      <c r="B1314" s="1">
        <v>44978</v>
      </c>
      <c r="C1314" s="1">
        <v>45030</v>
      </c>
      <c r="D1314">
        <v>39</v>
      </c>
      <c r="E1314" t="s">
        <v>6</v>
      </c>
      <c r="F1314" t="s">
        <v>7</v>
      </c>
    </row>
    <row r="1315" spans="1:6" x14ac:dyDescent="0.3">
      <c r="A1315">
        <v>204742960</v>
      </c>
      <c r="B1315" s="1">
        <v>44978</v>
      </c>
      <c r="C1315" s="1">
        <v>44991</v>
      </c>
      <c r="D1315">
        <v>39</v>
      </c>
      <c r="E1315" t="s">
        <v>6</v>
      </c>
      <c r="F1315" t="s">
        <v>7</v>
      </c>
    </row>
    <row r="1316" spans="1:6" x14ac:dyDescent="0.3">
      <c r="A1316">
        <v>204726042</v>
      </c>
      <c r="B1316" s="1">
        <v>44978</v>
      </c>
      <c r="C1316" s="1">
        <v>45002</v>
      </c>
      <c r="D1316">
        <v>39</v>
      </c>
      <c r="E1316" t="s">
        <v>6</v>
      </c>
      <c r="F1316" t="s">
        <v>7</v>
      </c>
    </row>
    <row r="1317" spans="1:6" x14ac:dyDescent="0.3">
      <c r="A1317">
        <v>204997225</v>
      </c>
      <c r="B1317" s="1">
        <v>44979</v>
      </c>
      <c r="D1317">
        <v>39</v>
      </c>
      <c r="E1317" t="s">
        <v>6</v>
      </c>
      <c r="F1317" t="s">
        <v>7</v>
      </c>
    </row>
    <row r="1318" spans="1:6" x14ac:dyDescent="0.3">
      <c r="A1318">
        <v>126103612</v>
      </c>
      <c r="B1318" s="1">
        <v>44979</v>
      </c>
      <c r="D1318">
        <v>39</v>
      </c>
      <c r="E1318" t="s">
        <v>6</v>
      </c>
      <c r="F1318" t="s">
        <v>7</v>
      </c>
    </row>
    <row r="1319" spans="1:6" x14ac:dyDescent="0.3">
      <c r="A1319">
        <v>204934860</v>
      </c>
      <c r="B1319" s="1">
        <v>44979</v>
      </c>
      <c r="C1319" s="1">
        <v>44980</v>
      </c>
      <c r="D1319">
        <v>39</v>
      </c>
      <c r="E1319" t="s">
        <v>6</v>
      </c>
      <c r="F1319" t="s">
        <v>8</v>
      </c>
    </row>
    <row r="1320" spans="1:6" x14ac:dyDescent="0.3">
      <c r="A1320">
        <v>197086298</v>
      </c>
      <c r="B1320" s="1">
        <v>44979</v>
      </c>
      <c r="C1320" s="1">
        <v>45048</v>
      </c>
      <c r="D1320">
        <v>39</v>
      </c>
      <c r="E1320" t="s">
        <v>6</v>
      </c>
      <c r="F1320" t="s">
        <v>7</v>
      </c>
    </row>
    <row r="1321" spans="1:6" x14ac:dyDescent="0.3">
      <c r="A1321">
        <v>204732760</v>
      </c>
      <c r="B1321" s="1">
        <v>44979</v>
      </c>
      <c r="C1321" s="1">
        <v>45037</v>
      </c>
      <c r="D1321">
        <v>39</v>
      </c>
      <c r="E1321" t="s">
        <v>6</v>
      </c>
      <c r="F1321" t="s">
        <v>7</v>
      </c>
    </row>
    <row r="1322" spans="1:6" x14ac:dyDescent="0.3">
      <c r="A1322">
        <v>204985175</v>
      </c>
      <c r="B1322" s="1">
        <v>44979</v>
      </c>
      <c r="C1322" s="1">
        <v>45029</v>
      </c>
      <c r="D1322">
        <v>39</v>
      </c>
      <c r="E1322" t="s">
        <v>6</v>
      </c>
      <c r="F1322" t="s">
        <v>7</v>
      </c>
    </row>
    <row r="1323" spans="1:6" x14ac:dyDescent="0.3">
      <c r="A1323">
        <v>189387698</v>
      </c>
      <c r="B1323" s="1">
        <v>44979</v>
      </c>
      <c r="C1323" s="1">
        <v>45023</v>
      </c>
      <c r="D1323">
        <v>39</v>
      </c>
      <c r="E1323" t="s">
        <v>6</v>
      </c>
      <c r="F1323" t="s">
        <v>7</v>
      </c>
    </row>
    <row r="1324" spans="1:6" x14ac:dyDescent="0.3">
      <c r="A1324">
        <v>144160302</v>
      </c>
      <c r="B1324" s="1">
        <v>44979</v>
      </c>
      <c r="C1324" s="1">
        <v>45022</v>
      </c>
      <c r="D1324">
        <v>39</v>
      </c>
      <c r="E1324" t="s">
        <v>6</v>
      </c>
      <c r="F1324" t="s">
        <v>7</v>
      </c>
    </row>
    <row r="1325" spans="1:6" x14ac:dyDescent="0.3">
      <c r="A1325">
        <v>195774465</v>
      </c>
      <c r="B1325" s="1">
        <v>44979</v>
      </c>
      <c r="C1325" s="1">
        <v>45045</v>
      </c>
      <c r="D1325">
        <v>39</v>
      </c>
      <c r="E1325" t="s">
        <v>6</v>
      </c>
      <c r="F1325" t="s">
        <v>7</v>
      </c>
    </row>
    <row r="1326" spans="1:6" x14ac:dyDescent="0.3">
      <c r="A1326">
        <v>204890622</v>
      </c>
      <c r="B1326" s="1">
        <v>44979</v>
      </c>
      <c r="C1326" s="1">
        <v>45003</v>
      </c>
      <c r="D1326">
        <v>39</v>
      </c>
      <c r="E1326" t="s">
        <v>6</v>
      </c>
      <c r="F1326" t="s">
        <v>7</v>
      </c>
    </row>
    <row r="1327" spans="1:6" x14ac:dyDescent="0.3">
      <c r="A1327">
        <v>204206841</v>
      </c>
      <c r="B1327" s="1">
        <v>44979</v>
      </c>
      <c r="C1327" s="1">
        <v>44993</v>
      </c>
      <c r="D1327">
        <v>39</v>
      </c>
      <c r="E1327" t="s">
        <v>6</v>
      </c>
      <c r="F1327" t="s">
        <v>7</v>
      </c>
    </row>
    <row r="1328" spans="1:6" x14ac:dyDescent="0.3">
      <c r="A1328">
        <v>204955216</v>
      </c>
      <c r="B1328" s="1">
        <v>44979</v>
      </c>
      <c r="C1328" s="1">
        <v>45005</v>
      </c>
      <c r="D1328">
        <v>39</v>
      </c>
      <c r="E1328" t="s">
        <v>6</v>
      </c>
      <c r="F1328" t="s">
        <v>7</v>
      </c>
    </row>
    <row r="1329" spans="1:6" x14ac:dyDescent="0.3">
      <c r="A1329">
        <v>204992891</v>
      </c>
      <c r="B1329" s="1">
        <v>44979</v>
      </c>
      <c r="C1329" s="1">
        <v>45141</v>
      </c>
      <c r="D1329">
        <v>39</v>
      </c>
      <c r="E1329" t="s">
        <v>6</v>
      </c>
      <c r="F1329" t="s">
        <v>7</v>
      </c>
    </row>
    <row r="1330" spans="1:6" x14ac:dyDescent="0.3">
      <c r="A1330">
        <v>139152786</v>
      </c>
      <c r="B1330" s="1">
        <v>44980</v>
      </c>
      <c r="D1330">
        <v>39</v>
      </c>
      <c r="E1330" t="s">
        <v>6</v>
      </c>
      <c r="F1330" t="s">
        <v>7</v>
      </c>
    </row>
    <row r="1331" spans="1:6" x14ac:dyDescent="0.3">
      <c r="A1331">
        <v>204753108</v>
      </c>
      <c r="B1331" s="1">
        <v>44980</v>
      </c>
      <c r="D1331">
        <v>39</v>
      </c>
      <c r="E1331" t="s">
        <v>6</v>
      </c>
      <c r="F1331" t="s">
        <v>7</v>
      </c>
    </row>
    <row r="1332" spans="1:6" x14ac:dyDescent="0.3">
      <c r="A1332">
        <v>136703646</v>
      </c>
      <c r="B1332" s="1">
        <v>44980</v>
      </c>
      <c r="C1332" s="1">
        <v>45023</v>
      </c>
      <c r="D1332">
        <v>39</v>
      </c>
      <c r="E1332" t="s">
        <v>6</v>
      </c>
      <c r="F1332" t="s">
        <v>7</v>
      </c>
    </row>
    <row r="1333" spans="1:6" x14ac:dyDescent="0.3">
      <c r="A1333">
        <v>204294672</v>
      </c>
      <c r="B1333" s="1">
        <v>44980</v>
      </c>
      <c r="C1333" s="1">
        <v>45077</v>
      </c>
      <c r="D1333">
        <v>39</v>
      </c>
      <c r="E1333" t="s">
        <v>6</v>
      </c>
      <c r="F1333" t="s">
        <v>7</v>
      </c>
    </row>
    <row r="1334" spans="1:6" x14ac:dyDescent="0.3">
      <c r="A1334">
        <v>189505981</v>
      </c>
      <c r="B1334" s="1">
        <v>44980</v>
      </c>
      <c r="C1334" s="1">
        <v>45046</v>
      </c>
      <c r="D1334">
        <v>39</v>
      </c>
      <c r="E1334" t="s">
        <v>6</v>
      </c>
      <c r="F1334" t="s">
        <v>7</v>
      </c>
    </row>
    <row r="1335" spans="1:6" x14ac:dyDescent="0.3">
      <c r="A1335">
        <v>115899168</v>
      </c>
      <c r="B1335" s="1">
        <v>44980</v>
      </c>
      <c r="C1335" s="1">
        <v>45019</v>
      </c>
      <c r="D1335">
        <v>39</v>
      </c>
      <c r="E1335" t="s">
        <v>6</v>
      </c>
      <c r="F1335" t="s">
        <v>7</v>
      </c>
    </row>
    <row r="1336" spans="1:6" x14ac:dyDescent="0.3">
      <c r="A1336">
        <v>200117920</v>
      </c>
      <c r="B1336" s="1">
        <v>44980</v>
      </c>
      <c r="C1336" s="1">
        <v>45007</v>
      </c>
      <c r="D1336">
        <v>39</v>
      </c>
      <c r="E1336" t="s">
        <v>6</v>
      </c>
      <c r="F1336" t="s">
        <v>7</v>
      </c>
    </row>
    <row r="1337" spans="1:6" x14ac:dyDescent="0.3">
      <c r="A1337">
        <v>205057455</v>
      </c>
      <c r="B1337" s="1">
        <v>44980</v>
      </c>
      <c r="C1337" s="1">
        <v>45011</v>
      </c>
      <c r="D1337">
        <v>39</v>
      </c>
      <c r="E1337" t="s">
        <v>6</v>
      </c>
      <c r="F1337" t="s">
        <v>7</v>
      </c>
    </row>
    <row r="1338" spans="1:6" x14ac:dyDescent="0.3">
      <c r="A1338">
        <v>205028691</v>
      </c>
      <c r="B1338" s="1">
        <v>44980</v>
      </c>
      <c r="C1338" s="1">
        <v>44995</v>
      </c>
      <c r="D1338">
        <v>39</v>
      </c>
      <c r="E1338" t="s">
        <v>6</v>
      </c>
      <c r="F1338" t="s">
        <v>7</v>
      </c>
    </row>
    <row r="1339" spans="1:6" x14ac:dyDescent="0.3">
      <c r="A1339">
        <v>204857146</v>
      </c>
      <c r="B1339" s="1">
        <v>44980</v>
      </c>
      <c r="C1339" s="1">
        <v>44995</v>
      </c>
      <c r="D1339">
        <v>39</v>
      </c>
      <c r="E1339" t="s">
        <v>6</v>
      </c>
      <c r="F1339" t="s">
        <v>7</v>
      </c>
    </row>
    <row r="1340" spans="1:6" x14ac:dyDescent="0.3">
      <c r="A1340">
        <v>134131772</v>
      </c>
      <c r="B1340" s="1">
        <v>44981</v>
      </c>
      <c r="C1340" s="1">
        <v>45093</v>
      </c>
      <c r="D1340">
        <v>39</v>
      </c>
      <c r="E1340" t="s">
        <v>6</v>
      </c>
      <c r="F1340" t="s">
        <v>7</v>
      </c>
    </row>
    <row r="1341" spans="1:6" x14ac:dyDescent="0.3">
      <c r="A1341">
        <v>148942254</v>
      </c>
      <c r="B1341" s="1">
        <v>44981</v>
      </c>
      <c r="C1341" s="1">
        <v>45088</v>
      </c>
      <c r="D1341">
        <v>39</v>
      </c>
      <c r="E1341" t="s">
        <v>6</v>
      </c>
      <c r="F1341" t="s">
        <v>7</v>
      </c>
    </row>
    <row r="1342" spans="1:6" x14ac:dyDescent="0.3">
      <c r="A1342">
        <v>204512235</v>
      </c>
      <c r="B1342" s="1">
        <v>44981</v>
      </c>
      <c r="C1342" s="1">
        <v>45093</v>
      </c>
      <c r="D1342">
        <v>39</v>
      </c>
      <c r="E1342" t="s">
        <v>6</v>
      </c>
      <c r="F1342" t="s">
        <v>7</v>
      </c>
    </row>
    <row r="1343" spans="1:6" x14ac:dyDescent="0.3">
      <c r="A1343">
        <v>204977028</v>
      </c>
      <c r="B1343" s="1">
        <v>44981</v>
      </c>
      <c r="C1343" s="1">
        <v>45047</v>
      </c>
      <c r="D1343">
        <v>39</v>
      </c>
      <c r="E1343" t="s">
        <v>6</v>
      </c>
      <c r="F1343" t="s">
        <v>7</v>
      </c>
    </row>
    <row r="1344" spans="1:6" x14ac:dyDescent="0.3">
      <c r="A1344">
        <v>205122220</v>
      </c>
      <c r="B1344" s="1">
        <v>44981</v>
      </c>
      <c r="C1344" s="1">
        <v>45029</v>
      </c>
      <c r="D1344">
        <v>39</v>
      </c>
      <c r="E1344" t="s">
        <v>6</v>
      </c>
      <c r="F1344" t="s">
        <v>7</v>
      </c>
    </row>
    <row r="1345" spans="1:6" x14ac:dyDescent="0.3">
      <c r="A1345">
        <v>179578904</v>
      </c>
      <c r="B1345" s="1">
        <v>44981</v>
      </c>
      <c r="C1345" s="1">
        <v>45034</v>
      </c>
      <c r="D1345">
        <v>39</v>
      </c>
      <c r="E1345" t="s">
        <v>6</v>
      </c>
      <c r="F1345" t="s">
        <v>7</v>
      </c>
    </row>
    <row r="1346" spans="1:6" x14ac:dyDescent="0.3">
      <c r="A1346">
        <v>205120086</v>
      </c>
      <c r="B1346" s="1">
        <v>44981</v>
      </c>
      <c r="C1346" s="1">
        <v>45020</v>
      </c>
      <c r="D1346">
        <v>39</v>
      </c>
      <c r="E1346" t="s">
        <v>6</v>
      </c>
      <c r="F1346" t="s">
        <v>7</v>
      </c>
    </row>
    <row r="1347" spans="1:6" x14ac:dyDescent="0.3">
      <c r="A1347">
        <v>158097854</v>
      </c>
      <c r="B1347" s="1">
        <v>44981</v>
      </c>
      <c r="C1347" s="1">
        <v>45015</v>
      </c>
      <c r="D1347">
        <v>39</v>
      </c>
      <c r="E1347" t="s">
        <v>6</v>
      </c>
      <c r="F1347" t="s">
        <v>7</v>
      </c>
    </row>
    <row r="1348" spans="1:6" x14ac:dyDescent="0.3">
      <c r="A1348">
        <v>204760569</v>
      </c>
      <c r="B1348" s="1">
        <v>44981</v>
      </c>
      <c r="C1348" s="1">
        <v>45000</v>
      </c>
      <c r="D1348">
        <v>39</v>
      </c>
      <c r="E1348" t="s">
        <v>6</v>
      </c>
      <c r="F1348" t="s">
        <v>7</v>
      </c>
    </row>
    <row r="1349" spans="1:6" x14ac:dyDescent="0.3">
      <c r="A1349">
        <v>204982432</v>
      </c>
      <c r="B1349" s="1">
        <v>44981</v>
      </c>
      <c r="C1349" s="1">
        <v>45016</v>
      </c>
      <c r="D1349">
        <v>39</v>
      </c>
      <c r="E1349" t="s">
        <v>6</v>
      </c>
      <c r="F1349" t="s">
        <v>7</v>
      </c>
    </row>
    <row r="1350" spans="1:6" x14ac:dyDescent="0.3">
      <c r="A1350">
        <v>158351648</v>
      </c>
      <c r="B1350" s="1">
        <v>44981</v>
      </c>
      <c r="C1350" s="1">
        <v>45170</v>
      </c>
      <c r="D1350">
        <v>39</v>
      </c>
      <c r="E1350" t="s">
        <v>6</v>
      </c>
      <c r="F1350" t="s">
        <v>7</v>
      </c>
    </row>
    <row r="1351" spans="1:6" x14ac:dyDescent="0.3">
      <c r="A1351">
        <v>195325206</v>
      </c>
      <c r="B1351" s="1">
        <v>44982</v>
      </c>
      <c r="D1351">
        <v>39</v>
      </c>
      <c r="E1351" t="s">
        <v>6</v>
      </c>
      <c r="F1351" t="s">
        <v>7</v>
      </c>
    </row>
    <row r="1352" spans="1:6" x14ac:dyDescent="0.3">
      <c r="A1352">
        <v>205102955</v>
      </c>
      <c r="B1352" s="1">
        <v>44982</v>
      </c>
      <c r="D1352">
        <v>39</v>
      </c>
      <c r="E1352" t="s">
        <v>6</v>
      </c>
      <c r="F1352" t="s">
        <v>7</v>
      </c>
    </row>
    <row r="1353" spans="1:6" x14ac:dyDescent="0.3">
      <c r="A1353">
        <v>188092110</v>
      </c>
      <c r="B1353" s="1">
        <v>44982</v>
      </c>
      <c r="C1353" s="1">
        <v>45025</v>
      </c>
      <c r="D1353">
        <v>39</v>
      </c>
      <c r="E1353" t="s">
        <v>6</v>
      </c>
      <c r="F1353" t="s">
        <v>7</v>
      </c>
    </row>
    <row r="1354" spans="1:6" x14ac:dyDescent="0.3">
      <c r="A1354">
        <v>147615998</v>
      </c>
      <c r="B1354" s="1">
        <v>44982</v>
      </c>
      <c r="C1354" s="1">
        <v>45032</v>
      </c>
      <c r="D1354">
        <v>39</v>
      </c>
      <c r="E1354" t="s">
        <v>6</v>
      </c>
      <c r="F1354" t="s">
        <v>7</v>
      </c>
    </row>
    <row r="1355" spans="1:6" x14ac:dyDescent="0.3">
      <c r="A1355">
        <v>164751472</v>
      </c>
      <c r="B1355" s="1">
        <v>44982</v>
      </c>
      <c r="C1355" s="1">
        <v>45032</v>
      </c>
      <c r="D1355">
        <v>39</v>
      </c>
      <c r="E1355" t="s">
        <v>6</v>
      </c>
      <c r="F1355" t="s">
        <v>7</v>
      </c>
    </row>
    <row r="1356" spans="1:6" x14ac:dyDescent="0.3">
      <c r="A1356">
        <v>205215538</v>
      </c>
      <c r="B1356" s="1">
        <v>44982</v>
      </c>
      <c r="C1356" s="1">
        <v>44987</v>
      </c>
      <c r="D1356">
        <v>39</v>
      </c>
      <c r="E1356" t="s">
        <v>6</v>
      </c>
      <c r="F1356" t="s">
        <v>7</v>
      </c>
    </row>
    <row r="1357" spans="1:6" x14ac:dyDescent="0.3">
      <c r="A1357">
        <v>162962849</v>
      </c>
      <c r="B1357" s="1">
        <v>44983</v>
      </c>
      <c r="C1357" s="1">
        <v>45051</v>
      </c>
      <c r="D1357">
        <v>39</v>
      </c>
      <c r="E1357" t="s">
        <v>6</v>
      </c>
      <c r="F1357" t="s">
        <v>7</v>
      </c>
    </row>
    <row r="1358" spans="1:6" x14ac:dyDescent="0.3">
      <c r="A1358">
        <v>154229833</v>
      </c>
      <c r="B1358" s="1">
        <v>44983</v>
      </c>
      <c r="C1358" s="1">
        <v>44999</v>
      </c>
      <c r="D1358">
        <v>39</v>
      </c>
      <c r="E1358" t="s">
        <v>6</v>
      </c>
      <c r="F1358" t="s">
        <v>7</v>
      </c>
    </row>
    <row r="1359" spans="1:6" x14ac:dyDescent="0.3">
      <c r="A1359">
        <v>205338718</v>
      </c>
      <c r="B1359" s="1">
        <v>44983</v>
      </c>
      <c r="C1359" s="1">
        <v>45012</v>
      </c>
      <c r="D1359">
        <v>39</v>
      </c>
      <c r="E1359" t="s">
        <v>6</v>
      </c>
      <c r="F1359" t="s">
        <v>7</v>
      </c>
    </row>
    <row r="1360" spans="1:6" x14ac:dyDescent="0.3">
      <c r="A1360">
        <v>180798046</v>
      </c>
      <c r="B1360" s="1">
        <v>44984</v>
      </c>
      <c r="D1360">
        <v>39</v>
      </c>
      <c r="E1360" t="s">
        <v>6</v>
      </c>
      <c r="F1360" t="s">
        <v>7</v>
      </c>
    </row>
    <row r="1361" spans="1:6" x14ac:dyDescent="0.3">
      <c r="A1361">
        <v>135298992</v>
      </c>
      <c r="B1361" s="1">
        <v>44984</v>
      </c>
      <c r="C1361" s="1">
        <v>45004</v>
      </c>
      <c r="D1361">
        <v>39</v>
      </c>
      <c r="E1361" t="s">
        <v>6</v>
      </c>
      <c r="F1361" t="s">
        <v>7</v>
      </c>
    </row>
    <row r="1362" spans="1:6" x14ac:dyDescent="0.3">
      <c r="A1362">
        <v>153141802</v>
      </c>
      <c r="B1362" s="1">
        <v>44984</v>
      </c>
      <c r="C1362" s="1">
        <v>45080</v>
      </c>
      <c r="D1362">
        <v>39</v>
      </c>
      <c r="E1362" t="s">
        <v>6</v>
      </c>
      <c r="F1362" t="s">
        <v>7</v>
      </c>
    </row>
    <row r="1363" spans="1:6" x14ac:dyDescent="0.3">
      <c r="A1363">
        <v>189149014</v>
      </c>
      <c r="B1363" s="1">
        <v>44984</v>
      </c>
      <c r="C1363" s="1">
        <v>45097</v>
      </c>
      <c r="D1363">
        <v>39</v>
      </c>
      <c r="E1363" t="s">
        <v>6</v>
      </c>
      <c r="F1363" t="s">
        <v>7</v>
      </c>
    </row>
    <row r="1364" spans="1:6" x14ac:dyDescent="0.3">
      <c r="A1364">
        <v>180438277</v>
      </c>
      <c r="B1364" s="1">
        <v>44984</v>
      </c>
      <c r="C1364" s="1">
        <v>45065</v>
      </c>
      <c r="D1364">
        <v>39</v>
      </c>
      <c r="E1364" t="s">
        <v>6</v>
      </c>
      <c r="F1364" t="s">
        <v>7</v>
      </c>
    </row>
    <row r="1365" spans="1:6" x14ac:dyDescent="0.3">
      <c r="A1365">
        <v>205471532</v>
      </c>
      <c r="B1365" s="1">
        <v>44984</v>
      </c>
      <c r="C1365" s="1">
        <v>45043</v>
      </c>
      <c r="D1365">
        <v>39</v>
      </c>
      <c r="E1365" t="s">
        <v>6</v>
      </c>
      <c r="F1365" t="s">
        <v>7</v>
      </c>
    </row>
    <row r="1366" spans="1:6" x14ac:dyDescent="0.3">
      <c r="A1366">
        <v>188065488</v>
      </c>
      <c r="B1366" s="1">
        <v>44984</v>
      </c>
      <c r="C1366" s="1">
        <v>45041</v>
      </c>
      <c r="D1366">
        <v>39</v>
      </c>
      <c r="E1366" t="s">
        <v>6</v>
      </c>
      <c r="F1366" t="s">
        <v>7</v>
      </c>
    </row>
    <row r="1367" spans="1:6" x14ac:dyDescent="0.3">
      <c r="A1367">
        <v>205387672</v>
      </c>
      <c r="B1367" s="1">
        <v>44984</v>
      </c>
      <c r="C1367" s="1">
        <v>45025</v>
      </c>
      <c r="D1367">
        <v>39</v>
      </c>
      <c r="E1367" t="s">
        <v>6</v>
      </c>
      <c r="F1367" t="s">
        <v>7</v>
      </c>
    </row>
    <row r="1368" spans="1:6" x14ac:dyDescent="0.3">
      <c r="A1368">
        <v>196251908</v>
      </c>
      <c r="B1368" s="1">
        <v>44984</v>
      </c>
      <c r="C1368" s="1">
        <v>44984</v>
      </c>
      <c r="D1368">
        <v>39</v>
      </c>
      <c r="E1368" t="s">
        <v>6</v>
      </c>
      <c r="F1368" t="s">
        <v>7</v>
      </c>
    </row>
    <row r="1369" spans="1:6" x14ac:dyDescent="0.3">
      <c r="A1369">
        <v>157884031</v>
      </c>
      <c r="B1369" s="1">
        <v>44984</v>
      </c>
      <c r="C1369" s="1">
        <v>45015</v>
      </c>
      <c r="D1369">
        <v>39</v>
      </c>
      <c r="E1369" t="s">
        <v>6</v>
      </c>
      <c r="F1369" t="s">
        <v>7</v>
      </c>
    </row>
    <row r="1370" spans="1:6" x14ac:dyDescent="0.3">
      <c r="A1370">
        <v>204571386</v>
      </c>
      <c r="B1370" s="1">
        <v>44984</v>
      </c>
      <c r="C1370" s="1">
        <v>45008</v>
      </c>
      <c r="D1370">
        <v>39</v>
      </c>
      <c r="E1370" t="s">
        <v>6</v>
      </c>
      <c r="F1370" t="s">
        <v>7</v>
      </c>
    </row>
    <row r="1371" spans="1:6" x14ac:dyDescent="0.3">
      <c r="A1371">
        <v>162909529</v>
      </c>
      <c r="B1371" s="1">
        <v>44984</v>
      </c>
      <c r="C1371" s="1">
        <v>45139</v>
      </c>
      <c r="D1371">
        <v>39</v>
      </c>
      <c r="E1371" t="s">
        <v>6</v>
      </c>
      <c r="F1371" t="s">
        <v>7</v>
      </c>
    </row>
    <row r="1372" spans="1:6" x14ac:dyDescent="0.3">
      <c r="A1372">
        <v>152043244</v>
      </c>
      <c r="B1372" s="1">
        <v>44985</v>
      </c>
      <c r="D1372">
        <v>39</v>
      </c>
      <c r="E1372" t="s">
        <v>6</v>
      </c>
      <c r="F1372" t="s">
        <v>7</v>
      </c>
    </row>
    <row r="1373" spans="1:6" x14ac:dyDescent="0.3">
      <c r="A1373">
        <v>204567111</v>
      </c>
      <c r="B1373" s="1">
        <v>44985</v>
      </c>
      <c r="D1373">
        <v>39</v>
      </c>
      <c r="E1373" t="s">
        <v>6</v>
      </c>
      <c r="F1373" t="s">
        <v>7</v>
      </c>
    </row>
    <row r="1374" spans="1:6" x14ac:dyDescent="0.3">
      <c r="A1374">
        <v>205487880</v>
      </c>
      <c r="B1374" s="1">
        <v>44985</v>
      </c>
      <c r="D1374">
        <v>39</v>
      </c>
      <c r="E1374" t="s">
        <v>6</v>
      </c>
      <c r="F1374" t="s">
        <v>7</v>
      </c>
    </row>
    <row r="1375" spans="1:6" x14ac:dyDescent="0.3">
      <c r="A1375">
        <v>205489808</v>
      </c>
      <c r="B1375" s="1">
        <v>44985</v>
      </c>
      <c r="D1375">
        <v>39</v>
      </c>
      <c r="E1375" t="s">
        <v>6</v>
      </c>
      <c r="F1375" t="s">
        <v>7</v>
      </c>
    </row>
    <row r="1376" spans="1:6" x14ac:dyDescent="0.3">
      <c r="A1376">
        <v>125828506</v>
      </c>
      <c r="B1376" s="1">
        <v>44985</v>
      </c>
      <c r="C1376" s="1">
        <v>44986</v>
      </c>
      <c r="D1376">
        <v>39</v>
      </c>
      <c r="E1376" t="s">
        <v>6</v>
      </c>
      <c r="F1376" t="s">
        <v>7</v>
      </c>
    </row>
    <row r="1377" spans="1:6" x14ac:dyDescent="0.3">
      <c r="A1377">
        <v>154701159</v>
      </c>
      <c r="B1377" s="1">
        <v>44985</v>
      </c>
      <c r="C1377" s="1">
        <v>45012</v>
      </c>
      <c r="D1377">
        <v>39</v>
      </c>
      <c r="E1377" t="s">
        <v>6</v>
      </c>
      <c r="F1377" t="s">
        <v>7</v>
      </c>
    </row>
    <row r="1378" spans="1:6" x14ac:dyDescent="0.3">
      <c r="A1378">
        <v>204865394</v>
      </c>
      <c r="B1378" s="1">
        <v>44985</v>
      </c>
      <c r="C1378" s="1">
        <v>45020</v>
      </c>
      <c r="D1378">
        <v>39</v>
      </c>
      <c r="E1378" t="s">
        <v>6</v>
      </c>
      <c r="F1378" t="s">
        <v>7</v>
      </c>
    </row>
    <row r="1379" spans="1:6" x14ac:dyDescent="0.3">
      <c r="A1379">
        <v>205044276</v>
      </c>
      <c r="B1379" s="1">
        <v>44985</v>
      </c>
      <c r="C1379" s="1">
        <v>45043</v>
      </c>
      <c r="D1379">
        <v>39</v>
      </c>
      <c r="E1379" t="s">
        <v>6</v>
      </c>
      <c r="F1379" t="s">
        <v>7</v>
      </c>
    </row>
    <row r="1380" spans="1:6" x14ac:dyDescent="0.3">
      <c r="A1380">
        <v>194873337</v>
      </c>
      <c r="B1380" s="1">
        <v>44985</v>
      </c>
      <c r="C1380" s="1">
        <v>45034</v>
      </c>
      <c r="D1380">
        <v>39</v>
      </c>
      <c r="E1380" t="s">
        <v>6</v>
      </c>
      <c r="F1380" t="s">
        <v>7</v>
      </c>
    </row>
    <row r="1381" spans="1:6" x14ac:dyDescent="0.3">
      <c r="A1381">
        <v>205492734</v>
      </c>
      <c r="B1381" s="1">
        <v>44985</v>
      </c>
      <c r="C1381" s="1">
        <v>45007</v>
      </c>
      <c r="D1381">
        <v>39</v>
      </c>
      <c r="E1381" t="s">
        <v>6</v>
      </c>
      <c r="F1381" t="s">
        <v>7</v>
      </c>
    </row>
    <row r="1382" spans="1:6" x14ac:dyDescent="0.3">
      <c r="A1382">
        <v>205548739</v>
      </c>
      <c r="B1382" s="1">
        <v>44986</v>
      </c>
      <c r="D1382">
        <v>39</v>
      </c>
      <c r="E1382" t="s">
        <v>6</v>
      </c>
      <c r="F1382" t="s">
        <v>7</v>
      </c>
    </row>
    <row r="1383" spans="1:6" x14ac:dyDescent="0.3">
      <c r="A1383">
        <v>202228372</v>
      </c>
      <c r="B1383" s="1">
        <v>44986</v>
      </c>
      <c r="D1383">
        <v>39</v>
      </c>
      <c r="E1383" t="s">
        <v>6</v>
      </c>
      <c r="F1383" t="s">
        <v>7</v>
      </c>
    </row>
    <row r="1384" spans="1:6" x14ac:dyDescent="0.3">
      <c r="A1384">
        <v>205034931</v>
      </c>
      <c r="B1384" s="1">
        <v>44986</v>
      </c>
      <c r="C1384" s="1">
        <v>44987</v>
      </c>
      <c r="D1384">
        <v>39</v>
      </c>
      <c r="E1384" t="s">
        <v>6</v>
      </c>
      <c r="F1384" t="s">
        <v>8</v>
      </c>
    </row>
    <row r="1385" spans="1:6" x14ac:dyDescent="0.3">
      <c r="A1385">
        <v>205129178</v>
      </c>
      <c r="B1385" s="1">
        <v>44986</v>
      </c>
      <c r="C1385" s="1">
        <v>45098</v>
      </c>
      <c r="D1385">
        <v>39</v>
      </c>
      <c r="E1385" t="s">
        <v>6</v>
      </c>
      <c r="F1385" t="s">
        <v>7</v>
      </c>
    </row>
    <row r="1386" spans="1:6" x14ac:dyDescent="0.3">
      <c r="A1386">
        <v>160114911</v>
      </c>
      <c r="B1386" s="1">
        <v>44986</v>
      </c>
      <c r="C1386" s="1">
        <v>45024</v>
      </c>
      <c r="D1386">
        <v>39</v>
      </c>
      <c r="E1386" t="s">
        <v>6</v>
      </c>
      <c r="F1386" t="s">
        <v>7</v>
      </c>
    </row>
    <row r="1387" spans="1:6" x14ac:dyDescent="0.3">
      <c r="A1387">
        <v>168200039</v>
      </c>
      <c r="B1387" s="1">
        <v>44986</v>
      </c>
      <c r="C1387" s="1">
        <v>45024</v>
      </c>
      <c r="D1387">
        <v>39</v>
      </c>
      <c r="E1387" t="s">
        <v>6</v>
      </c>
      <c r="F1387" t="s">
        <v>7</v>
      </c>
    </row>
    <row r="1388" spans="1:6" x14ac:dyDescent="0.3">
      <c r="A1388">
        <v>190622411</v>
      </c>
      <c r="B1388" s="1">
        <v>44986</v>
      </c>
      <c r="C1388" s="1">
        <v>45020</v>
      </c>
      <c r="D1388">
        <v>39</v>
      </c>
      <c r="E1388" t="s">
        <v>6</v>
      </c>
      <c r="F1388" t="s">
        <v>7</v>
      </c>
    </row>
    <row r="1389" spans="1:6" x14ac:dyDescent="0.3">
      <c r="A1389">
        <v>204528713</v>
      </c>
      <c r="B1389" s="1">
        <v>44986</v>
      </c>
      <c r="C1389" s="1">
        <v>45034</v>
      </c>
      <c r="D1389">
        <v>39</v>
      </c>
      <c r="E1389" t="s">
        <v>6</v>
      </c>
      <c r="F1389" t="s">
        <v>7</v>
      </c>
    </row>
    <row r="1390" spans="1:6" x14ac:dyDescent="0.3">
      <c r="A1390">
        <v>205573796</v>
      </c>
      <c r="B1390" s="1">
        <v>44986</v>
      </c>
      <c r="C1390" s="1">
        <v>45029</v>
      </c>
      <c r="D1390">
        <v>39</v>
      </c>
      <c r="E1390" t="s">
        <v>6</v>
      </c>
      <c r="F1390" t="s">
        <v>7</v>
      </c>
    </row>
    <row r="1391" spans="1:6" x14ac:dyDescent="0.3">
      <c r="A1391">
        <v>182009986</v>
      </c>
      <c r="B1391" s="1">
        <v>44986</v>
      </c>
      <c r="C1391" s="1">
        <v>45014</v>
      </c>
      <c r="D1391">
        <v>39</v>
      </c>
      <c r="E1391" t="s">
        <v>6</v>
      </c>
      <c r="F1391" t="s">
        <v>7</v>
      </c>
    </row>
    <row r="1392" spans="1:6" x14ac:dyDescent="0.3">
      <c r="A1392">
        <v>205606022</v>
      </c>
      <c r="B1392" s="1">
        <v>44986</v>
      </c>
      <c r="C1392" s="1">
        <v>45006</v>
      </c>
      <c r="D1392">
        <v>39</v>
      </c>
      <c r="E1392" t="s">
        <v>6</v>
      </c>
      <c r="F1392" t="s">
        <v>7</v>
      </c>
    </row>
    <row r="1393" spans="1:6" x14ac:dyDescent="0.3">
      <c r="A1393">
        <v>205580089</v>
      </c>
      <c r="B1393" s="1">
        <v>44986</v>
      </c>
      <c r="C1393" s="1">
        <v>45015</v>
      </c>
      <c r="D1393">
        <v>39</v>
      </c>
      <c r="E1393" t="s">
        <v>6</v>
      </c>
      <c r="F1393" t="s">
        <v>7</v>
      </c>
    </row>
    <row r="1394" spans="1:6" x14ac:dyDescent="0.3">
      <c r="A1394">
        <v>192949504</v>
      </c>
      <c r="B1394" s="1">
        <v>44986</v>
      </c>
      <c r="C1394" s="1">
        <v>45013</v>
      </c>
      <c r="D1394">
        <v>39</v>
      </c>
      <c r="E1394" t="s">
        <v>6</v>
      </c>
      <c r="F1394" t="s">
        <v>7</v>
      </c>
    </row>
    <row r="1395" spans="1:6" x14ac:dyDescent="0.3">
      <c r="A1395">
        <v>205658636</v>
      </c>
      <c r="B1395" s="1">
        <v>44987</v>
      </c>
      <c r="D1395">
        <v>39</v>
      </c>
      <c r="E1395" t="s">
        <v>6</v>
      </c>
      <c r="F1395" t="s">
        <v>7</v>
      </c>
    </row>
    <row r="1396" spans="1:6" x14ac:dyDescent="0.3">
      <c r="A1396">
        <v>205615727</v>
      </c>
      <c r="B1396" s="1">
        <v>44987</v>
      </c>
      <c r="C1396" s="1">
        <v>45103</v>
      </c>
      <c r="D1396">
        <v>39</v>
      </c>
      <c r="E1396" t="s">
        <v>6</v>
      </c>
      <c r="F1396" t="s">
        <v>7</v>
      </c>
    </row>
    <row r="1397" spans="1:6" x14ac:dyDescent="0.3">
      <c r="A1397">
        <v>205448424</v>
      </c>
      <c r="B1397" s="1">
        <v>44987</v>
      </c>
      <c r="C1397" s="1">
        <v>45076</v>
      </c>
      <c r="D1397">
        <v>39</v>
      </c>
      <c r="E1397" t="s">
        <v>6</v>
      </c>
      <c r="F1397" t="s">
        <v>7</v>
      </c>
    </row>
    <row r="1398" spans="1:6" x14ac:dyDescent="0.3">
      <c r="A1398">
        <v>196009696</v>
      </c>
      <c r="B1398" s="1">
        <v>44987</v>
      </c>
      <c r="C1398" s="1">
        <v>45048</v>
      </c>
      <c r="D1398">
        <v>39</v>
      </c>
      <c r="E1398" t="s">
        <v>6</v>
      </c>
      <c r="F1398" t="s">
        <v>7</v>
      </c>
    </row>
    <row r="1399" spans="1:6" x14ac:dyDescent="0.3">
      <c r="A1399">
        <v>205026372</v>
      </c>
      <c r="B1399" s="1">
        <v>44987</v>
      </c>
      <c r="C1399" s="1">
        <v>45048</v>
      </c>
      <c r="D1399">
        <v>39</v>
      </c>
      <c r="E1399" t="s">
        <v>6</v>
      </c>
      <c r="F1399" t="s">
        <v>7</v>
      </c>
    </row>
    <row r="1400" spans="1:6" x14ac:dyDescent="0.3">
      <c r="A1400">
        <v>167165752</v>
      </c>
      <c r="B1400" s="1">
        <v>44987</v>
      </c>
      <c r="C1400" s="1">
        <v>45076</v>
      </c>
      <c r="D1400">
        <v>39</v>
      </c>
      <c r="E1400" t="s">
        <v>6</v>
      </c>
      <c r="F1400" t="s">
        <v>7</v>
      </c>
    </row>
    <row r="1401" spans="1:6" x14ac:dyDescent="0.3">
      <c r="A1401">
        <v>205664425</v>
      </c>
      <c r="B1401" s="1">
        <v>44987</v>
      </c>
      <c r="C1401" s="1">
        <v>45041</v>
      </c>
      <c r="D1401">
        <v>39</v>
      </c>
      <c r="E1401" t="s">
        <v>6</v>
      </c>
      <c r="F1401" t="s">
        <v>7</v>
      </c>
    </row>
    <row r="1402" spans="1:6" x14ac:dyDescent="0.3">
      <c r="A1402">
        <v>199179611</v>
      </c>
      <c r="B1402" s="1">
        <v>44987</v>
      </c>
      <c r="C1402" s="1">
        <v>45039</v>
      </c>
      <c r="D1402">
        <v>39</v>
      </c>
      <c r="E1402" t="s">
        <v>6</v>
      </c>
      <c r="F1402" t="s">
        <v>7</v>
      </c>
    </row>
    <row r="1403" spans="1:6" x14ac:dyDescent="0.3">
      <c r="A1403">
        <v>205660933</v>
      </c>
      <c r="B1403" s="1">
        <v>44987</v>
      </c>
      <c r="C1403" s="1">
        <v>45018</v>
      </c>
      <c r="D1403">
        <v>39</v>
      </c>
      <c r="E1403" t="s">
        <v>6</v>
      </c>
      <c r="F1403" t="s">
        <v>7</v>
      </c>
    </row>
    <row r="1404" spans="1:6" x14ac:dyDescent="0.3">
      <c r="A1404">
        <v>205660195</v>
      </c>
      <c r="B1404" s="1">
        <v>44987</v>
      </c>
      <c r="C1404" s="1">
        <v>45019</v>
      </c>
      <c r="D1404">
        <v>39</v>
      </c>
      <c r="E1404" t="s">
        <v>6</v>
      </c>
      <c r="F1404" t="s">
        <v>7</v>
      </c>
    </row>
    <row r="1405" spans="1:6" x14ac:dyDescent="0.3">
      <c r="A1405">
        <v>168598418</v>
      </c>
      <c r="B1405" s="1">
        <v>44987</v>
      </c>
      <c r="C1405" s="1">
        <v>45038</v>
      </c>
      <c r="D1405">
        <v>39</v>
      </c>
      <c r="E1405" t="s">
        <v>6</v>
      </c>
      <c r="F1405" t="s">
        <v>7</v>
      </c>
    </row>
    <row r="1406" spans="1:6" x14ac:dyDescent="0.3">
      <c r="A1406">
        <v>161182367</v>
      </c>
      <c r="B1406" s="1">
        <v>44987</v>
      </c>
      <c r="C1406" s="1">
        <v>45025</v>
      </c>
      <c r="D1406">
        <v>39</v>
      </c>
      <c r="E1406" t="s">
        <v>6</v>
      </c>
      <c r="F1406" t="s">
        <v>7</v>
      </c>
    </row>
    <row r="1407" spans="1:6" x14ac:dyDescent="0.3">
      <c r="A1407">
        <v>156943008</v>
      </c>
      <c r="B1407" s="1">
        <v>44987</v>
      </c>
      <c r="C1407" s="1">
        <v>44987</v>
      </c>
      <c r="D1407">
        <v>39</v>
      </c>
      <c r="E1407" t="s">
        <v>6</v>
      </c>
      <c r="F1407" t="s">
        <v>7</v>
      </c>
    </row>
    <row r="1408" spans="1:6" x14ac:dyDescent="0.3">
      <c r="A1408">
        <v>190657026</v>
      </c>
      <c r="B1408" s="1">
        <v>44987</v>
      </c>
      <c r="C1408" s="1">
        <v>45014</v>
      </c>
      <c r="D1408">
        <v>39</v>
      </c>
      <c r="E1408" t="s">
        <v>6</v>
      </c>
      <c r="F1408" t="s">
        <v>7</v>
      </c>
    </row>
    <row r="1409" spans="1:6" x14ac:dyDescent="0.3">
      <c r="A1409">
        <v>205700946</v>
      </c>
      <c r="B1409" s="1">
        <v>44988</v>
      </c>
      <c r="D1409">
        <v>39</v>
      </c>
      <c r="E1409" t="s">
        <v>6</v>
      </c>
      <c r="F1409" t="s">
        <v>7</v>
      </c>
    </row>
    <row r="1410" spans="1:6" x14ac:dyDescent="0.3">
      <c r="A1410">
        <v>165807144</v>
      </c>
      <c r="B1410" s="1">
        <v>44988</v>
      </c>
      <c r="D1410">
        <v>39</v>
      </c>
      <c r="E1410" t="s">
        <v>6</v>
      </c>
      <c r="F1410" t="s">
        <v>7</v>
      </c>
    </row>
    <row r="1411" spans="1:6" x14ac:dyDescent="0.3">
      <c r="A1411">
        <v>125635419</v>
      </c>
      <c r="B1411" s="1">
        <v>44988</v>
      </c>
      <c r="C1411" s="1">
        <v>44989</v>
      </c>
      <c r="D1411">
        <v>39</v>
      </c>
      <c r="E1411" t="s">
        <v>6</v>
      </c>
      <c r="F1411" t="s">
        <v>7</v>
      </c>
    </row>
    <row r="1412" spans="1:6" x14ac:dyDescent="0.3">
      <c r="A1412">
        <v>205707486</v>
      </c>
      <c r="B1412" s="1">
        <v>44988</v>
      </c>
      <c r="C1412" s="1">
        <v>44989</v>
      </c>
      <c r="D1412">
        <v>39</v>
      </c>
      <c r="E1412" t="s">
        <v>6</v>
      </c>
      <c r="F1412" t="s">
        <v>8</v>
      </c>
    </row>
    <row r="1413" spans="1:6" x14ac:dyDescent="0.3">
      <c r="A1413">
        <v>150663700</v>
      </c>
      <c r="B1413" s="1">
        <v>44988</v>
      </c>
      <c r="C1413" s="1">
        <v>44989</v>
      </c>
      <c r="D1413">
        <v>39</v>
      </c>
      <c r="E1413" t="s">
        <v>6</v>
      </c>
      <c r="F1413" t="s">
        <v>8</v>
      </c>
    </row>
    <row r="1414" spans="1:6" x14ac:dyDescent="0.3">
      <c r="A1414">
        <v>149157588</v>
      </c>
      <c r="B1414" s="1">
        <v>44988</v>
      </c>
      <c r="C1414" s="1">
        <v>45056</v>
      </c>
      <c r="D1414">
        <v>39</v>
      </c>
      <c r="E1414" t="s">
        <v>6</v>
      </c>
      <c r="F1414" t="s">
        <v>7</v>
      </c>
    </row>
    <row r="1415" spans="1:6" x14ac:dyDescent="0.3">
      <c r="A1415">
        <v>205686881</v>
      </c>
      <c r="B1415" s="1">
        <v>44988</v>
      </c>
      <c r="C1415" s="1">
        <v>45087</v>
      </c>
      <c r="D1415">
        <v>39</v>
      </c>
      <c r="E1415" t="s">
        <v>6</v>
      </c>
      <c r="F1415" t="s">
        <v>7</v>
      </c>
    </row>
    <row r="1416" spans="1:6" x14ac:dyDescent="0.3">
      <c r="A1416">
        <v>138347540</v>
      </c>
      <c r="B1416" s="1">
        <v>44988</v>
      </c>
      <c r="C1416" s="1">
        <v>45054</v>
      </c>
      <c r="D1416">
        <v>39</v>
      </c>
      <c r="E1416" t="s">
        <v>6</v>
      </c>
      <c r="F1416" t="s">
        <v>7</v>
      </c>
    </row>
    <row r="1417" spans="1:6" x14ac:dyDescent="0.3">
      <c r="A1417">
        <v>154344817</v>
      </c>
      <c r="B1417" s="1">
        <v>44988</v>
      </c>
      <c r="C1417" s="1">
        <v>45036</v>
      </c>
      <c r="D1417">
        <v>39</v>
      </c>
      <c r="E1417" t="s">
        <v>6</v>
      </c>
      <c r="F1417" t="s">
        <v>7</v>
      </c>
    </row>
    <row r="1418" spans="1:6" x14ac:dyDescent="0.3">
      <c r="A1418">
        <v>205530810</v>
      </c>
      <c r="B1418" s="1">
        <v>44988</v>
      </c>
      <c r="C1418" s="1">
        <v>45026</v>
      </c>
      <c r="D1418">
        <v>39</v>
      </c>
      <c r="E1418" t="s">
        <v>6</v>
      </c>
      <c r="F1418" t="s">
        <v>7</v>
      </c>
    </row>
    <row r="1419" spans="1:6" x14ac:dyDescent="0.3">
      <c r="A1419">
        <v>205731473</v>
      </c>
      <c r="B1419" s="1">
        <v>44988</v>
      </c>
      <c r="C1419" s="1">
        <v>45004</v>
      </c>
      <c r="D1419">
        <v>39</v>
      </c>
      <c r="E1419" t="s">
        <v>6</v>
      </c>
      <c r="F1419" t="s">
        <v>7</v>
      </c>
    </row>
    <row r="1420" spans="1:6" x14ac:dyDescent="0.3">
      <c r="A1420">
        <v>205692510</v>
      </c>
      <c r="B1420" s="1">
        <v>44989</v>
      </c>
      <c r="D1420">
        <v>39</v>
      </c>
      <c r="E1420" t="s">
        <v>6</v>
      </c>
      <c r="F1420" t="s">
        <v>7</v>
      </c>
    </row>
    <row r="1421" spans="1:6" x14ac:dyDescent="0.3">
      <c r="A1421">
        <v>191670525</v>
      </c>
      <c r="B1421" s="1">
        <v>44989</v>
      </c>
      <c r="C1421" s="1">
        <v>45058</v>
      </c>
      <c r="D1421">
        <v>39</v>
      </c>
      <c r="E1421" t="s">
        <v>6</v>
      </c>
      <c r="F1421" t="s">
        <v>7</v>
      </c>
    </row>
    <row r="1422" spans="1:6" x14ac:dyDescent="0.3">
      <c r="A1422">
        <v>205492489</v>
      </c>
      <c r="B1422" s="1">
        <v>44989</v>
      </c>
      <c r="C1422" s="1">
        <v>45057</v>
      </c>
      <c r="D1422">
        <v>39</v>
      </c>
      <c r="E1422" t="s">
        <v>6</v>
      </c>
      <c r="F1422" t="s">
        <v>7</v>
      </c>
    </row>
    <row r="1423" spans="1:6" x14ac:dyDescent="0.3">
      <c r="A1423">
        <v>205026942</v>
      </c>
      <c r="B1423" s="1">
        <v>44989</v>
      </c>
      <c r="C1423" s="1">
        <v>45050</v>
      </c>
      <c r="D1423">
        <v>39</v>
      </c>
      <c r="E1423" t="s">
        <v>6</v>
      </c>
      <c r="F1423" t="s">
        <v>7</v>
      </c>
    </row>
    <row r="1424" spans="1:6" x14ac:dyDescent="0.3">
      <c r="A1424">
        <v>205768824</v>
      </c>
      <c r="B1424" s="1">
        <v>44989</v>
      </c>
      <c r="C1424" s="1">
        <v>45017</v>
      </c>
      <c r="D1424">
        <v>39</v>
      </c>
      <c r="E1424" t="s">
        <v>6</v>
      </c>
      <c r="F1424" t="s">
        <v>7</v>
      </c>
    </row>
    <row r="1425" spans="1:6" x14ac:dyDescent="0.3">
      <c r="A1425">
        <v>160824884</v>
      </c>
      <c r="B1425" s="1">
        <v>44989</v>
      </c>
      <c r="C1425" s="1">
        <v>45018</v>
      </c>
      <c r="D1425">
        <v>39</v>
      </c>
      <c r="E1425" t="s">
        <v>6</v>
      </c>
      <c r="F1425" t="s">
        <v>7</v>
      </c>
    </row>
    <row r="1426" spans="1:6" x14ac:dyDescent="0.3">
      <c r="A1426">
        <v>205742224</v>
      </c>
      <c r="B1426" s="1">
        <v>44989</v>
      </c>
      <c r="C1426" s="1">
        <v>44989</v>
      </c>
      <c r="D1426">
        <v>39</v>
      </c>
      <c r="E1426" t="s">
        <v>6</v>
      </c>
      <c r="F1426" t="s">
        <v>7</v>
      </c>
    </row>
    <row r="1427" spans="1:6" x14ac:dyDescent="0.3">
      <c r="A1427">
        <v>205804144</v>
      </c>
      <c r="B1427" s="1">
        <v>44990</v>
      </c>
      <c r="C1427" s="1">
        <v>45103</v>
      </c>
      <c r="D1427">
        <v>39</v>
      </c>
      <c r="E1427" t="s">
        <v>6</v>
      </c>
      <c r="F1427" t="s">
        <v>7</v>
      </c>
    </row>
    <row r="1428" spans="1:6" x14ac:dyDescent="0.3">
      <c r="A1428">
        <v>205703512</v>
      </c>
      <c r="B1428" s="1">
        <v>44990</v>
      </c>
      <c r="C1428" s="1">
        <v>45075</v>
      </c>
      <c r="D1428">
        <v>39</v>
      </c>
      <c r="E1428" t="s">
        <v>6</v>
      </c>
      <c r="F1428" t="s">
        <v>7</v>
      </c>
    </row>
    <row r="1429" spans="1:6" x14ac:dyDescent="0.3">
      <c r="A1429">
        <v>131181843</v>
      </c>
      <c r="B1429" s="1">
        <v>44990</v>
      </c>
      <c r="C1429" s="1">
        <v>44990</v>
      </c>
      <c r="D1429">
        <v>39</v>
      </c>
      <c r="E1429" t="s">
        <v>6</v>
      </c>
      <c r="F1429" t="s">
        <v>7</v>
      </c>
    </row>
    <row r="1430" spans="1:6" x14ac:dyDescent="0.3">
      <c r="A1430">
        <v>205713052</v>
      </c>
      <c r="B1430" s="1">
        <v>44991</v>
      </c>
      <c r="D1430">
        <v>39</v>
      </c>
      <c r="E1430" t="s">
        <v>6</v>
      </c>
      <c r="F1430" t="s">
        <v>7</v>
      </c>
    </row>
    <row r="1431" spans="1:6" x14ac:dyDescent="0.3">
      <c r="A1431">
        <v>138121122</v>
      </c>
      <c r="B1431" s="1">
        <v>44991</v>
      </c>
      <c r="D1431">
        <v>39</v>
      </c>
      <c r="E1431" t="s">
        <v>6</v>
      </c>
      <c r="F1431" t="s">
        <v>7</v>
      </c>
    </row>
    <row r="1432" spans="1:6" x14ac:dyDescent="0.3">
      <c r="A1432">
        <v>191326286</v>
      </c>
      <c r="B1432" s="1">
        <v>44991</v>
      </c>
      <c r="D1432">
        <v>39</v>
      </c>
      <c r="E1432" t="s">
        <v>6</v>
      </c>
      <c r="F1432" t="s">
        <v>7</v>
      </c>
    </row>
    <row r="1433" spans="1:6" x14ac:dyDescent="0.3">
      <c r="A1433">
        <v>178838732</v>
      </c>
      <c r="B1433" s="1">
        <v>44991</v>
      </c>
      <c r="D1433">
        <v>39</v>
      </c>
      <c r="E1433" t="s">
        <v>6</v>
      </c>
      <c r="F1433" t="s">
        <v>7</v>
      </c>
    </row>
    <row r="1434" spans="1:6" x14ac:dyDescent="0.3">
      <c r="A1434">
        <v>205871342</v>
      </c>
      <c r="B1434" s="1">
        <v>44991</v>
      </c>
      <c r="D1434">
        <v>39</v>
      </c>
      <c r="E1434" t="s">
        <v>6</v>
      </c>
      <c r="F1434" t="s">
        <v>7</v>
      </c>
    </row>
    <row r="1435" spans="1:6" x14ac:dyDescent="0.3">
      <c r="A1435">
        <v>202160641</v>
      </c>
      <c r="B1435" s="1">
        <v>44991</v>
      </c>
      <c r="C1435" s="1">
        <v>45082</v>
      </c>
      <c r="D1435">
        <v>39</v>
      </c>
      <c r="E1435" t="s">
        <v>6</v>
      </c>
      <c r="F1435" t="s">
        <v>7</v>
      </c>
    </row>
    <row r="1436" spans="1:6" x14ac:dyDescent="0.3">
      <c r="A1436">
        <v>205786362</v>
      </c>
      <c r="B1436" s="1">
        <v>44991</v>
      </c>
      <c r="C1436" s="1">
        <v>45072</v>
      </c>
      <c r="D1436">
        <v>39</v>
      </c>
      <c r="E1436" t="s">
        <v>6</v>
      </c>
      <c r="F1436" t="s">
        <v>7</v>
      </c>
    </row>
    <row r="1437" spans="1:6" x14ac:dyDescent="0.3">
      <c r="A1437">
        <v>159798906</v>
      </c>
      <c r="B1437" s="1">
        <v>44991</v>
      </c>
      <c r="C1437" s="1">
        <v>45023</v>
      </c>
      <c r="D1437">
        <v>39</v>
      </c>
      <c r="E1437" t="s">
        <v>6</v>
      </c>
      <c r="F1437" t="s">
        <v>7</v>
      </c>
    </row>
    <row r="1438" spans="1:6" x14ac:dyDescent="0.3">
      <c r="A1438">
        <v>166276152</v>
      </c>
      <c r="B1438" s="1">
        <v>44991</v>
      </c>
      <c r="C1438" s="1">
        <v>45019</v>
      </c>
      <c r="D1438">
        <v>39</v>
      </c>
      <c r="E1438" t="s">
        <v>6</v>
      </c>
      <c r="F1438" t="s">
        <v>7</v>
      </c>
    </row>
    <row r="1439" spans="1:6" x14ac:dyDescent="0.3">
      <c r="A1439">
        <v>156353738</v>
      </c>
      <c r="B1439" s="1">
        <v>44991</v>
      </c>
      <c r="C1439" s="1">
        <v>44998</v>
      </c>
      <c r="D1439">
        <v>39</v>
      </c>
      <c r="E1439" t="s">
        <v>6</v>
      </c>
      <c r="F1439" t="s">
        <v>7</v>
      </c>
    </row>
    <row r="1440" spans="1:6" x14ac:dyDescent="0.3">
      <c r="A1440">
        <v>205864612</v>
      </c>
      <c r="B1440" s="1">
        <v>44991</v>
      </c>
      <c r="C1440" s="1">
        <v>45003</v>
      </c>
      <c r="D1440">
        <v>39</v>
      </c>
      <c r="E1440" t="s">
        <v>6</v>
      </c>
      <c r="F1440" t="s">
        <v>7</v>
      </c>
    </row>
    <row r="1441" spans="1:6" x14ac:dyDescent="0.3">
      <c r="A1441">
        <v>142757196</v>
      </c>
      <c r="B1441" s="1">
        <v>44992</v>
      </c>
      <c r="C1441" s="1">
        <v>45116</v>
      </c>
      <c r="D1441">
        <v>39</v>
      </c>
      <c r="E1441" t="s">
        <v>6</v>
      </c>
      <c r="F1441" t="s">
        <v>7</v>
      </c>
    </row>
    <row r="1442" spans="1:6" x14ac:dyDescent="0.3">
      <c r="A1442">
        <v>205971108</v>
      </c>
      <c r="B1442" s="1">
        <v>44992</v>
      </c>
      <c r="C1442" s="1">
        <v>45099</v>
      </c>
      <c r="D1442">
        <v>39</v>
      </c>
      <c r="E1442" t="s">
        <v>6</v>
      </c>
      <c r="F1442" t="s">
        <v>7</v>
      </c>
    </row>
    <row r="1443" spans="1:6" x14ac:dyDescent="0.3">
      <c r="A1443">
        <v>206001231</v>
      </c>
      <c r="B1443" s="1">
        <v>44992</v>
      </c>
      <c r="C1443" s="1">
        <v>45077</v>
      </c>
      <c r="D1443">
        <v>39</v>
      </c>
      <c r="E1443" t="s">
        <v>6</v>
      </c>
      <c r="F1443" t="s">
        <v>7</v>
      </c>
    </row>
    <row r="1444" spans="1:6" x14ac:dyDescent="0.3">
      <c r="A1444">
        <v>205878686</v>
      </c>
      <c r="B1444" s="1">
        <v>44992</v>
      </c>
      <c r="C1444" s="1">
        <v>44992</v>
      </c>
      <c r="D1444">
        <v>39</v>
      </c>
      <c r="E1444" t="s">
        <v>6</v>
      </c>
      <c r="F1444" t="s">
        <v>7</v>
      </c>
    </row>
    <row r="1445" spans="1:6" x14ac:dyDescent="0.3">
      <c r="A1445">
        <v>206052140</v>
      </c>
      <c r="B1445" s="1">
        <v>44993</v>
      </c>
      <c r="D1445">
        <v>39</v>
      </c>
      <c r="E1445" t="s">
        <v>6</v>
      </c>
      <c r="F1445" t="s">
        <v>7</v>
      </c>
    </row>
    <row r="1446" spans="1:6" x14ac:dyDescent="0.3">
      <c r="A1446">
        <v>154082747</v>
      </c>
      <c r="B1446" s="1">
        <v>44993</v>
      </c>
      <c r="C1446" s="1">
        <v>44994</v>
      </c>
      <c r="D1446">
        <v>39</v>
      </c>
      <c r="E1446" t="s">
        <v>6</v>
      </c>
      <c r="F1446" t="s">
        <v>7</v>
      </c>
    </row>
    <row r="1447" spans="1:6" x14ac:dyDescent="0.3">
      <c r="A1447">
        <v>206017161</v>
      </c>
      <c r="B1447" s="1">
        <v>44993</v>
      </c>
      <c r="C1447" s="1">
        <v>44994</v>
      </c>
      <c r="D1447">
        <v>39</v>
      </c>
      <c r="E1447" t="s">
        <v>6</v>
      </c>
      <c r="F1447" t="s">
        <v>8</v>
      </c>
    </row>
    <row r="1448" spans="1:6" x14ac:dyDescent="0.3">
      <c r="A1448">
        <v>203152686</v>
      </c>
      <c r="B1448" s="1">
        <v>44993</v>
      </c>
      <c r="C1448" s="1">
        <v>45067</v>
      </c>
      <c r="D1448">
        <v>39</v>
      </c>
      <c r="E1448" t="s">
        <v>6</v>
      </c>
      <c r="F1448" t="s">
        <v>7</v>
      </c>
    </row>
    <row r="1449" spans="1:6" x14ac:dyDescent="0.3">
      <c r="A1449">
        <v>203320717</v>
      </c>
      <c r="B1449" s="1">
        <v>44993</v>
      </c>
      <c r="C1449" s="1">
        <v>45023</v>
      </c>
      <c r="D1449">
        <v>39</v>
      </c>
      <c r="E1449" t="s">
        <v>6</v>
      </c>
      <c r="F1449" t="s">
        <v>7</v>
      </c>
    </row>
    <row r="1450" spans="1:6" x14ac:dyDescent="0.3">
      <c r="A1450">
        <v>206076518</v>
      </c>
      <c r="B1450" s="1">
        <v>44994</v>
      </c>
      <c r="D1450">
        <v>39</v>
      </c>
      <c r="E1450" t="s">
        <v>6</v>
      </c>
      <c r="F1450" t="s">
        <v>7</v>
      </c>
    </row>
    <row r="1451" spans="1:6" x14ac:dyDescent="0.3">
      <c r="A1451">
        <v>205881578</v>
      </c>
      <c r="B1451" s="1">
        <v>44994</v>
      </c>
      <c r="C1451" s="1">
        <v>45165</v>
      </c>
      <c r="D1451">
        <v>39</v>
      </c>
      <c r="E1451" t="s">
        <v>6</v>
      </c>
      <c r="F1451" t="s">
        <v>7</v>
      </c>
    </row>
    <row r="1452" spans="1:6" x14ac:dyDescent="0.3">
      <c r="A1452">
        <v>152513944</v>
      </c>
      <c r="B1452" s="1">
        <v>44994</v>
      </c>
      <c r="C1452" s="1">
        <v>44995</v>
      </c>
      <c r="D1452">
        <v>39</v>
      </c>
      <c r="E1452" t="s">
        <v>6</v>
      </c>
      <c r="F1452" t="s">
        <v>7</v>
      </c>
    </row>
    <row r="1453" spans="1:6" x14ac:dyDescent="0.3">
      <c r="A1453">
        <v>132371176</v>
      </c>
      <c r="B1453" s="1">
        <v>44994</v>
      </c>
      <c r="C1453" s="1">
        <v>44995</v>
      </c>
      <c r="D1453">
        <v>39</v>
      </c>
      <c r="E1453" t="s">
        <v>6</v>
      </c>
      <c r="F1453" t="s">
        <v>8</v>
      </c>
    </row>
    <row r="1454" spans="1:6" x14ac:dyDescent="0.3">
      <c r="A1454">
        <v>135092264</v>
      </c>
      <c r="B1454" s="1">
        <v>44994</v>
      </c>
      <c r="C1454" s="1">
        <v>45118</v>
      </c>
      <c r="D1454">
        <v>39</v>
      </c>
      <c r="E1454" t="s">
        <v>6</v>
      </c>
      <c r="F1454" t="s">
        <v>7</v>
      </c>
    </row>
    <row r="1455" spans="1:6" x14ac:dyDescent="0.3">
      <c r="A1455">
        <v>151297084</v>
      </c>
      <c r="B1455" s="1">
        <v>44994</v>
      </c>
      <c r="C1455" s="1">
        <v>45071</v>
      </c>
      <c r="D1455">
        <v>39</v>
      </c>
      <c r="E1455" t="s">
        <v>6</v>
      </c>
      <c r="F1455" t="s">
        <v>7</v>
      </c>
    </row>
    <row r="1456" spans="1:6" x14ac:dyDescent="0.3">
      <c r="A1456">
        <v>167010855</v>
      </c>
      <c r="B1456" s="1">
        <v>44994</v>
      </c>
      <c r="C1456" s="1">
        <v>45085</v>
      </c>
      <c r="D1456">
        <v>39</v>
      </c>
      <c r="E1456" t="s">
        <v>6</v>
      </c>
      <c r="F1456" t="s">
        <v>7</v>
      </c>
    </row>
    <row r="1457" spans="1:6" x14ac:dyDescent="0.3">
      <c r="A1457">
        <v>206122788</v>
      </c>
      <c r="B1457" s="1">
        <v>44994</v>
      </c>
      <c r="C1457" s="1">
        <v>45093</v>
      </c>
      <c r="D1457">
        <v>39</v>
      </c>
      <c r="E1457" t="s">
        <v>6</v>
      </c>
      <c r="F1457" t="s">
        <v>7</v>
      </c>
    </row>
    <row r="1458" spans="1:6" x14ac:dyDescent="0.3">
      <c r="A1458">
        <v>158439764</v>
      </c>
      <c r="B1458" s="1">
        <v>44994</v>
      </c>
      <c r="C1458" s="1">
        <v>45047</v>
      </c>
      <c r="D1458">
        <v>39</v>
      </c>
      <c r="E1458" t="s">
        <v>6</v>
      </c>
      <c r="F1458" t="s">
        <v>7</v>
      </c>
    </row>
    <row r="1459" spans="1:6" x14ac:dyDescent="0.3">
      <c r="A1459">
        <v>136723151</v>
      </c>
      <c r="B1459" s="1">
        <v>44994</v>
      </c>
      <c r="C1459" s="1">
        <v>45023</v>
      </c>
      <c r="D1459">
        <v>39</v>
      </c>
      <c r="E1459" t="s">
        <v>6</v>
      </c>
      <c r="F1459" t="s">
        <v>7</v>
      </c>
    </row>
    <row r="1460" spans="1:6" x14ac:dyDescent="0.3">
      <c r="A1460">
        <v>205875358</v>
      </c>
      <c r="B1460" s="1">
        <v>44994</v>
      </c>
      <c r="C1460" s="1">
        <v>45038</v>
      </c>
      <c r="D1460">
        <v>39</v>
      </c>
      <c r="E1460" t="s">
        <v>6</v>
      </c>
      <c r="F1460" t="s">
        <v>7</v>
      </c>
    </row>
    <row r="1461" spans="1:6" x14ac:dyDescent="0.3">
      <c r="A1461">
        <v>206082900</v>
      </c>
      <c r="B1461" s="1">
        <v>44994</v>
      </c>
      <c r="C1461" s="1">
        <v>45139</v>
      </c>
      <c r="D1461">
        <v>39</v>
      </c>
      <c r="E1461" t="s">
        <v>6</v>
      </c>
      <c r="F1461" t="s">
        <v>7</v>
      </c>
    </row>
    <row r="1462" spans="1:6" x14ac:dyDescent="0.3">
      <c r="A1462">
        <v>206139451</v>
      </c>
      <c r="B1462" s="1">
        <v>44995</v>
      </c>
      <c r="D1462">
        <v>39</v>
      </c>
      <c r="E1462" t="s">
        <v>6</v>
      </c>
      <c r="F1462" t="s">
        <v>7</v>
      </c>
    </row>
    <row r="1463" spans="1:6" x14ac:dyDescent="0.3">
      <c r="A1463">
        <v>206196328</v>
      </c>
      <c r="B1463" s="1">
        <v>44995</v>
      </c>
      <c r="D1463">
        <v>39</v>
      </c>
      <c r="E1463" t="s">
        <v>6</v>
      </c>
      <c r="F1463" t="s">
        <v>7</v>
      </c>
    </row>
    <row r="1464" spans="1:6" x14ac:dyDescent="0.3">
      <c r="A1464">
        <v>201122030</v>
      </c>
      <c r="B1464" s="1">
        <v>44995</v>
      </c>
      <c r="C1464" s="1">
        <v>45082</v>
      </c>
      <c r="D1464">
        <v>39</v>
      </c>
      <c r="E1464" t="s">
        <v>6</v>
      </c>
      <c r="F1464" t="s">
        <v>7</v>
      </c>
    </row>
    <row r="1465" spans="1:6" x14ac:dyDescent="0.3">
      <c r="A1465">
        <v>156218152</v>
      </c>
      <c r="B1465" s="1">
        <v>44995</v>
      </c>
      <c r="C1465" s="1">
        <v>45086</v>
      </c>
      <c r="D1465">
        <v>39</v>
      </c>
      <c r="E1465" t="s">
        <v>6</v>
      </c>
      <c r="F1465" t="s">
        <v>7</v>
      </c>
    </row>
    <row r="1466" spans="1:6" x14ac:dyDescent="0.3">
      <c r="A1466">
        <v>162718092</v>
      </c>
      <c r="B1466" s="1">
        <v>44995</v>
      </c>
      <c r="C1466" s="1">
        <v>45056</v>
      </c>
      <c r="D1466">
        <v>39</v>
      </c>
      <c r="E1466" t="s">
        <v>6</v>
      </c>
      <c r="F1466" t="s">
        <v>7</v>
      </c>
    </row>
    <row r="1467" spans="1:6" x14ac:dyDescent="0.3">
      <c r="A1467">
        <v>174606946</v>
      </c>
      <c r="B1467" s="1">
        <v>44995</v>
      </c>
      <c r="C1467" s="1">
        <v>45055</v>
      </c>
      <c r="D1467">
        <v>39</v>
      </c>
      <c r="E1467" t="s">
        <v>6</v>
      </c>
      <c r="F1467" t="s">
        <v>7</v>
      </c>
    </row>
    <row r="1468" spans="1:6" x14ac:dyDescent="0.3">
      <c r="A1468">
        <v>206159331</v>
      </c>
      <c r="B1468" s="1">
        <v>44995</v>
      </c>
      <c r="C1468" s="1">
        <v>45010</v>
      </c>
      <c r="D1468">
        <v>39</v>
      </c>
      <c r="E1468" t="s">
        <v>6</v>
      </c>
      <c r="F1468" t="s">
        <v>7</v>
      </c>
    </row>
    <row r="1469" spans="1:6" x14ac:dyDescent="0.3">
      <c r="A1469">
        <v>206272716</v>
      </c>
      <c r="B1469" s="1">
        <v>44996</v>
      </c>
      <c r="D1469">
        <v>39</v>
      </c>
      <c r="E1469" t="s">
        <v>6</v>
      </c>
      <c r="F1469" t="s">
        <v>7</v>
      </c>
    </row>
    <row r="1470" spans="1:6" x14ac:dyDescent="0.3">
      <c r="A1470">
        <v>138104184</v>
      </c>
      <c r="B1470" s="1">
        <v>44996</v>
      </c>
      <c r="C1470" s="1">
        <v>45176</v>
      </c>
      <c r="D1470">
        <v>39</v>
      </c>
      <c r="E1470" t="s">
        <v>6</v>
      </c>
      <c r="F1470" t="s">
        <v>7</v>
      </c>
    </row>
    <row r="1471" spans="1:6" x14ac:dyDescent="0.3">
      <c r="A1471">
        <v>168264884</v>
      </c>
      <c r="B1471" s="1">
        <v>44996</v>
      </c>
      <c r="C1471" s="1">
        <v>45056</v>
      </c>
      <c r="D1471">
        <v>39</v>
      </c>
      <c r="E1471" t="s">
        <v>6</v>
      </c>
      <c r="F1471" t="s">
        <v>7</v>
      </c>
    </row>
    <row r="1472" spans="1:6" x14ac:dyDescent="0.3">
      <c r="A1472">
        <v>153200640</v>
      </c>
      <c r="B1472" s="1">
        <v>44996</v>
      </c>
      <c r="C1472" s="1">
        <v>45028</v>
      </c>
      <c r="D1472">
        <v>39</v>
      </c>
      <c r="E1472" t="s">
        <v>6</v>
      </c>
      <c r="F1472" t="s">
        <v>7</v>
      </c>
    </row>
    <row r="1473" spans="1:6" x14ac:dyDescent="0.3">
      <c r="A1473">
        <v>206251362</v>
      </c>
      <c r="B1473" s="1">
        <v>44996</v>
      </c>
      <c r="C1473" s="1">
        <v>45034</v>
      </c>
      <c r="D1473">
        <v>39</v>
      </c>
      <c r="E1473" t="s">
        <v>6</v>
      </c>
      <c r="F1473" t="s">
        <v>7</v>
      </c>
    </row>
    <row r="1474" spans="1:6" x14ac:dyDescent="0.3">
      <c r="A1474">
        <v>192386902</v>
      </c>
      <c r="B1474" s="1">
        <v>44996</v>
      </c>
      <c r="C1474" s="1">
        <v>45034</v>
      </c>
      <c r="D1474">
        <v>39</v>
      </c>
      <c r="E1474" t="s">
        <v>6</v>
      </c>
      <c r="F1474" t="s">
        <v>7</v>
      </c>
    </row>
    <row r="1475" spans="1:6" x14ac:dyDescent="0.3">
      <c r="A1475">
        <v>205851263</v>
      </c>
      <c r="B1475" s="1">
        <v>44996</v>
      </c>
      <c r="C1475" s="1">
        <v>44999</v>
      </c>
      <c r="D1475">
        <v>39</v>
      </c>
      <c r="E1475" t="s">
        <v>6</v>
      </c>
      <c r="F1475" t="s">
        <v>7</v>
      </c>
    </row>
    <row r="1476" spans="1:6" x14ac:dyDescent="0.3">
      <c r="A1476">
        <v>197873706</v>
      </c>
      <c r="B1476" s="1">
        <v>44997</v>
      </c>
      <c r="C1476" s="1">
        <v>45150</v>
      </c>
      <c r="D1476">
        <v>39</v>
      </c>
      <c r="E1476" t="s">
        <v>6</v>
      </c>
      <c r="F1476" t="s">
        <v>7</v>
      </c>
    </row>
    <row r="1477" spans="1:6" x14ac:dyDescent="0.3">
      <c r="A1477">
        <v>206284048</v>
      </c>
      <c r="B1477" s="1">
        <v>44997</v>
      </c>
      <c r="C1477" s="1">
        <v>45003</v>
      </c>
      <c r="D1477">
        <v>39</v>
      </c>
      <c r="E1477" t="s">
        <v>6</v>
      </c>
      <c r="F1477" t="s">
        <v>7</v>
      </c>
    </row>
    <row r="1478" spans="1:6" x14ac:dyDescent="0.3">
      <c r="A1478">
        <v>149761545</v>
      </c>
      <c r="B1478" s="1">
        <v>44997</v>
      </c>
      <c r="C1478" s="1">
        <v>45131</v>
      </c>
      <c r="D1478">
        <v>39</v>
      </c>
      <c r="E1478" t="s">
        <v>6</v>
      </c>
      <c r="F1478" t="s">
        <v>7</v>
      </c>
    </row>
    <row r="1479" spans="1:6" x14ac:dyDescent="0.3">
      <c r="A1479">
        <v>155010717</v>
      </c>
      <c r="B1479" s="1">
        <v>44998</v>
      </c>
      <c r="C1479" s="1">
        <v>45077</v>
      </c>
      <c r="D1479">
        <v>39</v>
      </c>
      <c r="E1479" t="s">
        <v>6</v>
      </c>
      <c r="F1479" t="s">
        <v>7</v>
      </c>
    </row>
    <row r="1480" spans="1:6" x14ac:dyDescent="0.3">
      <c r="A1480">
        <v>151407531</v>
      </c>
      <c r="B1480" s="1">
        <v>44998</v>
      </c>
      <c r="C1480" s="1">
        <v>45028</v>
      </c>
      <c r="D1480">
        <v>39</v>
      </c>
      <c r="E1480" t="s">
        <v>6</v>
      </c>
      <c r="F1480" t="s">
        <v>7</v>
      </c>
    </row>
    <row r="1481" spans="1:6" x14ac:dyDescent="0.3">
      <c r="A1481">
        <v>206407796</v>
      </c>
      <c r="B1481" s="1">
        <v>44998</v>
      </c>
      <c r="C1481" s="1">
        <v>45058</v>
      </c>
      <c r="D1481">
        <v>39</v>
      </c>
      <c r="E1481" t="s">
        <v>6</v>
      </c>
      <c r="F1481" t="s">
        <v>7</v>
      </c>
    </row>
    <row r="1482" spans="1:6" x14ac:dyDescent="0.3">
      <c r="A1482">
        <v>206247835</v>
      </c>
      <c r="B1482" s="1">
        <v>44998</v>
      </c>
      <c r="C1482" s="1">
        <v>45071</v>
      </c>
      <c r="D1482">
        <v>39</v>
      </c>
      <c r="E1482" t="s">
        <v>6</v>
      </c>
      <c r="F1482" t="s">
        <v>7</v>
      </c>
    </row>
    <row r="1483" spans="1:6" x14ac:dyDescent="0.3">
      <c r="A1483">
        <v>206382927</v>
      </c>
      <c r="B1483" s="1">
        <v>44998</v>
      </c>
      <c r="C1483" s="1">
        <v>45070</v>
      </c>
      <c r="D1483">
        <v>39</v>
      </c>
      <c r="E1483" t="s">
        <v>6</v>
      </c>
      <c r="F1483" t="s">
        <v>7</v>
      </c>
    </row>
    <row r="1484" spans="1:6" x14ac:dyDescent="0.3">
      <c r="A1484">
        <v>206147500</v>
      </c>
      <c r="B1484" s="1">
        <v>44998</v>
      </c>
      <c r="C1484" s="1">
        <v>45064</v>
      </c>
      <c r="D1484">
        <v>39</v>
      </c>
      <c r="E1484" t="s">
        <v>6</v>
      </c>
      <c r="F1484" t="s">
        <v>7</v>
      </c>
    </row>
    <row r="1485" spans="1:6" x14ac:dyDescent="0.3">
      <c r="A1485">
        <v>206330714</v>
      </c>
      <c r="B1485" s="1">
        <v>44998</v>
      </c>
      <c r="C1485" s="1">
        <v>45023</v>
      </c>
      <c r="D1485">
        <v>39</v>
      </c>
      <c r="E1485" t="s">
        <v>6</v>
      </c>
      <c r="F1485" t="s">
        <v>7</v>
      </c>
    </row>
    <row r="1486" spans="1:6" x14ac:dyDescent="0.3">
      <c r="A1486">
        <v>206121650</v>
      </c>
      <c r="B1486" s="1">
        <v>44998</v>
      </c>
      <c r="C1486" s="1">
        <v>45025</v>
      </c>
      <c r="D1486">
        <v>39</v>
      </c>
      <c r="E1486" t="s">
        <v>6</v>
      </c>
      <c r="F1486" t="s">
        <v>7</v>
      </c>
    </row>
    <row r="1487" spans="1:6" x14ac:dyDescent="0.3">
      <c r="A1487">
        <v>182504578</v>
      </c>
      <c r="B1487" s="1">
        <v>44998</v>
      </c>
      <c r="C1487" s="1">
        <v>45036</v>
      </c>
      <c r="D1487">
        <v>39</v>
      </c>
      <c r="E1487" t="s">
        <v>6</v>
      </c>
      <c r="F1487" t="s">
        <v>7</v>
      </c>
    </row>
    <row r="1488" spans="1:6" x14ac:dyDescent="0.3">
      <c r="A1488">
        <v>204362311</v>
      </c>
      <c r="B1488" s="1">
        <v>44998</v>
      </c>
      <c r="C1488" s="1">
        <v>45091</v>
      </c>
      <c r="D1488">
        <v>39</v>
      </c>
      <c r="E1488" t="s">
        <v>6</v>
      </c>
      <c r="F1488" t="s">
        <v>7</v>
      </c>
    </row>
    <row r="1489" spans="1:6" x14ac:dyDescent="0.3">
      <c r="A1489">
        <v>206504573</v>
      </c>
      <c r="B1489" s="1">
        <v>44999</v>
      </c>
      <c r="D1489">
        <v>39</v>
      </c>
      <c r="E1489" t="s">
        <v>6</v>
      </c>
      <c r="F1489" t="s">
        <v>7</v>
      </c>
    </row>
    <row r="1490" spans="1:6" x14ac:dyDescent="0.3">
      <c r="A1490">
        <v>206490851</v>
      </c>
      <c r="B1490" s="1">
        <v>44999</v>
      </c>
      <c r="D1490">
        <v>39</v>
      </c>
      <c r="E1490" t="s">
        <v>6</v>
      </c>
      <c r="F1490" t="s">
        <v>7</v>
      </c>
    </row>
    <row r="1491" spans="1:6" x14ac:dyDescent="0.3">
      <c r="A1491">
        <v>206468868</v>
      </c>
      <c r="B1491" s="1">
        <v>44999</v>
      </c>
      <c r="D1491">
        <v>39</v>
      </c>
      <c r="E1491" t="s">
        <v>6</v>
      </c>
      <c r="F1491" t="s">
        <v>7</v>
      </c>
    </row>
    <row r="1492" spans="1:6" x14ac:dyDescent="0.3">
      <c r="A1492">
        <v>206316124</v>
      </c>
      <c r="B1492" s="1">
        <v>44999</v>
      </c>
      <c r="D1492">
        <v>39</v>
      </c>
      <c r="E1492" t="s">
        <v>6</v>
      </c>
      <c r="F1492" t="s">
        <v>7</v>
      </c>
    </row>
    <row r="1493" spans="1:6" x14ac:dyDescent="0.3">
      <c r="A1493">
        <v>203404034</v>
      </c>
      <c r="B1493" s="1">
        <v>44999</v>
      </c>
      <c r="C1493" s="1">
        <v>45099</v>
      </c>
      <c r="D1493">
        <v>39</v>
      </c>
      <c r="E1493" t="s">
        <v>6</v>
      </c>
      <c r="F1493" t="s">
        <v>7</v>
      </c>
    </row>
    <row r="1494" spans="1:6" x14ac:dyDescent="0.3">
      <c r="A1494">
        <v>206284545</v>
      </c>
      <c r="B1494" s="1">
        <v>44999</v>
      </c>
      <c r="C1494" s="1">
        <v>45080</v>
      </c>
      <c r="D1494">
        <v>39</v>
      </c>
      <c r="E1494" t="s">
        <v>6</v>
      </c>
      <c r="F1494" t="s">
        <v>7</v>
      </c>
    </row>
    <row r="1495" spans="1:6" x14ac:dyDescent="0.3">
      <c r="A1495">
        <v>206470657</v>
      </c>
      <c r="B1495" s="1">
        <v>44999</v>
      </c>
      <c r="C1495" s="1">
        <v>45049</v>
      </c>
      <c r="D1495">
        <v>39</v>
      </c>
      <c r="E1495" t="s">
        <v>6</v>
      </c>
      <c r="F1495" t="s">
        <v>7</v>
      </c>
    </row>
    <row r="1496" spans="1:6" x14ac:dyDescent="0.3">
      <c r="A1496">
        <v>206458744</v>
      </c>
      <c r="B1496" s="1">
        <v>44999</v>
      </c>
      <c r="C1496" s="1">
        <v>45040</v>
      </c>
      <c r="D1496">
        <v>39</v>
      </c>
      <c r="E1496" t="s">
        <v>6</v>
      </c>
      <c r="F1496" t="s">
        <v>7</v>
      </c>
    </row>
    <row r="1497" spans="1:6" x14ac:dyDescent="0.3">
      <c r="A1497">
        <v>206122814</v>
      </c>
      <c r="B1497" s="1">
        <v>44999</v>
      </c>
      <c r="C1497" s="1">
        <v>45029</v>
      </c>
      <c r="D1497">
        <v>39</v>
      </c>
      <c r="E1497" t="s">
        <v>6</v>
      </c>
      <c r="F1497" t="s">
        <v>7</v>
      </c>
    </row>
    <row r="1498" spans="1:6" x14ac:dyDescent="0.3">
      <c r="A1498">
        <v>206549666</v>
      </c>
      <c r="B1498" s="1">
        <v>45000</v>
      </c>
      <c r="D1498">
        <v>39</v>
      </c>
      <c r="E1498" t="s">
        <v>6</v>
      </c>
      <c r="F1498" t="s">
        <v>7</v>
      </c>
    </row>
    <row r="1499" spans="1:6" x14ac:dyDescent="0.3">
      <c r="A1499">
        <v>133623621</v>
      </c>
      <c r="B1499" s="1">
        <v>45000</v>
      </c>
      <c r="D1499">
        <v>39</v>
      </c>
      <c r="E1499" t="s">
        <v>6</v>
      </c>
      <c r="F1499" t="s">
        <v>7</v>
      </c>
    </row>
    <row r="1500" spans="1:6" x14ac:dyDescent="0.3">
      <c r="A1500">
        <v>130982816</v>
      </c>
      <c r="B1500" s="1">
        <v>45000</v>
      </c>
      <c r="D1500">
        <v>39</v>
      </c>
      <c r="E1500" t="s">
        <v>6</v>
      </c>
      <c r="F1500" t="s">
        <v>7</v>
      </c>
    </row>
    <row r="1501" spans="1:6" x14ac:dyDescent="0.3">
      <c r="A1501">
        <v>143776119</v>
      </c>
      <c r="B1501" s="1">
        <v>45000</v>
      </c>
      <c r="C1501" s="1">
        <v>45166</v>
      </c>
      <c r="D1501">
        <v>39</v>
      </c>
      <c r="E1501" t="s">
        <v>6</v>
      </c>
      <c r="F1501" t="s">
        <v>7</v>
      </c>
    </row>
    <row r="1502" spans="1:6" x14ac:dyDescent="0.3">
      <c r="A1502">
        <v>206542743</v>
      </c>
      <c r="B1502" s="1">
        <v>45000</v>
      </c>
      <c r="C1502" s="1">
        <v>45001</v>
      </c>
      <c r="D1502">
        <v>39</v>
      </c>
      <c r="E1502" t="s">
        <v>6</v>
      </c>
      <c r="F1502" t="s">
        <v>8</v>
      </c>
    </row>
    <row r="1503" spans="1:6" x14ac:dyDescent="0.3">
      <c r="A1503">
        <v>206158603</v>
      </c>
      <c r="B1503" s="1">
        <v>45000</v>
      </c>
      <c r="C1503" s="1">
        <v>45001</v>
      </c>
      <c r="D1503">
        <v>39</v>
      </c>
      <c r="E1503" t="s">
        <v>6</v>
      </c>
      <c r="F1503" t="s">
        <v>8</v>
      </c>
    </row>
    <row r="1504" spans="1:6" x14ac:dyDescent="0.3">
      <c r="A1504">
        <v>206548046</v>
      </c>
      <c r="B1504" s="1">
        <v>45000</v>
      </c>
      <c r="C1504" s="1">
        <v>45085</v>
      </c>
      <c r="D1504">
        <v>39</v>
      </c>
      <c r="E1504" t="s">
        <v>6</v>
      </c>
      <c r="F1504" t="s">
        <v>7</v>
      </c>
    </row>
    <row r="1505" spans="1:6" x14ac:dyDescent="0.3">
      <c r="A1505">
        <v>168464004</v>
      </c>
      <c r="B1505" s="1">
        <v>45000</v>
      </c>
      <c r="C1505" s="1">
        <v>45078</v>
      </c>
      <c r="D1505">
        <v>39</v>
      </c>
      <c r="E1505" t="s">
        <v>6</v>
      </c>
      <c r="F1505" t="s">
        <v>7</v>
      </c>
    </row>
    <row r="1506" spans="1:6" x14ac:dyDescent="0.3">
      <c r="A1506">
        <v>146330379</v>
      </c>
      <c r="B1506" s="1">
        <v>45000</v>
      </c>
      <c r="C1506" s="1">
        <v>45035</v>
      </c>
      <c r="D1506">
        <v>39</v>
      </c>
      <c r="E1506" t="s">
        <v>6</v>
      </c>
      <c r="F1506" t="s">
        <v>7</v>
      </c>
    </row>
    <row r="1507" spans="1:6" x14ac:dyDescent="0.3">
      <c r="A1507">
        <v>206006946</v>
      </c>
      <c r="B1507" s="1">
        <v>45000</v>
      </c>
      <c r="C1507" s="1">
        <v>45068</v>
      </c>
      <c r="D1507">
        <v>39</v>
      </c>
      <c r="E1507" t="s">
        <v>6</v>
      </c>
      <c r="F1507" t="s">
        <v>7</v>
      </c>
    </row>
    <row r="1508" spans="1:6" x14ac:dyDescent="0.3">
      <c r="A1508">
        <v>206531388</v>
      </c>
      <c r="B1508" s="1">
        <v>45000</v>
      </c>
      <c r="C1508" s="1">
        <v>45021</v>
      </c>
      <c r="D1508">
        <v>39</v>
      </c>
      <c r="E1508" t="s">
        <v>6</v>
      </c>
      <c r="F1508" t="s">
        <v>7</v>
      </c>
    </row>
    <row r="1509" spans="1:6" x14ac:dyDescent="0.3">
      <c r="A1509">
        <v>206512820</v>
      </c>
      <c r="B1509" s="1">
        <v>45000</v>
      </c>
      <c r="C1509" s="1">
        <v>45119</v>
      </c>
      <c r="D1509">
        <v>39</v>
      </c>
      <c r="E1509" t="s">
        <v>6</v>
      </c>
      <c r="F1509" t="s">
        <v>7</v>
      </c>
    </row>
    <row r="1510" spans="1:6" x14ac:dyDescent="0.3">
      <c r="A1510">
        <v>206501414</v>
      </c>
      <c r="B1510" s="1">
        <v>45001</v>
      </c>
      <c r="D1510">
        <v>39</v>
      </c>
      <c r="E1510" t="s">
        <v>6</v>
      </c>
      <c r="F1510" t="s">
        <v>7</v>
      </c>
    </row>
    <row r="1511" spans="1:6" x14ac:dyDescent="0.3">
      <c r="A1511">
        <v>181175226</v>
      </c>
      <c r="B1511" s="1">
        <v>45001</v>
      </c>
      <c r="C1511" s="1">
        <v>45016</v>
      </c>
      <c r="D1511">
        <v>39</v>
      </c>
      <c r="E1511" t="s">
        <v>6</v>
      </c>
      <c r="F1511" t="s">
        <v>7</v>
      </c>
    </row>
    <row r="1512" spans="1:6" x14ac:dyDescent="0.3">
      <c r="A1512">
        <v>148758550</v>
      </c>
      <c r="B1512" s="1">
        <v>45002</v>
      </c>
      <c r="D1512">
        <v>39</v>
      </c>
      <c r="E1512" t="s">
        <v>6</v>
      </c>
      <c r="F1512" t="s">
        <v>7</v>
      </c>
    </row>
    <row r="1513" spans="1:6" x14ac:dyDescent="0.3">
      <c r="A1513">
        <v>206682036</v>
      </c>
      <c r="B1513" s="1">
        <v>45002</v>
      </c>
      <c r="D1513">
        <v>39</v>
      </c>
      <c r="E1513" t="s">
        <v>6</v>
      </c>
      <c r="F1513" t="s">
        <v>7</v>
      </c>
    </row>
    <row r="1514" spans="1:6" x14ac:dyDescent="0.3">
      <c r="A1514">
        <v>206149654</v>
      </c>
      <c r="B1514" s="1">
        <v>45002</v>
      </c>
      <c r="D1514">
        <v>39</v>
      </c>
      <c r="E1514" t="s">
        <v>6</v>
      </c>
      <c r="F1514" t="s">
        <v>7</v>
      </c>
    </row>
    <row r="1515" spans="1:6" x14ac:dyDescent="0.3">
      <c r="A1515">
        <v>206653056</v>
      </c>
      <c r="B1515" s="1">
        <v>45002</v>
      </c>
      <c r="D1515">
        <v>39</v>
      </c>
      <c r="E1515" t="s">
        <v>6</v>
      </c>
      <c r="F1515" t="s">
        <v>7</v>
      </c>
    </row>
    <row r="1516" spans="1:6" x14ac:dyDescent="0.3">
      <c r="A1516">
        <v>198466025</v>
      </c>
      <c r="B1516" s="1">
        <v>45002</v>
      </c>
      <c r="D1516">
        <v>39</v>
      </c>
      <c r="E1516" t="s">
        <v>6</v>
      </c>
      <c r="F1516" t="s">
        <v>7</v>
      </c>
    </row>
    <row r="1517" spans="1:6" x14ac:dyDescent="0.3">
      <c r="A1517">
        <v>206685935</v>
      </c>
      <c r="B1517" s="1">
        <v>45002</v>
      </c>
      <c r="C1517" s="1">
        <v>45003</v>
      </c>
      <c r="D1517">
        <v>39</v>
      </c>
      <c r="E1517" t="s">
        <v>6</v>
      </c>
      <c r="F1517" t="s">
        <v>8</v>
      </c>
    </row>
    <row r="1518" spans="1:6" x14ac:dyDescent="0.3">
      <c r="A1518">
        <v>206659390</v>
      </c>
      <c r="B1518" s="1">
        <v>45002</v>
      </c>
      <c r="C1518" s="1">
        <v>45003</v>
      </c>
      <c r="D1518">
        <v>39</v>
      </c>
      <c r="E1518" t="s">
        <v>6</v>
      </c>
      <c r="F1518" t="s">
        <v>8</v>
      </c>
    </row>
    <row r="1519" spans="1:6" x14ac:dyDescent="0.3">
      <c r="A1519">
        <v>206550926</v>
      </c>
      <c r="B1519" s="1">
        <v>45002</v>
      </c>
      <c r="C1519" s="1">
        <v>45033</v>
      </c>
      <c r="D1519">
        <v>39</v>
      </c>
      <c r="E1519" t="s">
        <v>6</v>
      </c>
      <c r="F1519" t="s">
        <v>7</v>
      </c>
    </row>
    <row r="1520" spans="1:6" x14ac:dyDescent="0.3">
      <c r="A1520">
        <v>206673590</v>
      </c>
      <c r="B1520" s="1">
        <v>45002</v>
      </c>
      <c r="C1520" s="1">
        <v>45015</v>
      </c>
      <c r="D1520">
        <v>39</v>
      </c>
      <c r="E1520" t="s">
        <v>6</v>
      </c>
      <c r="F1520" t="s">
        <v>7</v>
      </c>
    </row>
    <row r="1521" spans="1:6" x14ac:dyDescent="0.3">
      <c r="A1521">
        <v>205593462</v>
      </c>
      <c r="B1521" s="1">
        <v>45002</v>
      </c>
      <c r="C1521" s="1">
        <v>45148</v>
      </c>
      <c r="D1521">
        <v>39</v>
      </c>
      <c r="E1521" t="s">
        <v>6</v>
      </c>
      <c r="F1521" t="s">
        <v>7</v>
      </c>
    </row>
    <row r="1522" spans="1:6" x14ac:dyDescent="0.3">
      <c r="A1522">
        <v>205889926</v>
      </c>
      <c r="B1522" s="1">
        <v>45003</v>
      </c>
      <c r="D1522">
        <v>39</v>
      </c>
      <c r="E1522" t="s">
        <v>6</v>
      </c>
      <c r="F1522" t="s">
        <v>7</v>
      </c>
    </row>
    <row r="1523" spans="1:6" x14ac:dyDescent="0.3">
      <c r="A1523">
        <v>151713121</v>
      </c>
      <c r="B1523" s="1">
        <v>45003</v>
      </c>
      <c r="D1523">
        <v>39</v>
      </c>
      <c r="E1523" t="s">
        <v>6</v>
      </c>
      <c r="F1523" t="s">
        <v>7</v>
      </c>
    </row>
    <row r="1524" spans="1:6" x14ac:dyDescent="0.3">
      <c r="A1524">
        <v>206759898</v>
      </c>
      <c r="B1524" s="1">
        <v>45003</v>
      </c>
      <c r="C1524" s="1">
        <v>45004</v>
      </c>
      <c r="D1524">
        <v>39</v>
      </c>
      <c r="E1524" t="s">
        <v>6</v>
      </c>
      <c r="F1524" t="s">
        <v>8</v>
      </c>
    </row>
    <row r="1525" spans="1:6" x14ac:dyDescent="0.3">
      <c r="A1525">
        <v>206750792</v>
      </c>
      <c r="B1525" s="1">
        <v>45003</v>
      </c>
      <c r="C1525" s="1">
        <v>45004</v>
      </c>
      <c r="D1525">
        <v>39</v>
      </c>
      <c r="E1525" t="s">
        <v>6</v>
      </c>
      <c r="F1525" t="s">
        <v>8</v>
      </c>
    </row>
    <row r="1526" spans="1:6" x14ac:dyDescent="0.3">
      <c r="A1526">
        <v>206742592</v>
      </c>
      <c r="B1526" s="1">
        <v>45003</v>
      </c>
      <c r="C1526" s="1">
        <v>45004</v>
      </c>
      <c r="D1526">
        <v>39</v>
      </c>
      <c r="E1526" t="s">
        <v>6</v>
      </c>
      <c r="F1526" t="s">
        <v>8</v>
      </c>
    </row>
    <row r="1527" spans="1:6" x14ac:dyDescent="0.3">
      <c r="A1527">
        <v>206700008</v>
      </c>
      <c r="B1527" s="1">
        <v>45003</v>
      </c>
      <c r="C1527" s="1">
        <v>45004</v>
      </c>
      <c r="D1527">
        <v>39</v>
      </c>
      <c r="E1527" t="s">
        <v>6</v>
      </c>
      <c r="F1527" t="s">
        <v>8</v>
      </c>
    </row>
    <row r="1528" spans="1:6" x14ac:dyDescent="0.3">
      <c r="A1528">
        <v>156170916</v>
      </c>
      <c r="B1528" s="1">
        <v>45003</v>
      </c>
      <c r="C1528" s="1">
        <v>45152</v>
      </c>
      <c r="D1528">
        <v>39</v>
      </c>
      <c r="E1528" t="s">
        <v>6</v>
      </c>
      <c r="F1528" t="s">
        <v>7</v>
      </c>
    </row>
    <row r="1529" spans="1:6" x14ac:dyDescent="0.3">
      <c r="A1529">
        <v>206607664</v>
      </c>
      <c r="B1529" s="1">
        <v>45003</v>
      </c>
      <c r="C1529" s="1">
        <v>45041</v>
      </c>
      <c r="D1529">
        <v>39</v>
      </c>
      <c r="E1529" t="s">
        <v>6</v>
      </c>
      <c r="F1529" t="s">
        <v>7</v>
      </c>
    </row>
    <row r="1530" spans="1:6" x14ac:dyDescent="0.3">
      <c r="A1530">
        <v>183332399</v>
      </c>
      <c r="B1530" s="1">
        <v>45004</v>
      </c>
      <c r="D1530">
        <v>39</v>
      </c>
      <c r="E1530" t="s">
        <v>6</v>
      </c>
      <c r="F1530" t="s">
        <v>7</v>
      </c>
    </row>
    <row r="1531" spans="1:6" x14ac:dyDescent="0.3">
      <c r="A1531">
        <v>176705210</v>
      </c>
      <c r="B1531" s="1">
        <v>45004</v>
      </c>
      <c r="C1531" s="1">
        <v>45005</v>
      </c>
      <c r="D1531">
        <v>39</v>
      </c>
      <c r="E1531" t="s">
        <v>6</v>
      </c>
      <c r="F1531" t="s">
        <v>7</v>
      </c>
    </row>
    <row r="1532" spans="1:6" x14ac:dyDescent="0.3">
      <c r="A1532">
        <v>154901722</v>
      </c>
      <c r="B1532" s="1">
        <v>45004</v>
      </c>
      <c r="C1532" s="1">
        <v>45004</v>
      </c>
      <c r="D1532">
        <v>39</v>
      </c>
      <c r="E1532" t="s">
        <v>6</v>
      </c>
      <c r="F1532" t="s">
        <v>7</v>
      </c>
    </row>
    <row r="1533" spans="1:6" x14ac:dyDescent="0.3">
      <c r="A1533">
        <v>153438676</v>
      </c>
      <c r="B1533" s="1">
        <v>45004</v>
      </c>
      <c r="C1533" s="1">
        <v>45072</v>
      </c>
      <c r="D1533">
        <v>39</v>
      </c>
      <c r="E1533" t="s">
        <v>6</v>
      </c>
      <c r="F1533" t="s">
        <v>7</v>
      </c>
    </row>
    <row r="1534" spans="1:6" x14ac:dyDescent="0.3">
      <c r="A1534">
        <v>154901722</v>
      </c>
      <c r="B1534" s="1">
        <v>45004</v>
      </c>
      <c r="C1534" s="1">
        <v>45050</v>
      </c>
      <c r="D1534">
        <v>39</v>
      </c>
      <c r="E1534" t="s">
        <v>6</v>
      </c>
      <c r="F1534" t="s">
        <v>7</v>
      </c>
    </row>
    <row r="1535" spans="1:6" x14ac:dyDescent="0.3">
      <c r="A1535">
        <v>123768696</v>
      </c>
      <c r="B1535" s="1">
        <v>45004</v>
      </c>
      <c r="C1535" s="1">
        <v>45027</v>
      </c>
      <c r="D1535">
        <v>39</v>
      </c>
      <c r="E1535" t="s">
        <v>6</v>
      </c>
      <c r="F1535" t="s">
        <v>7</v>
      </c>
    </row>
    <row r="1536" spans="1:6" x14ac:dyDescent="0.3">
      <c r="A1536">
        <v>142976081</v>
      </c>
      <c r="B1536" s="1">
        <v>45004</v>
      </c>
      <c r="C1536" s="1">
        <v>45035</v>
      </c>
      <c r="D1536">
        <v>39</v>
      </c>
      <c r="E1536" t="s">
        <v>6</v>
      </c>
      <c r="F1536" t="s">
        <v>7</v>
      </c>
    </row>
    <row r="1537" spans="1:6" x14ac:dyDescent="0.3">
      <c r="A1537">
        <v>152223051</v>
      </c>
      <c r="B1537" s="1">
        <v>45005</v>
      </c>
      <c r="D1537">
        <v>39</v>
      </c>
      <c r="E1537" t="s">
        <v>6</v>
      </c>
      <c r="F1537" t="s">
        <v>7</v>
      </c>
    </row>
    <row r="1538" spans="1:6" x14ac:dyDescent="0.3">
      <c r="A1538">
        <v>206865174</v>
      </c>
      <c r="B1538" s="1">
        <v>45005</v>
      </c>
      <c r="D1538">
        <v>39</v>
      </c>
      <c r="E1538" t="s">
        <v>6</v>
      </c>
      <c r="F1538" t="s">
        <v>7</v>
      </c>
    </row>
    <row r="1539" spans="1:6" x14ac:dyDescent="0.3">
      <c r="A1539">
        <v>143327052</v>
      </c>
      <c r="B1539" s="1">
        <v>45005</v>
      </c>
      <c r="D1539">
        <v>39</v>
      </c>
      <c r="E1539" t="s">
        <v>6</v>
      </c>
      <c r="F1539" t="s">
        <v>7</v>
      </c>
    </row>
    <row r="1540" spans="1:6" x14ac:dyDescent="0.3">
      <c r="A1540">
        <v>202270426</v>
      </c>
      <c r="B1540" s="1">
        <v>45005</v>
      </c>
      <c r="C1540" s="1">
        <v>45006</v>
      </c>
      <c r="D1540">
        <v>39</v>
      </c>
      <c r="E1540" t="s">
        <v>6</v>
      </c>
      <c r="F1540" t="s">
        <v>7</v>
      </c>
    </row>
    <row r="1541" spans="1:6" x14ac:dyDescent="0.3">
      <c r="A1541">
        <v>185602413</v>
      </c>
      <c r="B1541" s="1">
        <v>45005</v>
      </c>
      <c r="C1541" s="1">
        <v>45104</v>
      </c>
      <c r="D1541">
        <v>39</v>
      </c>
      <c r="E1541" t="s">
        <v>6</v>
      </c>
      <c r="F1541" t="s">
        <v>7</v>
      </c>
    </row>
    <row r="1542" spans="1:6" x14ac:dyDescent="0.3">
      <c r="A1542">
        <v>206679618</v>
      </c>
      <c r="B1542" s="1">
        <v>45005</v>
      </c>
      <c r="C1542" s="1">
        <v>45047</v>
      </c>
      <c r="D1542">
        <v>39</v>
      </c>
      <c r="E1542" t="s">
        <v>6</v>
      </c>
      <c r="F1542" t="s">
        <v>7</v>
      </c>
    </row>
    <row r="1543" spans="1:6" x14ac:dyDescent="0.3">
      <c r="A1543">
        <v>127561439</v>
      </c>
      <c r="B1543" s="1">
        <v>45005</v>
      </c>
      <c r="C1543" s="1">
        <v>45035</v>
      </c>
      <c r="D1543">
        <v>39</v>
      </c>
      <c r="E1543" t="s">
        <v>6</v>
      </c>
      <c r="F1543" t="s">
        <v>7</v>
      </c>
    </row>
    <row r="1544" spans="1:6" x14ac:dyDescent="0.3">
      <c r="A1544">
        <v>176705210</v>
      </c>
      <c r="B1544" s="1">
        <v>45005</v>
      </c>
      <c r="C1544" s="1">
        <v>45005</v>
      </c>
      <c r="D1544">
        <v>39</v>
      </c>
      <c r="E1544" t="s">
        <v>6</v>
      </c>
      <c r="F1544" t="s">
        <v>7</v>
      </c>
    </row>
    <row r="1545" spans="1:6" x14ac:dyDescent="0.3">
      <c r="A1545">
        <v>206693452</v>
      </c>
      <c r="B1545" s="1">
        <v>45006</v>
      </c>
      <c r="D1545">
        <v>39</v>
      </c>
      <c r="E1545" t="s">
        <v>6</v>
      </c>
      <c r="F1545" t="s">
        <v>7</v>
      </c>
    </row>
    <row r="1546" spans="1:6" x14ac:dyDescent="0.3">
      <c r="A1546">
        <v>193499084</v>
      </c>
      <c r="B1546" s="1">
        <v>45006</v>
      </c>
      <c r="D1546">
        <v>39</v>
      </c>
      <c r="E1546" t="s">
        <v>6</v>
      </c>
      <c r="F1546" t="s">
        <v>7</v>
      </c>
    </row>
    <row r="1547" spans="1:6" x14ac:dyDescent="0.3">
      <c r="A1547">
        <v>206995576</v>
      </c>
      <c r="B1547" s="1">
        <v>45006</v>
      </c>
      <c r="C1547" s="1">
        <v>45163</v>
      </c>
      <c r="D1547">
        <v>39</v>
      </c>
      <c r="E1547" t="s">
        <v>6</v>
      </c>
      <c r="F1547" t="s">
        <v>7</v>
      </c>
    </row>
    <row r="1548" spans="1:6" x14ac:dyDescent="0.3">
      <c r="A1548">
        <v>154783053</v>
      </c>
      <c r="B1548" s="1">
        <v>45006</v>
      </c>
      <c r="C1548" s="1">
        <v>45050</v>
      </c>
      <c r="D1548">
        <v>39</v>
      </c>
      <c r="E1548" t="s">
        <v>6</v>
      </c>
      <c r="F1548" t="s">
        <v>7</v>
      </c>
    </row>
    <row r="1549" spans="1:6" x14ac:dyDescent="0.3">
      <c r="A1549">
        <v>158349405</v>
      </c>
      <c r="B1549" s="1">
        <v>45006</v>
      </c>
      <c r="C1549" s="1">
        <v>45154</v>
      </c>
      <c r="D1549">
        <v>39</v>
      </c>
      <c r="E1549" t="s">
        <v>6</v>
      </c>
      <c r="F1549" t="s">
        <v>7</v>
      </c>
    </row>
    <row r="1550" spans="1:6" x14ac:dyDescent="0.3">
      <c r="A1550">
        <v>205554002</v>
      </c>
      <c r="B1550" s="1">
        <v>45006</v>
      </c>
      <c r="C1550" s="1">
        <v>45153</v>
      </c>
      <c r="D1550">
        <v>39</v>
      </c>
      <c r="E1550" t="s">
        <v>6</v>
      </c>
      <c r="F1550" t="s">
        <v>7</v>
      </c>
    </row>
    <row r="1551" spans="1:6" x14ac:dyDescent="0.3">
      <c r="A1551">
        <v>207045565</v>
      </c>
      <c r="B1551" s="1">
        <v>45007</v>
      </c>
      <c r="D1551">
        <v>39</v>
      </c>
      <c r="E1551" t="s">
        <v>6</v>
      </c>
      <c r="F1551" t="s">
        <v>7</v>
      </c>
    </row>
    <row r="1552" spans="1:6" x14ac:dyDescent="0.3">
      <c r="A1552">
        <v>205483607</v>
      </c>
      <c r="B1552" s="1">
        <v>45007</v>
      </c>
      <c r="D1552">
        <v>39</v>
      </c>
      <c r="E1552" t="s">
        <v>6</v>
      </c>
      <c r="F1552" t="s">
        <v>7</v>
      </c>
    </row>
    <row r="1553" spans="1:6" x14ac:dyDescent="0.3">
      <c r="A1553">
        <v>147662374</v>
      </c>
      <c r="B1553" s="1">
        <v>45007</v>
      </c>
      <c r="D1553">
        <v>39</v>
      </c>
      <c r="E1553" t="s">
        <v>6</v>
      </c>
      <c r="F1553" t="s">
        <v>7</v>
      </c>
    </row>
    <row r="1554" spans="1:6" x14ac:dyDescent="0.3">
      <c r="A1554">
        <v>150652956</v>
      </c>
      <c r="B1554" s="1">
        <v>45007</v>
      </c>
      <c r="C1554" s="1">
        <v>45027</v>
      </c>
      <c r="D1554">
        <v>39</v>
      </c>
      <c r="E1554" t="s">
        <v>6</v>
      </c>
      <c r="F1554" t="s">
        <v>7</v>
      </c>
    </row>
    <row r="1555" spans="1:6" x14ac:dyDescent="0.3">
      <c r="A1555">
        <v>206527656</v>
      </c>
      <c r="B1555" s="1">
        <v>45007</v>
      </c>
      <c r="C1555" s="1">
        <v>45085</v>
      </c>
      <c r="D1555">
        <v>39</v>
      </c>
      <c r="E1555" t="s">
        <v>6</v>
      </c>
      <c r="F1555" t="s">
        <v>7</v>
      </c>
    </row>
    <row r="1556" spans="1:6" x14ac:dyDescent="0.3">
      <c r="A1556">
        <v>207041353</v>
      </c>
      <c r="B1556" s="1">
        <v>45007</v>
      </c>
      <c r="C1556" s="1">
        <v>45065</v>
      </c>
      <c r="D1556">
        <v>39</v>
      </c>
      <c r="E1556" t="s">
        <v>6</v>
      </c>
      <c r="F1556" t="s">
        <v>7</v>
      </c>
    </row>
    <row r="1557" spans="1:6" x14ac:dyDescent="0.3">
      <c r="A1557">
        <v>204448911</v>
      </c>
      <c r="B1557" s="1">
        <v>45007</v>
      </c>
      <c r="C1557" s="1">
        <v>45037</v>
      </c>
      <c r="D1557">
        <v>39</v>
      </c>
      <c r="E1557" t="s">
        <v>6</v>
      </c>
      <c r="F1557" t="s">
        <v>7</v>
      </c>
    </row>
    <row r="1558" spans="1:6" x14ac:dyDescent="0.3">
      <c r="A1558">
        <v>206951785</v>
      </c>
      <c r="B1558" s="1">
        <v>45007</v>
      </c>
      <c r="C1558" s="1">
        <v>45036</v>
      </c>
      <c r="D1558">
        <v>39</v>
      </c>
      <c r="E1558" t="s">
        <v>6</v>
      </c>
      <c r="F1558" t="s">
        <v>7</v>
      </c>
    </row>
    <row r="1559" spans="1:6" x14ac:dyDescent="0.3">
      <c r="A1559">
        <v>206892555</v>
      </c>
      <c r="B1559" s="1">
        <v>45007</v>
      </c>
      <c r="C1559" s="1">
        <v>45009</v>
      </c>
      <c r="D1559">
        <v>39</v>
      </c>
      <c r="E1559" t="s">
        <v>6</v>
      </c>
      <c r="F1559" t="s">
        <v>7</v>
      </c>
    </row>
    <row r="1560" spans="1:6" x14ac:dyDescent="0.3">
      <c r="A1560">
        <v>207051401</v>
      </c>
      <c r="B1560" s="1">
        <v>45008</v>
      </c>
      <c r="D1560">
        <v>39</v>
      </c>
      <c r="E1560" t="s">
        <v>6</v>
      </c>
      <c r="F1560" t="s">
        <v>7</v>
      </c>
    </row>
    <row r="1561" spans="1:6" x14ac:dyDescent="0.3">
      <c r="A1561">
        <v>206904848</v>
      </c>
      <c r="B1561" s="1">
        <v>45008</v>
      </c>
      <c r="D1561">
        <v>39</v>
      </c>
      <c r="E1561" t="s">
        <v>6</v>
      </c>
      <c r="F1561" t="s">
        <v>7</v>
      </c>
    </row>
    <row r="1562" spans="1:6" x14ac:dyDescent="0.3">
      <c r="A1562">
        <v>204598188</v>
      </c>
      <c r="B1562" s="1">
        <v>45008</v>
      </c>
      <c r="C1562" s="1">
        <v>45169</v>
      </c>
      <c r="D1562">
        <v>39</v>
      </c>
      <c r="E1562" t="s">
        <v>6</v>
      </c>
      <c r="F1562" t="s">
        <v>7</v>
      </c>
    </row>
    <row r="1563" spans="1:6" x14ac:dyDescent="0.3">
      <c r="A1563">
        <v>206447228</v>
      </c>
      <c r="B1563" s="1">
        <v>45008</v>
      </c>
      <c r="C1563" s="1">
        <v>45072</v>
      </c>
      <c r="D1563">
        <v>39</v>
      </c>
      <c r="E1563" t="s">
        <v>6</v>
      </c>
      <c r="F1563" t="s">
        <v>7</v>
      </c>
    </row>
    <row r="1564" spans="1:6" x14ac:dyDescent="0.3">
      <c r="A1564">
        <v>206190599</v>
      </c>
      <c r="B1564" s="1">
        <v>45008</v>
      </c>
      <c r="C1564" s="1">
        <v>45057</v>
      </c>
      <c r="D1564">
        <v>39</v>
      </c>
      <c r="E1564" t="s">
        <v>6</v>
      </c>
      <c r="F1564" t="s">
        <v>7</v>
      </c>
    </row>
    <row r="1565" spans="1:6" x14ac:dyDescent="0.3">
      <c r="A1565">
        <v>207014740</v>
      </c>
      <c r="B1565" s="1">
        <v>45008</v>
      </c>
      <c r="C1565" s="1">
        <v>45023</v>
      </c>
      <c r="D1565">
        <v>39</v>
      </c>
      <c r="E1565" t="s">
        <v>6</v>
      </c>
      <c r="F1565" t="s">
        <v>7</v>
      </c>
    </row>
    <row r="1566" spans="1:6" x14ac:dyDescent="0.3">
      <c r="A1566">
        <v>156762690</v>
      </c>
      <c r="B1566" s="1">
        <v>45008</v>
      </c>
      <c r="C1566" s="1">
        <v>45037</v>
      </c>
      <c r="D1566">
        <v>39</v>
      </c>
      <c r="E1566" t="s">
        <v>6</v>
      </c>
      <c r="F1566" t="s">
        <v>7</v>
      </c>
    </row>
    <row r="1567" spans="1:6" x14ac:dyDescent="0.3">
      <c r="A1567">
        <v>207116463</v>
      </c>
      <c r="B1567" s="1">
        <v>45008</v>
      </c>
      <c r="C1567" s="1">
        <v>45037</v>
      </c>
      <c r="D1567">
        <v>39</v>
      </c>
      <c r="E1567" t="s">
        <v>6</v>
      </c>
      <c r="F1567" t="s">
        <v>7</v>
      </c>
    </row>
    <row r="1568" spans="1:6" x14ac:dyDescent="0.3">
      <c r="A1568">
        <v>206555111</v>
      </c>
      <c r="B1568" s="1">
        <v>45008</v>
      </c>
      <c r="C1568" s="1">
        <v>45033</v>
      </c>
      <c r="D1568">
        <v>39</v>
      </c>
      <c r="E1568" t="s">
        <v>6</v>
      </c>
      <c r="F1568" t="s">
        <v>7</v>
      </c>
    </row>
    <row r="1569" spans="1:6" x14ac:dyDescent="0.3">
      <c r="A1569">
        <v>169543155</v>
      </c>
      <c r="B1569" s="1">
        <v>45008</v>
      </c>
      <c r="C1569" s="1">
        <v>45046</v>
      </c>
      <c r="D1569">
        <v>39</v>
      </c>
      <c r="E1569" t="s">
        <v>6</v>
      </c>
      <c r="F1569" t="s">
        <v>7</v>
      </c>
    </row>
    <row r="1570" spans="1:6" x14ac:dyDescent="0.3">
      <c r="A1570">
        <v>202270426</v>
      </c>
      <c r="B1570" s="1">
        <v>45008</v>
      </c>
      <c r="C1570" s="1">
        <v>45046</v>
      </c>
      <c r="D1570">
        <v>39</v>
      </c>
      <c r="E1570" t="s">
        <v>6</v>
      </c>
      <c r="F1570" t="s">
        <v>7</v>
      </c>
    </row>
    <row r="1571" spans="1:6" x14ac:dyDescent="0.3">
      <c r="A1571">
        <v>207005361</v>
      </c>
      <c r="B1571" s="1">
        <v>45008</v>
      </c>
      <c r="C1571" s="1">
        <v>45118</v>
      </c>
      <c r="D1571">
        <v>39</v>
      </c>
      <c r="E1571" t="s">
        <v>6</v>
      </c>
      <c r="F1571" t="s">
        <v>7</v>
      </c>
    </row>
    <row r="1572" spans="1:6" x14ac:dyDescent="0.3">
      <c r="A1572">
        <v>206105763</v>
      </c>
      <c r="B1572" s="1">
        <v>45009</v>
      </c>
      <c r="D1572">
        <v>39</v>
      </c>
      <c r="E1572" t="s">
        <v>6</v>
      </c>
      <c r="F1572" t="s">
        <v>7</v>
      </c>
    </row>
    <row r="1573" spans="1:6" x14ac:dyDescent="0.3">
      <c r="A1573">
        <v>198968224</v>
      </c>
      <c r="B1573" s="1">
        <v>45009</v>
      </c>
      <c r="D1573">
        <v>39</v>
      </c>
      <c r="E1573" t="s">
        <v>6</v>
      </c>
      <c r="F1573" t="s">
        <v>7</v>
      </c>
    </row>
    <row r="1574" spans="1:6" x14ac:dyDescent="0.3">
      <c r="A1574">
        <v>205342230</v>
      </c>
      <c r="B1574" s="1">
        <v>45009</v>
      </c>
      <c r="D1574">
        <v>39</v>
      </c>
      <c r="E1574" t="s">
        <v>6</v>
      </c>
      <c r="F1574" t="s">
        <v>7</v>
      </c>
    </row>
    <row r="1575" spans="1:6" x14ac:dyDescent="0.3">
      <c r="A1575">
        <v>207224044</v>
      </c>
      <c r="B1575" s="1">
        <v>45009</v>
      </c>
      <c r="D1575">
        <v>39</v>
      </c>
      <c r="E1575" t="s">
        <v>6</v>
      </c>
      <c r="F1575" t="s">
        <v>7</v>
      </c>
    </row>
    <row r="1576" spans="1:6" x14ac:dyDescent="0.3">
      <c r="A1576">
        <v>174232231</v>
      </c>
      <c r="B1576" s="1">
        <v>45009</v>
      </c>
      <c r="D1576">
        <v>39</v>
      </c>
      <c r="E1576" t="s">
        <v>6</v>
      </c>
      <c r="F1576" t="s">
        <v>7</v>
      </c>
    </row>
    <row r="1577" spans="1:6" x14ac:dyDescent="0.3">
      <c r="A1577">
        <v>207017124</v>
      </c>
      <c r="B1577" s="1">
        <v>45009</v>
      </c>
      <c r="C1577" s="1">
        <v>45009</v>
      </c>
      <c r="D1577">
        <v>39</v>
      </c>
      <c r="E1577" t="s">
        <v>6</v>
      </c>
      <c r="F1577" t="s">
        <v>8</v>
      </c>
    </row>
    <row r="1578" spans="1:6" x14ac:dyDescent="0.3">
      <c r="A1578">
        <v>194006146</v>
      </c>
      <c r="B1578" s="1">
        <v>45009</v>
      </c>
      <c r="C1578" s="1">
        <v>45093</v>
      </c>
      <c r="D1578">
        <v>39</v>
      </c>
      <c r="E1578" t="s">
        <v>6</v>
      </c>
      <c r="F1578" t="s">
        <v>7</v>
      </c>
    </row>
    <row r="1579" spans="1:6" x14ac:dyDescent="0.3">
      <c r="A1579">
        <v>150509580</v>
      </c>
      <c r="B1579" s="1">
        <v>45009</v>
      </c>
      <c r="C1579" s="1">
        <v>45086</v>
      </c>
      <c r="D1579">
        <v>39</v>
      </c>
      <c r="E1579" t="s">
        <v>6</v>
      </c>
      <c r="F1579" t="s">
        <v>7</v>
      </c>
    </row>
    <row r="1580" spans="1:6" x14ac:dyDescent="0.3">
      <c r="A1580">
        <v>207120479</v>
      </c>
      <c r="B1580" s="1">
        <v>45009</v>
      </c>
      <c r="C1580" s="1">
        <v>45076</v>
      </c>
      <c r="D1580">
        <v>39</v>
      </c>
      <c r="E1580" t="s">
        <v>6</v>
      </c>
      <c r="F1580" t="s">
        <v>7</v>
      </c>
    </row>
    <row r="1581" spans="1:6" x14ac:dyDescent="0.3">
      <c r="A1581">
        <v>162069198</v>
      </c>
      <c r="B1581" s="1">
        <v>45009</v>
      </c>
      <c r="C1581" s="1">
        <v>45039</v>
      </c>
      <c r="D1581">
        <v>39</v>
      </c>
      <c r="E1581" t="s">
        <v>6</v>
      </c>
      <c r="F1581" t="s">
        <v>7</v>
      </c>
    </row>
    <row r="1582" spans="1:6" x14ac:dyDescent="0.3">
      <c r="A1582">
        <v>206742272</v>
      </c>
      <c r="B1582" s="1">
        <v>45009</v>
      </c>
      <c r="C1582" s="1">
        <v>45044</v>
      </c>
      <c r="D1582">
        <v>39</v>
      </c>
      <c r="E1582" t="s">
        <v>6</v>
      </c>
      <c r="F1582" t="s">
        <v>7</v>
      </c>
    </row>
    <row r="1583" spans="1:6" x14ac:dyDescent="0.3">
      <c r="A1583">
        <v>207433836</v>
      </c>
      <c r="B1583" s="1">
        <v>45010</v>
      </c>
      <c r="D1583">
        <v>39</v>
      </c>
      <c r="E1583" t="s">
        <v>6</v>
      </c>
      <c r="F1583" t="s">
        <v>7</v>
      </c>
    </row>
    <row r="1584" spans="1:6" x14ac:dyDescent="0.3">
      <c r="A1584">
        <v>207382183</v>
      </c>
      <c r="B1584" s="1">
        <v>45010</v>
      </c>
      <c r="D1584">
        <v>39</v>
      </c>
      <c r="E1584" t="s">
        <v>6</v>
      </c>
      <c r="F1584" t="s">
        <v>7</v>
      </c>
    </row>
    <row r="1585" spans="1:6" x14ac:dyDescent="0.3">
      <c r="A1585">
        <v>205051942</v>
      </c>
      <c r="B1585" s="1">
        <v>45010</v>
      </c>
      <c r="D1585">
        <v>39</v>
      </c>
      <c r="E1585" t="s">
        <v>6</v>
      </c>
      <c r="F1585" t="s">
        <v>7</v>
      </c>
    </row>
    <row r="1586" spans="1:6" x14ac:dyDescent="0.3">
      <c r="A1586">
        <v>132631414</v>
      </c>
      <c r="B1586" s="1">
        <v>45010</v>
      </c>
      <c r="C1586" s="1">
        <v>45109</v>
      </c>
      <c r="D1586">
        <v>39</v>
      </c>
      <c r="E1586" t="s">
        <v>6</v>
      </c>
      <c r="F1586" t="s">
        <v>7</v>
      </c>
    </row>
    <row r="1587" spans="1:6" x14ac:dyDescent="0.3">
      <c r="A1587">
        <v>207529664</v>
      </c>
      <c r="B1587" s="1">
        <v>45010</v>
      </c>
      <c r="C1587" s="1">
        <v>45016</v>
      </c>
      <c r="D1587">
        <v>39</v>
      </c>
      <c r="E1587" t="s">
        <v>6</v>
      </c>
      <c r="F1587" t="s">
        <v>7</v>
      </c>
    </row>
    <row r="1588" spans="1:6" x14ac:dyDescent="0.3">
      <c r="A1588">
        <v>207022940</v>
      </c>
      <c r="B1588" s="1">
        <v>45010</v>
      </c>
      <c r="C1588" s="1">
        <v>45117</v>
      </c>
      <c r="D1588">
        <v>39</v>
      </c>
      <c r="E1588" t="s">
        <v>6</v>
      </c>
      <c r="F1588" t="s">
        <v>7</v>
      </c>
    </row>
    <row r="1589" spans="1:6" x14ac:dyDescent="0.3">
      <c r="A1589">
        <v>207388337</v>
      </c>
      <c r="B1589" s="1">
        <v>45010</v>
      </c>
      <c r="C1589" s="1">
        <v>45141</v>
      </c>
      <c r="D1589">
        <v>39</v>
      </c>
      <c r="E1589" t="s">
        <v>6</v>
      </c>
      <c r="F1589" t="s">
        <v>7</v>
      </c>
    </row>
    <row r="1590" spans="1:6" x14ac:dyDescent="0.3">
      <c r="A1590">
        <v>205883858</v>
      </c>
      <c r="B1590" s="1">
        <v>45011</v>
      </c>
      <c r="D1590">
        <v>39</v>
      </c>
      <c r="E1590" t="s">
        <v>6</v>
      </c>
      <c r="F1590" t="s">
        <v>7</v>
      </c>
    </row>
    <row r="1591" spans="1:6" x14ac:dyDescent="0.3">
      <c r="A1591">
        <v>173711359</v>
      </c>
      <c r="B1591" s="1">
        <v>45011</v>
      </c>
      <c r="C1591" s="1">
        <v>45087</v>
      </c>
      <c r="D1591">
        <v>39</v>
      </c>
      <c r="E1591" t="s">
        <v>6</v>
      </c>
      <c r="F1591" t="s">
        <v>7</v>
      </c>
    </row>
    <row r="1592" spans="1:6" x14ac:dyDescent="0.3">
      <c r="A1592">
        <v>207078726</v>
      </c>
      <c r="B1592" s="1">
        <v>45011</v>
      </c>
      <c r="C1592" s="1">
        <v>45090</v>
      </c>
      <c r="D1592">
        <v>39</v>
      </c>
      <c r="E1592" t="s">
        <v>6</v>
      </c>
      <c r="F1592" t="s">
        <v>7</v>
      </c>
    </row>
    <row r="1593" spans="1:6" x14ac:dyDescent="0.3">
      <c r="A1593">
        <v>207415911</v>
      </c>
      <c r="B1593" s="1">
        <v>45011</v>
      </c>
      <c r="C1593" s="1">
        <v>45077</v>
      </c>
      <c r="D1593">
        <v>39</v>
      </c>
      <c r="E1593" t="s">
        <v>6</v>
      </c>
      <c r="F1593" t="s">
        <v>7</v>
      </c>
    </row>
    <row r="1594" spans="1:6" x14ac:dyDescent="0.3">
      <c r="A1594">
        <v>207391012</v>
      </c>
      <c r="B1594" s="1">
        <v>45011</v>
      </c>
      <c r="C1594" s="1">
        <v>45022</v>
      </c>
      <c r="D1594">
        <v>39</v>
      </c>
      <c r="E1594" t="s">
        <v>6</v>
      </c>
      <c r="F1594" t="s">
        <v>7</v>
      </c>
    </row>
    <row r="1595" spans="1:6" x14ac:dyDescent="0.3">
      <c r="A1595">
        <v>207699946</v>
      </c>
      <c r="B1595" s="1">
        <v>45011</v>
      </c>
      <c r="C1595" s="1">
        <v>45040</v>
      </c>
      <c r="D1595">
        <v>39</v>
      </c>
      <c r="E1595" t="s">
        <v>6</v>
      </c>
      <c r="F1595" t="s">
        <v>7</v>
      </c>
    </row>
    <row r="1596" spans="1:6" x14ac:dyDescent="0.3">
      <c r="A1596">
        <v>207665488</v>
      </c>
      <c r="B1596" s="1">
        <v>45011</v>
      </c>
      <c r="C1596" s="1">
        <v>45011</v>
      </c>
      <c r="D1596">
        <v>39</v>
      </c>
      <c r="E1596" t="s">
        <v>6</v>
      </c>
      <c r="F1596" t="s">
        <v>7</v>
      </c>
    </row>
    <row r="1597" spans="1:6" x14ac:dyDescent="0.3">
      <c r="A1597">
        <v>207742153</v>
      </c>
      <c r="B1597" s="1">
        <v>45011</v>
      </c>
      <c r="C1597" s="1">
        <v>45114</v>
      </c>
      <c r="D1597">
        <v>39</v>
      </c>
      <c r="E1597" t="s">
        <v>6</v>
      </c>
      <c r="F1597" t="s">
        <v>7</v>
      </c>
    </row>
    <row r="1598" spans="1:6" x14ac:dyDescent="0.3">
      <c r="A1598">
        <v>207288677</v>
      </c>
      <c r="B1598" s="1">
        <v>45012</v>
      </c>
      <c r="D1598">
        <v>39</v>
      </c>
      <c r="E1598" t="s">
        <v>6</v>
      </c>
      <c r="F1598" t="s">
        <v>7</v>
      </c>
    </row>
    <row r="1599" spans="1:6" x14ac:dyDescent="0.3">
      <c r="A1599">
        <v>208151007</v>
      </c>
      <c r="B1599" s="1">
        <v>45012</v>
      </c>
      <c r="D1599">
        <v>39</v>
      </c>
      <c r="E1599" t="s">
        <v>6</v>
      </c>
      <c r="F1599" t="s">
        <v>7</v>
      </c>
    </row>
    <row r="1600" spans="1:6" x14ac:dyDescent="0.3">
      <c r="A1600">
        <v>207218336</v>
      </c>
      <c r="B1600" s="1">
        <v>45012</v>
      </c>
      <c r="D1600">
        <v>39</v>
      </c>
      <c r="E1600" t="s">
        <v>6</v>
      </c>
      <c r="F1600" t="s">
        <v>7</v>
      </c>
    </row>
    <row r="1601" spans="1:6" x14ac:dyDescent="0.3">
      <c r="A1601">
        <v>208105889</v>
      </c>
      <c r="B1601" s="1">
        <v>45012</v>
      </c>
      <c r="D1601">
        <v>39</v>
      </c>
      <c r="E1601" t="s">
        <v>6</v>
      </c>
      <c r="F1601" t="s">
        <v>7</v>
      </c>
    </row>
    <row r="1602" spans="1:6" x14ac:dyDescent="0.3">
      <c r="A1602">
        <v>152221925</v>
      </c>
      <c r="B1602" s="1">
        <v>45012</v>
      </c>
      <c r="C1602" s="1">
        <v>45096</v>
      </c>
      <c r="D1602">
        <v>39</v>
      </c>
      <c r="E1602" t="s">
        <v>6</v>
      </c>
      <c r="F1602" t="s">
        <v>7</v>
      </c>
    </row>
    <row r="1603" spans="1:6" x14ac:dyDescent="0.3">
      <c r="A1603">
        <v>207090754</v>
      </c>
      <c r="B1603" s="1">
        <v>45012</v>
      </c>
      <c r="C1603" s="1">
        <v>45078</v>
      </c>
      <c r="D1603">
        <v>39</v>
      </c>
      <c r="E1603" t="s">
        <v>6</v>
      </c>
      <c r="F1603" t="s">
        <v>7</v>
      </c>
    </row>
    <row r="1604" spans="1:6" x14ac:dyDescent="0.3">
      <c r="A1604">
        <v>128283235</v>
      </c>
      <c r="B1604" s="1">
        <v>45012</v>
      </c>
      <c r="C1604" s="1">
        <v>45134</v>
      </c>
      <c r="D1604">
        <v>39</v>
      </c>
      <c r="E1604" t="s">
        <v>6</v>
      </c>
      <c r="F1604" t="s">
        <v>7</v>
      </c>
    </row>
    <row r="1605" spans="1:6" x14ac:dyDescent="0.3">
      <c r="A1605">
        <v>206686106</v>
      </c>
      <c r="B1605" s="1">
        <v>45012</v>
      </c>
      <c r="C1605" s="1">
        <v>45050</v>
      </c>
      <c r="D1605">
        <v>39</v>
      </c>
      <c r="E1605" t="s">
        <v>6</v>
      </c>
      <c r="F1605" t="s">
        <v>7</v>
      </c>
    </row>
    <row r="1606" spans="1:6" x14ac:dyDescent="0.3">
      <c r="A1606">
        <v>208090380</v>
      </c>
      <c r="B1606" s="1">
        <v>45012</v>
      </c>
      <c r="C1606" s="1">
        <v>45026</v>
      </c>
      <c r="D1606">
        <v>39</v>
      </c>
      <c r="E1606" t="s">
        <v>6</v>
      </c>
      <c r="F1606" t="s">
        <v>7</v>
      </c>
    </row>
    <row r="1607" spans="1:6" x14ac:dyDescent="0.3">
      <c r="A1607">
        <v>153281230</v>
      </c>
      <c r="B1607" s="1">
        <v>45012</v>
      </c>
      <c r="C1607" s="1">
        <v>45033</v>
      </c>
      <c r="D1607">
        <v>39</v>
      </c>
      <c r="E1607" t="s">
        <v>6</v>
      </c>
      <c r="F1607" t="s">
        <v>7</v>
      </c>
    </row>
    <row r="1608" spans="1:6" x14ac:dyDescent="0.3">
      <c r="A1608">
        <v>205049710</v>
      </c>
      <c r="B1608" s="1">
        <v>45012</v>
      </c>
      <c r="C1608" s="1">
        <v>45013</v>
      </c>
      <c r="D1608">
        <v>39</v>
      </c>
      <c r="E1608" t="s">
        <v>6</v>
      </c>
      <c r="F1608" t="s">
        <v>7</v>
      </c>
    </row>
    <row r="1609" spans="1:6" x14ac:dyDescent="0.3">
      <c r="A1609">
        <v>208618235</v>
      </c>
      <c r="B1609" s="1">
        <v>45013</v>
      </c>
      <c r="D1609">
        <v>39</v>
      </c>
      <c r="E1609" t="s">
        <v>6</v>
      </c>
      <c r="F1609" t="s">
        <v>7</v>
      </c>
    </row>
    <row r="1610" spans="1:6" x14ac:dyDescent="0.3">
      <c r="A1610">
        <v>167713351</v>
      </c>
      <c r="B1610" s="1">
        <v>45013</v>
      </c>
      <c r="D1610">
        <v>39</v>
      </c>
      <c r="E1610" t="s">
        <v>6</v>
      </c>
      <c r="F1610" t="s">
        <v>7</v>
      </c>
    </row>
    <row r="1611" spans="1:6" x14ac:dyDescent="0.3">
      <c r="A1611">
        <v>149975492</v>
      </c>
      <c r="B1611" s="1">
        <v>45013</v>
      </c>
      <c r="D1611">
        <v>39</v>
      </c>
      <c r="E1611" t="s">
        <v>6</v>
      </c>
      <c r="F1611" t="s">
        <v>7</v>
      </c>
    </row>
    <row r="1612" spans="1:6" x14ac:dyDescent="0.3">
      <c r="A1612">
        <v>208286745</v>
      </c>
      <c r="B1612" s="1">
        <v>45013</v>
      </c>
      <c r="D1612">
        <v>39</v>
      </c>
      <c r="E1612" t="s">
        <v>6</v>
      </c>
      <c r="F1612" t="s">
        <v>7</v>
      </c>
    </row>
    <row r="1613" spans="1:6" x14ac:dyDescent="0.3">
      <c r="A1613">
        <v>208473540</v>
      </c>
      <c r="B1613" s="1">
        <v>45013</v>
      </c>
      <c r="C1613" s="1">
        <v>45013</v>
      </c>
      <c r="D1613">
        <v>39</v>
      </c>
      <c r="E1613" t="s">
        <v>6</v>
      </c>
      <c r="F1613" t="s">
        <v>7</v>
      </c>
    </row>
    <row r="1614" spans="1:6" x14ac:dyDescent="0.3">
      <c r="A1614">
        <v>137721176</v>
      </c>
      <c r="B1614" s="1">
        <v>45013</v>
      </c>
      <c r="C1614" s="1">
        <v>45138</v>
      </c>
      <c r="D1614">
        <v>39</v>
      </c>
      <c r="E1614" t="s">
        <v>6</v>
      </c>
      <c r="F1614" t="s">
        <v>7</v>
      </c>
    </row>
    <row r="1615" spans="1:6" x14ac:dyDescent="0.3">
      <c r="A1615">
        <v>140062581</v>
      </c>
      <c r="B1615" s="1">
        <v>45013</v>
      </c>
      <c r="C1615" s="1">
        <v>45059</v>
      </c>
      <c r="D1615">
        <v>39</v>
      </c>
      <c r="E1615" t="s">
        <v>6</v>
      </c>
      <c r="F1615" t="s">
        <v>7</v>
      </c>
    </row>
    <row r="1616" spans="1:6" x14ac:dyDescent="0.3">
      <c r="A1616">
        <v>208488674</v>
      </c>
      <c r="B1616" s="1">
        <v>45013</v>
      </c>
      <c r="C1616" s="1">
        <v>45078</v>
      </c>
      <c r="D1616">
        <v>39</v>
      </c>
      <c r="E1616" t="s">
        <v>6</v>
      </c>
      <c r="F1616" t="s">
        <v>7</v>
      </c>
    </row>
    <row r="1617" spans="1:6" x14ac:dyDescent="0.3">
      <c r="A1617">
        <v>162752410</v>
      </c>
      <c r="B1617" s="1">
        <v>45013</v>
      </c>
      <c r="C1617" s="1">
        <v>45158</v>
      </c>
      <c r="D1617">
        <v>39</v>
      </c>
      <c r="E1617" t="s">
        <v>6</v>
      </c>
      <c r="F1617" t="s">
        <v>7</v>
      </c>
    </row>
    <row r="1618" spans="1:6" x14ac:dyDescent="0.3">
      <c r="A1618">
        <v>208598415</v>
      </c>
      <c r="B1618" s="1">
        <v>45013</v>
      </c>
      <c r="C1618" s="1">
        <v>45049</v>
      </c>
      <c r="D1618">
        <v>39</v>
      </c>
      <c r="E1618" t="s">
        <v>6</v>
      </c>
      <c r="F1618" t="s">
        <v>7</v>
      </c>
    </row>
    <row r="1619" spans="1:6" x14ac:dyDescent="0.3">
      <c r="A1619">
        <v>143427096</v>
      </c>
      <c r="B1619" s="1">
        <v>45013</v>
      </c>
      <c r="C1619" s="1">
        <v>45047</v>
      </c>
      <c r="D1619">
        <v>39</v>
      </c>
      <c r="E1619" t="s">
        <v>6</v>
      </c>
      <c r="F1619" t="s">
        <v>7</v>
      </c>
    </row>
    <row r="1620" spans="1:6" x14ac:dyDescent="0.3">
      <c r="A1620">
        <v>208480650</v>
      </c>
      <c r="B1620" s="1">
        <v>45013</v>
      </c>
      <c r="C1620" s="1">
        <v>45030</v>
      </c>
      <c r="D1620">
        <v>39</v>
      </c>
      <c r="E1620" t="s">
        <v>6</v>
      </c>
      <c r="F1620" t="s">
        <v>7</v>
      </c>
    </row>
    <row r="1621" spans="1:6" x14ac:dyDescent="0.3">
      <c r="A1621">
        <v>147000442</v>
      </c>
      <c r="B1621" s="1">
        <v>45014</v>
      </c>
      <c r="D1621">
        <v>39</v>
      </c>
      <c r="E1621" t="s">
        <v>6</v>
      </c>
      <c r="F1621" t="s">
        <v>7</v>
      </c>
    </row>
    <row r="1622" spans="1:6" x14ac:dyDescent="0.3">
      <c r="A1622">
        <v>207062508</v>
      </c>
      <c r="B1622" s="1">
        <v>45014</v>
      </c>
      <c r="D1622">
        <v>39</v>
      </c>
      <c r="E1622" t="s">
        <v>6</v>
      </c>
      <c r="F1622" t="s">
        <v>7</v>
      </c>
    </row>
    <row r="1623" spans="1:6" x14ac:dyDescent="0.3">
      <c r="A1623">
        <v>206862916</v>
      </c>
      <c r="B1623" s="1">
        <v>45014</v>
      </c>
      <c r="D1623">
        <v>39</v>
      </c>
      <c r="E1623" t="s">
        <v>6</v>
      </c>
      <c r="F1623" t="s">
        <v>7</v>
      </c>
    </row>
    <row r="1624" spans="1:6" x14ac:dyDescent="0.3">
      <c r="A1624">
        <v>208706866</v>
      </c>
      <c r="B1624" s="1">
        <v>45014</v>
      </c>
      <c r="D1624">
        <v>39</v>
      </c>
      <c r="E1624" t="s">
        <v>6</v>
      </c>
      <c r="F1624" t="s">
        <v>7</v>
      </c>
    </row>
    <row r="1625" spans="1:6" x14ac:dyDescent="0.3">
      <c r="A1625">
        <v>134719816</v>
      </c>
      <c r="B1625" s="1">
        <v>45014</v>
      </c>
      <c r="C1625" s="1">
        <v>45095</v>
      </c>
      <c r="D1625">
        <v>39</v>
      </c>
      <c r="E1625" t="s">
        <v>6</v>
      </c>
      <c r="F1625" t="s">
        <v>7</v>
      </c>
    </row>
    <row r="1626" spans="1:6" x14ac:dyDescent="0.3">
      <c r="A1626">
        <v>138548670</v>
      </c>
      <c r="B1626" s="1">
        <v>45014</v>
      </c>
      <c r="C1626" s="1">
        <v>45076</v>
      </c>
      <c r="D1626">
        <v>39</v>
      </c>
      <c r="E1626" t="s">
        <v>6</v>
      </c>
      <c r="F1626" t="s">
        <v>7</v>
      </c>
    </row>
    <row r="1627" spans="1:6" x14ac:dyDescent="0.3">
      <c r="A1627">
        <v>208745476</v>
      </c>
      <c r="B1627" s="1">
        <v>45014</v>
      </c>
      <c r="C1627" s="1">
        <v>45098</v>
      </c>
      <c r="D1627">
        <v>39</v>
      </c>
      <c r="E1627" t="s">
        <v>6</v>
      </c>
      <c r="F1627" t="s">
        <v>7</v>
      </c>
    </row>
    <row r="1628" spans="1:6" x14ac:dyDescent="0.3">
      <c r="A1628">
        <v>182584521</v>
      </c>
      <c r="B1628" s="1">
        <v>45014</v>
      </c>
      <c r="C1628" s="1">
        <v>45052</v>
      </c>
      <c r="D1628">
        <v>39</v>
      </c>
      <c r="E1628" t="s">
        <v>6</v>
      </c>
      <c r="F1628" t="s">
        <v>7</v>
      </c>
    </row>
    <row r="1629" spans="1:6" x14ac:dyDescent="0.3">
      <c r="A1629">
        <v>206463427</v>
      </c>
      <c r="B1629" s="1">
        <v>45014</v>
      </c>
      <c r="C1629" s="1">
        <v>45050</v>
      </c>
      <c r="D1629">
        <v>39</v>
      </c>
      <c r="E1629" t="s">
        <v>6</v>
      </c>
      <c r="F1629" t="s">
        <v>7</v>
      </c>
    </row>
    <row r="1630" spans="1:6" x14ac:dyDescent="0.3">
      <c r="A1630">
        <v>158947936</v>
      </c>
      <c r="B1630" s="1">
        <v>45014</v>
      </c>
      <c r="C1630" s="1">
        <v>45044</v>
      </c>
      <c r="D1630">
        <v>39</v>
      </c>
      <c r="E1630" t="s">
        <v>6</v>
      </c>
      <c r="F1630" t="s">
        <v>7</v>
      </c>
    </row>
    <row r="1631" spans="1:6" x14ac:dyDescent="0.3">
      <c r="A1631">
        <v>182737296</v>
      </c>
      <c r="B1631" s="1">
        <v>45014</v>
      </c>
      <c r="C1631" s="1">
        <v>45045</v>
      </c>
      <c r="D1631">
        <v>39</v>
      </c>
      <c r="E1631" t="s">
        <v>6</v>
      </c>
      <c r="F1631" t="s">
        <v>7</v>
      </c>
    </row>
    <row r="1632" spans="1:6" x14ac:dyDescent="0.3">
      <c r="A1632">
        <v>156550538</v>
      </c>
      <c r="B1632" s="1">
        <v>45015</v>
      </c>
      <c r="D1632">
        <v>39</v>
      </c>
      <c r="E1632" t="s">
        <v>6</v>
      </c>
      <c r="F1632" t="s">
        <v>7</v>
      </c>
    </row>
    <row r="1633" spans="1:6" x14ac:dyDescent="0.3">
      <c r="A1633">
        <v>208897557</v>
      </c>
      <c r="B1633" s="1">
        <v>45015</v>
      </c>
      <c r="D1633">
        <v>39</v>
      </c>
      <c r="E1633" t="s">
        <v>6</v>
      </c>
      <c r="F1633" t="s">
        <v>7</v>
      </c>
    </row>
    <row r="1634" spans="1:6" x14ac:dyDescent="0.3">
      <c r="A1634">
        <v>157484010</v>
      </c>
      <c r="B1634" s="1">
        <v>45015</v>
      </c>
      <c r="D1634">
        <v>39</v>
      </c>
      <c r="E1634" t="s">
        <v>6</v>
      </c>
      <c r="F1634" t="s">
        <v>7</v>
      </c>
    </row>
    <row r="1635" spans="1:6" x14ac:dyDescent="0.3">
      <c r="A1635">
        <v>146450388</v>
      </c>
      <c r="B1635" s="1">
        <v>45015</v>
      </c>
      <c r="C1635" s="1">
        <v>45083</v>
      </c>
      <c r="D1635">
        <v>39</v>
      </c>
      <c r="E1635" t="s">
        <v>6</v>
      </c>
      <c r="F1635" t="s">
        <v>7</v>
      </c>
    </row>
    <row r="1636" spans="1:6" x14ac:dyDescent="0.3">
      <c r="A1636">
        <v>208610366</v>
      </c>
      <c r="B1636" s="1">
        <v>45015</v>
      </c>
      <c r="C1636" s="1">
        <v>45114</v>
      </c>
      <c r="D1636">
        <v>39</v>
      </c>
      <c r="E1636" t="s">
        <v>6</v>
      </c>
      <c r="F1636" t="s">
        <v>7</v>
      </c>
    </row>
    <row r="1637" spans="1:6" x14ac:dyDescent="0.3">
      <c r="A1637">
        <v>208913022</v>
      </c>
      <c r="B1637" s="1">
        <v>45015</v>
      </c>
      <c r="C1637" s="1">
        <v>45065</v>
      </c>
      <c r="D1637">
        <v>39</v>
      </c>
      <c r="E1637" t="s">
        <v>6</v>
      </c>
      <c r="F1637" t="s">
        <v>7</v>
      </c>
    </row>
    <row r="1638" spans="1:6" x14ac:dyDescent="0.3">
      <c r="A1638">
        <v>205813846</v>
      </c>
      <c r="B1638" s="1">
        <v>45015</v>
      </c>
      <c r="C1638" s="1">
        <v>45065</v>
      </c>
      <c r="D1638">
        <v>39</v>
      </c>
      <c r="E1638" t="s">
        <v>6</v>
      </c>
      <c r="F1638" t="s">
        <v>7</v>
      </c>
    </row>
    <row r="1639" spans="1:6" x14ac:dyDescent="0.3">
      <c r="A1639">
        <v>208762353</v>
      </c>
      <c r="B1639" s="1">
        <v>45015</v>
      </c>
      <c r="C1639" s="1">
        <v>45037</v>
      </c>
      <c r="D1639">
        <v>39</v>
      </c>
      <c r="E1639" t="s">
        <v>6</v>
      </c>
      <c r="F1639" t="s">
        <v>7</v>
      </c>
    </row>
    <row r="1640" spans="1:6" x14ac:dyDescent="0.3">
      <c r="A1640">
        <v>153099249</v>
      </c>
      <c r="B1640" s="1">
        <v>45015</v>
      </c>
      <c r="C1640" s="1">
        <v>45029</v>
      </c>
      <c r="D1640">
        <v>39</v>
      </c>
      <c r="E1640" t="s">
        <v>6</v>
      </c>
      <c r="F1640" t="s">
        <v>7</v>
      </c>
    </row>
    <row r="1641" spans="1:6" x14ac:dyDescent="0.3">
      <c r="A1641">
        <v>208734252</v>
      </c>
      <c r="B1641" s="1">
        <v>45015</v>
      </c>
      <c r="C1641" s="1">
        <v>45046</v>
      </c>
      <c r="D1641">
        <v>39</v>
      </c>
      <c r="E1641" t="s">
        <v>6</v>
      </c>
      <c r="F1641" t="s">
        <v>7</v>
      </c>
    </row>
    <row r="1642" spans="1:6" x14ac:dyDescent="0.3">
      <c r="A1642">
        <v>208320510</v>
      </c>
      <c r="B1642" s="1">
        <v>45016</v>
      </c>
      <c r="D1642">
        <v>39</v>
      </c>
      <c r="E1642" t="s">
        <v>6</v>
      </c>
      <c r="F1642" t="s">
        <v>7</v>
      </c>
    </row>
    <row r="1643" spans="1:6" x14ac:dyDescent="0.3">
      <c r="A1643">
        <v>207229509</v>
      </c>
      <c r="B1643" s="1">
        <v>45016</v>
      </c>
      <c r="C1643" s="1">
        <v>45016</v>
      </c>
      <c r="D1643">
        <v>39</v>
      </c>
      <c r="E1643" t="s">
        <v>6</v>
      </c>
      <c r="F1643" t="s">
        <v>8</v>
      </c>
    </row>
    <row r="1644" spans="1:6" x14ac:dyDescent="0.3">
      <c r="A1644">
        <v>208492287</v>
      </c>
      <c r="B1644" s="1">
        <v>45016</v>
      </c>
      <c r="C1644" s="1">
        <v>45084</v>
      </c>
      <c r="D1644">
        <v>39</v>
      </c>
      <c r="E1644" t="s">
        <v>6</v>
      </c>
      <c r="F1644" t="s">
        <v>7</v>
      </c>
    </row>
    <row r="1645" spans="1:6" x14ac:dyDescent="0.3">
      <c r="A1645">
        <v>195047202</v>
      </c>
      <c r="B1645" s="1">
        <v>45016</v>
      </c>
      <c r="C1645" s="1">
        <v>45069</v>
      </c>
      <c r="D1645">
        <v>39</v>
      </c>
      <c r="E1645" t="s">
        <v>6</v>
      </c>
      <c r="F1645" t="s">
        <v>7</v>
      </c>
    </row>
    <row r="1646" spans="1:6" x14ac:dyDescent="0.3">
      <c r="A1646">
        <v>208890352</v>
      </c>
      <c r="B1646" s="1">
        <v>45016</v>
      </c>
      <c r="C1646" s="1">
        <v>45072</v>
      </c>
      <c r="D1646">
        <v>39</v>
      </c>
      <c r="E1646" t="s">
        <v>6</v>
      </c>
      <c r="F1646" t="s">
        <v>7</v>
      </c>
    </row>
    <row r="1647" spans="1:6" x14ac:dyDescent="0.3">
      <c r="A1647">
        <v>151282537</v>
      </c>
      <c r="B1647" s="1">
        <v>45016</v>
      </c>
      <c r="C1647" s="1">
        <v>45108</v>
      </c>
      <c r="D1647">
        <v>39</v>
      </c>
      <c r="E1647" t="s">
        <v>6</v>
      </c>
      <c r="F1647" t="s">
        <v>7</v>
      </c>
    </row>
    <row r="1648" spans="1:6" x14ac:dyDescent="0.3">
      <c r="A1648">
        <v>206625246</v>
      </c>
      <c r="B1648" s="1">
        <v>45017</v>
      </c>
      <c r="D1648">
        <v>39</v>
      </c>
      <c r="E1648" t="s">
        <v>6</v>
      </c>
      <c r="F1648" t="s">
        <v>7</v>
      </c>
    </row>
    <row r="1649" spans="1:6" x14ac:dyDescent="0.3">
      <c r="A1649">
        <v>208748964</v>
      </c>
      <c r="B1649" s="1">
        <v>45017</v>
      </c>
      <c r="D1649">
        <v>39</v>
      </c>
      <c r="E1649" t="s">
        <v>6</v>
      </c>
      <c r="F1649" t="s">
        <v>7</v>
      </c>
    </row>
    <row r="1650" spans="1:6" x14ac:dyDescent="0.3">
      <c r="A1650">
        <v>151904783</v>
      </c>
      <c r="B1650" s="1">
        <v>45017</v>
      </c>
      <c r="D1650">
        <v>39</v>
      </c>
      <c r="E1650" t="s">
        <v>6</v>
      </c>
      <c r="F1650" t="s">
        <v>7</v>
      </c>
    </row>
    <row r="1651" spans="1:6" x14ac:dyDescent="0.3">
      <c r="A1651">
        <v>160351988</v>
      </c>
      <c r="B1651" s="1">
        <v>45017</v>
      </c>
      <c r="C1651" s="1">
        <v>45115</v>
      </c>
      <c r="D1651">
        <v>39</v>
      </c>
      <c r="E1651" t="s">
        <v>6</v>
      </c>
      <c r="F1651" t="s">
        <v>7</v>
      </c>
    </row>
    <row r="1652" spans="1:6" x14ac:dyDescent="0.3">
      <c r="A1652">
        <v>145622106</v>
      </c>
      <c r="B1652" s="1">
        <v>45017</v>
      </c>
      <c r="C1652" s="1">
        <v>45017</v>
      </c>
      <c r="D1652">
        <v>39</v>
      </c>
      <c r="E1652" t="s">
        <v>6</v>
      </c>
      <c r="F1652" t="s">
        <v>7</v>
      </c>
    </row>
    <row r="1653" spans="1:6" x14ac:dyDescent="0.3">
      <c r="A1653">
        <v>192475408</v>
      </c>
      <c r="B1653" s="1">
        <v>45017</v>
      </c>
      <c r="C1653" s="1">
        <v>45042</v>
      </c>
      <c r="D1653">
        <v>39</v>
      </c>
      <c r="E1653" t="s">
        <v>6</v>
      </c>
      <c r="F1653" t="s">
        <v>7</v>
      </c>
    </row>
    <row r="1654" spans="1:6" x14ac:dyDescent="0.3">
      <c r="A1654">
        <v>208597905</v>
      </c>
      <c r="B1654" s="1">
        <v>45018</v>
      </c>
      <c r="D1654">
        <v>39</v>
      </c>
      <c r="E1654" t="s">
        <v>6</v>
      </c>
      <c r="F1654" t="s">
        <v>7</v>
      </c>
    </row>
    <row r="1655" spans="1:6" x14ac:dyDescent="0.3">
      <c r="A1655">
        <v>209469556</v>
      </c>
      <c r="B1655" s="1">
        <v>45018</v>
      </c>
      <c r="C1655" s="1">
        <v>45019</v>
      </c>
      <c r="D1655">
        <v>39</v>
      </c>
      <c r="E1655" t="s">
        <v>6</v>
      </c>
      <c r="F1655" t="s">
        <v>8</v>
      </c>
    </row>
    <row r="1656" spans="1:6" x14ac:dyDescent="0.3">
      <c r="A1656">
        <v>207183892</v>
      </c>
      <c r="B1656" s="1">
        <v>45018</v>
      </c>
      <c r="C1656" s="1">
        <v>45019</v>
      </c>
      <c r="D1656">
        <v>39</v>
      </c>
      <c r="E1656" t="s">
        <v>6</v>
      </c>
      <c r="F1656" t="s">
        <v>8</v>
      </c>
    </row>
    <row r="1657" spans="1:6" x14ac:dyDescent="0.3">
      <c r="A1657">
        <v>125980506</v>
      </c>
      <c r="B1657" s="1">
        <v>45018</v>
      </c>
      <c r="C1657" s="1">
        <v>45109</v>
      </c>
      <c r="D1657">
        <v>39</v>
      </c>
      <c r="E1657" t="s">
        <v>6</v>
      </c>
      <c r="F1657" t="s">
        <v>7</v>
      </c>
    </row>
    <row r="1658" spans="1:6" x14ac:dyDescent="0.3">
      <c r="A1658">
        <v>162635107</v>
      </c>
      <c r="B1658" s="1">
        <v>45018</v>
      </c>
      <c r="C1658" s="1">
        <v>45112</v>
      </c>
      <c r="D1658">
        <v>39</v>
      </c>
      <c r="E1658" t="s">
        <v>6</v>
      </c>
      <c r="F1658" t="s">
        <v>7</v>
      </c>
    </row>
    <row r="1659" spans="1:6" x14ac:dyDescent="0.3">
      <c r="A1659">
        <v>154655775</v>
      </c>
      <c r="B1659" s="1">
        <v>45018</v>
      </c>
      <c r="C1659" s="1">
        <v>45131</v>
      </c>
      <c r="D1659">
        <v>39</v>
      </c>
      <c r="E1659" t="s">
        <v>6</v>
      </c>
      <c r="F1659" t="s">
        <v>7</v>
      </c>
    </row>
    <row r="1660" spans="1:6" x14ac:dyDescent="0.3">
      <c r="A1660">
        <v>154911229</v>
      </c>
      <c r="B1660" s="1">
        <v>45019</v>
      </c>
      <c r="D1660">
        <v>39</v>
      </c>
      <c r="E1660" t="s">
        <v>6</v>
      </c>
      <c r="F1660" t="s">
        <v>7</v>
      </c>
    </row>
    <row r="1661" spans="1:6" x14ac:dyDescent="0.3">
      <c r="A1661">
        <v>206812076</v>
      </c>
      <c r="B1661" s="1">
        <v>45019</v>
      </c>
      <c r="D1661">
        <v>39</v>
      </c>
      <c r="E1661" t="s">
        <v>6</v>
      </c>
      <c r="F1661" t="s">
        <v>7</v>
      </c>
    </row>
    <row r="1662" spans="1:6" x14ac:dyDescent="0.3">
      <c r="A1662">
        <v>208490747</v>
      </c>
      <c r="B1662" s="1">
        <v>45019</v>
      </c>
      <c r="D1662">
        <v>39</v>
      </c>
      <c r="E1662" t="s">
        <v>6</v>
      </c>
      <c r="F1662" t="s">
        <v>7</v>
      </c>
    </row>
    <row r="1663" spans="1:6" x14ac:dyDescent="0.3">
      <c r="A1663">
        <v>131761056</v>
      </c>
      <c r="B1663" s="1">
        <v>45019</v>
      </c>
      <c r="D1663">
        <v>39</v>
      </c>
      <c r="E1663" t="s">
        <v>6</v>
      </c>
      <c r="F1663" t="s">
        <v>7</v>
      </c>
    </row>
    <row r="1664" spans="1:6" x14ac:dyDescent="0.3">
      <c r="A1664">
        <v>208115534</v>
      </c>
      <c r="B1664" s="1">
        <v>45019</v>
      </c>
      <c r="C1664" s="1">
        <v>45056</v>
      </c>
      <c r="D1664">
        <v>39</v>
      </c>
      <c r="E1664" t="s">
        <v>6</v>
      </c>
      <c r="F1664" t="s">
        <v>8</v>
      </c>
    </row>
    <row r="1665" spans="1:6" x14ac:dyDescent="0.3">
      <c r="A1665">
        <v>202126471</v>
      </c>
      <c r="B1665" s="1">
        <v>45019</v>
      </c>
      <c r="C1665" s="1">
        <v>45104</v>
      </c>
      <c r="D1665">
        <v>39</v>
      </c>
      <c r="E1665" t="s">
        <v>6</v>
      </c>
      <c r="F1665" t="s">
        <v>7</v>
      </c>
    </row>
    <row r="1666" spans="1:6" x14ac:dyDescent="0.3">
      <c r="A1666">
        <v>209738836</v>
      </c>
      <c r="B1666" s="1">
        <v>45019</v>
      </c>
      <c r="C1666" s="1">
        <v>45060</v>
      </c>
      <c r="D1666">
        <v>39</v>
      </c>
      <c r="E1666" t="s">
        <v>6</v>
      </c>
      <c r="F1666" t="s">
        <v>7</v>
      </c>
    </row>
    <row r="1667" spans="1:6" x14ac:dyDescent="0.3">
      <c r="A1667">
        <v>209470128</v>
      </c>
      <c r="B1667" s="1">
        <v>45019</v>
      </c>
      <c r="C1667" s="1">
        <v>45076</v>
      </c>
      <c r="D1667">
        <v>39</v>
      </c>
      <c r="E1667" t="s">
        <v>6</v>
      </c>
      <c r="F1667" t="s">
        <v>7</v>
      </c>
    </row>
    <row r="1668" spans="1:6" x14ac:dyDescent="0.3">
      <c r="A1668">
        <v>209745334</v>
      </c>
      <c r="B1668" s="1">
        <v>45019</v>
      </c>
      <c r="C1668" s="1">
        <v>45170</v>
      </c>
      <c r="D1668">
        <v>39</v>
      </c>
      <c r="E1668" t="s">
        <v>6</v>
      </c>
      <c r="F1668" t="s">
        <v>7</v>
      </c>
    </row>
    <row r="1669" spans="1:6" x14ac:dyDescent="0.3">
      <c r="A1669">
        <v>209751690</v>
      </c>
      <c r="B1669" s="1">
        <v>45020</v>
      </c>
      <c r="D1669">
        <v>39</v>
      </c>
      <c r="E1669" t="s">
        <v>6</v>
      </c>
      <c r="F1669" t="s">
        <v>7</v>
      </c>
    </row>
    <row r="1670" spans="1:6" x14ac:dyDescent="0.3">
      <c r="A1670">
        <v>209730490</v>
      </c>
      <c r="B1670" s="1">
        <v>45020</v>
      </c>
      <c r="C1670" s="1">
        <v>45021</v>
      </c>
      <c r="D1670">
        <v>39</v>
      </c>
      <c r="E1670" t="s">
        <v>6</v>
      </c>
      <c r="F1670" t="s">
        <v>8</v>
      </c>
    </row>
    <row r="1671" spans="1:6" x14ac:dyDescent="0.3">
      <c r="A1671">
        <v>208115648</v>
      </c>
      <c r="B1671" s="1">
        <v>45020</v>
      </c>
      <c r="C1671" s="1">
        <v>45082</v>
      </c>
      <c r="D1671">
        <v>39</v>
      </c>
      <c r="E1671" t="s">
        <v>6</v>
      </c>
      <c r="F1671" t="s">
        <v>7</v>
      </c>
    </row>
    <row r="1672" spans="1:6" x14ac:dyDescent="0.3">
      <c r="A1672">
        <v>210087900</v>
      </c>
      <c r="B1672" s="1">
        <v>45020</v>
      </c>
      <c r="C1672" s="1">
        <v>45054</v>
      </c>
      <c r="D1672">
        <v>39</v>
      </c>
      <c r="E1672" t="s">
        <v>6</v>
      </c>
      <c r="F1672" t="s">
        <v>7</v>
      </c>
    </row>
    <row r="1673" spans="1:6" x14ac:dyDescent="0.3">
      <c r="A1673">
        <v>208890316</v>
      </c>
      <c r="B1673" s="1">
        <v>45020</v>
      </c>
      <c r="C1673" s="1">
        <v>45070</v>
      </c>
      <c r="D1673">
        <v>39</v>
      </c>
      <c r="E1673" t="s">
        <v>6</v>
      </c>
      <c r="F1673" t="s">
        <v>7</v>
      </c>
    </row>
    <row r="1674" spans="1:6" x14ac:dyDescent="0.3">
      <c r="A1674">
        <v>143706140</v>
      </c>
      <c r="B1674" s="1">
        <v>45020</v>
      </c>
      <c r="C1674" s="1">
        <v>45023</v>
      </c>
      <c r="D1674">
        <v>39</v>
      </c>
      <c r="E1674" t="s">
        <v>6</v>
      </c>
      <c r="F1674" t="s">
        <v>7</v>
      </c>
    </row>
    <row r="1675" spans="1:6" x14ac:dyDescent="0.3">
      <c r="A1675">
        <v>209950443</v>
      </c>
      <c r="B1675" s="1">
        <v>45020</v>
      </c>
      <c r="C1675" s="1">
        <v>45030</v>
      </c>
      <c r="D1675">
        <v>39</v>
      </c>
      <c r="E1675" t="s">
        <v>6</v>
      </c>
      <c r="F1675" t="s">
        <v>7</v>
      </c>
    </row>
    <row r="1676" spans="1:6" x14ac:dyDescent="0.3">
      <c r="A1676">
        <v>208892072</v>
      </c>
      <c r="B1676" s="1">
        <v>45020</v>
      </c>
      <c r="C1676" s="1">
        <v>45041</v>
      </c>
      <c r="D1676">
        <v>39</v>
      </c>
      <c r="E1676" t="s">
        <v>6</v>
      </c>
      <c r="F1676" t="s">
        <v>7</v>
      </c>
    </row>
    <row r="1677" spans="1:6" x14ac:dyDescent="0.3">
      <c r="A1677">
        <v>205767174</v>
      </c>
      <c r="B1677" s="1">
        <v>45020</v>
      </c>
      <c r="C1677" s="1">
        <v>45150</v>
      </c>
      <c r="D1677">
        <v>39</v>
      </c>
      <c r="E1677" t="s">
        <v>6</v>
      </c>
      <c r="F1677" t="s">
        <v>7</v>
      </c>
    </row>
    <row r="1678" spans="1:6" x14ac:dyDescent="0.3">
      <c r="A1678">
        <v>206676416</v>
      </c>
      <c r="B1678" s="1">
        <v>45020</v>
      </c>
      <c r="C1678" s="1">
        <v>45124</v>
      </c>
      <c r="D1678">
        <v>39</v>
      </c>
      <c r="E1678" t="s">
        <v>6</v>
      </c>
      <c r="F1678" t="s">
        <v>7</v>
      </c>
    </row>
    <row r="1679" spans="1:6" x14ac:dyDescent="0.3">
      <c r="A1679">
        <v>160676837</v>
      </c>
      <c r="B1679" s="1">
        <v>45021</v>
      </c>
      <c r="D1679">
        <v>39</v>
      </c>
      <c r="E1679" t="s">
        <v>6</v>
      </c>
      <c r="F1679" t="s">
        <v>7</v>
      </c>
    </row>
    <row r="1680" spans="1:6" x14ac:dyDescent="0.3">
      <c r="A1680">
        <v>204274153</v>
      </c>
      <c r="B1680" s="1">
        <v>45021</v>
      </c>
      <c r="D1680">
        <v>39</v>
      </c>
      <c r="E1680" t="s">
        <v>6</v>
      </c>
      <c r="F1680" t="s">
        <v>7</v>
      </c>
    </row>
    <row r="1681" spans="1:6" x14ac:dyDescent="0.3">
      <c r="A1681">
        <v>210327236</v>
      </c>
      <c r="B1681" s="1">
        <v>45021</v>
      </c>
      <c r="C1681" s="1">
        <v>45022</v>
      </c>
      <c r="D1681">
        <v>39</v>
      </c>
      <c r="E1681" t="s">
        <v>6</v>
      </c>
      <c r="F1681" t="s">
        <v>8</v>
      </c>
    </row>
    <row r="1682" spans="1:6" x14ac:dyDescent="0.3">
      <c r="A1682">
        <v>210326352</v>
      </c>
      <c r="B1682" s="1">
        <v>45021</v>
      </c>
      <c r="C1682" s="1">
        <v>45021</v>
      </c>
      <c r="D1682">
        <v>39</v>
      </c>
      <c r="E1682" t="s">
        <v>6</v>
      </c>
      <c r="F1682" t="s">
        <v>8</v>
      </c>
    </row>
    <row r="1683" spans="1:6" x14ac:dyDescent="0.3">
      <c r="A1683">
        <v>124155104</v>
      </c>
      <c r="B1683" s="1">
        <v>45021</v>
      </c>
      <c r="C1683" s="1">
        <v>45058</v>
      </c>
      <c r="D1683">
        <v>39</v>
      </c>
      <c r="E1683" t="s">
        <v>6</v>
      </c>
      <c r="F1683" t="s">
        <v>7</v>
      </c>
    </row>
    <row r="1684" spans="1:6" x14ac:dyDescent="0.3">
      <c r="A1684">
        <v>209517408</v>
      </c>
      <c r="B1684" s="1">
        <v>45021</v>
      </c>
      <c r="C1684" s="1">
        <v>45050</v>
      </c>
      <c r="D1684">
        <v>39</v>
      </c>
      <c r="E1684" t="s">
        <v>6</v>
      </c>
      <c r="F1684" t="s">
        <v>7</v>
      </c>
    </row>
    <row r="1685" spans="1:6" x14ac:dyDescent="0.3">
      <c r="A1685">
        <v>210432450</v>
      </c>
      <c r="B1685" s="1">
        <v>45021</v>
      </c>
      <c r="C1685" s="1">
        <v>45028</v>
      </c>
      <c r="D1685">
        <v>39</v>
      </c>
      <c r="E1685" t="s">
        <v>6</v>
      </c>
      <c r="F1685" t="s">
        <v>7</v>
      </c>
    </row>
    <row r="1686" spans="1:6" x14ac:dyDescent="0.3">
      <c r="A1686">
        <v>210138564</v>
      </c>
      <c r="B1686" s="1">
        <v>45022</v>
      </c>
      <c r="D1686">
        <v>39</v>
      </c>
      <c r="E1686" t="s">
        <v>6</v>
      </c>
      <c r="F1686" t="s">
        <v>7</v>
      </c>
    </row>
    <row r="1687" spans="1:6" x14ac:dyDescent="0.3">
      <c r="A1687">
        <v>210617010</v>
      </c>
      <c r="B1687" s="1">
        <v>45022</v>
      </c>
      <c r="C1687" s="1">
        <v>45022</v>
      </c>
      <c r="D1687">
        <v>39</v>
      </c>
      <c r="E1687" t="s">
        <v>6</v>
      </c>
      <c r="F1687" t="s">
        <v>7</v>
      </c>
    </row>
    <row r="1688" spans="1:6" x14ac:dyDescent="0.3">
      <c r="A1688">
        <v>134894187</v>
      </c>
      <c r="B1688" s="1">
        <v>45022</v>
      </c>
      <c r="C1688" s="1">
        <v>45064</v>
      </c>
      <c r="D1688">
        <v>39</v>
      </c>
      <c r="E1688" t="s">
        <v>6</v>
      </c>
      <c r="F1688" t="s">
        <v>7</v>
      </c>
    </row>
    <row r="1689" spans="1:6" x14ac:dyDescent="0.3">
      <c r="A1689">
        <v>150643785</v>
      </c>
      <c r="B1689" s="1">
        <v>45022</v>
      </c>
      <c r="C1689" s="1">
        <v>45083</v>
      </c>
      <c r="D1689">
        <v>39</v>
      </c>
      <c r="E1689" t="s">
        <v>6</v>
      </c>
      <c r="F1689" t="s">
        <v>7</v>
      </c>
    </row>
    <row r="1690" spans="1:6" x14ac:dyDescent="0.3">
      <c r="A1690">
        <v>149986782</v>
      </c>
      <c r="B1690" s="1">
        <v>45022</v>
      </c>
      <c r="C1690" s="1">
        <v>45081</v>
      </c>
      <c r="D1690">
        <v>39</v>
      </c>
      <c r="E1690" t="s">
        <v>6</v>
      </c>
      <c r="F1690" t="s">
        <v>7</v>
      </c>
    </row>
    <row r="1691" spans="1:6" x14ac:dyDescent="0.3">
      <c r="A1691">
        <v>205463099</v>
      </c>
      <c r="B1691" s="1">
        <v>45022</v>
      </c>
      <c r="C1691" s="1">
        <v>45093</v>
      </c>
      <c r="D1691">
        <v>39</v>
      </c>
      <c r="E1691" t="s">
        <v>6</v>
      </c>
      <c r="F1691" t="s">
        <v>7</v>
      </c>
    </row>
    <row r="1692" spans="1:6" x14ac:dyDescent="0.3">
      <c r="A1692">
        <v>210565466</v>
      </c>
      <c r="B1692" s="1">
        <v>45022</v>
      </c>
      <c r="C1692" s="1">
        <v>45059</v>
      </c>
      <c r="D1692">
        <v>39</v>
      </c>
      <c r="E1692" t="s">
        <v>6</v>
      </c>
      <c r="F1692" t="s">
        <v>7</v>
      </c>
    </row>
    <row r="1693" spans="1:6" x14ac:dyDescent="0.3">
      <c r="A1693">
        <v>209072132</v>
      </c>
      <c r="B1693" s="1">
        <v>45023</v>
      </c>
      <c r="D1693">
        <v>39</v>
      </c>
      <c r="E1693" t="s">
        <v>6</v>
      </c>
      <c r="F1693" t="s">
        <v>7</v>
      </c>
    </row>
    <row r="1694" spans="1:6" x14ac:dyDescent="0.3">
      <c r="A1694">
        <v>210388772</v>
      </c>
      <c r="B1694" s="1">
        <v>45023</v>
      </c>
      <c r="D1694">
        <v>39</v>
      </c>
      <c r="E1694" t="s">
        <v>6</v>
      </c>
      <c r="F1694" t="s">
        <v>7</v>
      </c>
    </row>
    <row r="1695" spans="1:6" x14ac:dyDescent="0.3">
      <c r="A1695">
        <v>210617010</v>
      </c>
      <c r="B1695" s="1">
        <v>45023</v>
      </c>
      <c r="C1695" s="1">
        <v>45086</v>
      </c>
      <c r="D1695">
        <v>39</v>
      </c>
      <c r="E1695" t="s">
        <v>6</v>
      </c>
      <c r="F1695" t="s">
        <v>7</v>
      </c>
    </row>
    <row r="1696" spans="1:6" x14ac:dyDescent="0.3">
      <c r="A1696">
        <v>210694562</v>
      </c>
      <c r="B1696" s="1">
        <v>45023</v>
      </c>
      <c r="C1696" s="1">
        <v>45060</v>
      </c>
      <c r="D1696">
        <v>39</v>
      </c>
      <c r="E1696" t="s">
        <v>6</v>
      </c>
      <c r="F1696" t="s">
        <v>7</v>
      </c>
    </row>
    <row r="1697" spans="1:6" x14ac:dyDescent="0.3">
      <c r="A1697">
        <v>134833306</v>
      </c>
      <c r="B1697" s="1">
        <v>45023</v>
      </c>
      <c r="C1697" s="1">
        <v>45054</v>
      </c>
      <c r="D1697">
        <v>39</v>
      </c>
      <c r="E1697" t="s">
        <v>6</v>
      </c>
      <c r="F1697" t="s">
        <v>7</v>
      </c>
    </row>
    <row r="1698" spans="1:6" x14ac:dyDescent="0.3">
      <c r="A1698">
        <v>211220014</v>
      </c>
      <c r="B1698" s="1">
        <v>45024</v>
      </c>
      <c r="D1698">
        <v>39</v>
      </c>
      <c r="E1698" t="s">
        <v>6</v>
      </c>
      <c r="F1698" t="s">
        <v>7</v>
      </c>
    </row>
    <row r="1699" spans="1:6" x14ac:dyDescent="0.3">
      <c r="A1699">
        <v>121571816</v>
      </c>
      <c r="B1699" s="1">
        <v>45024</v>
      </c>
      <c r="D1699">
        <v>39</v>
      </c>
      <c r="E1699" t="s">
        <v>6</v>
      </c>
      <c r="F1699" t="s">
        <v>7</v>
      </c>
    </row>
    <row r="1700" spans="1:6" x14ac:dyDescent="0.3">
      <c r="A1700">
        <v>211216060</v>
      </c>
      <c r="B1700" s="1">
        <v>45024</v>
      </c>
      <c r="D1700">
        <v>39</v>
      </c>
      <c r="E1700" t="s">
        <v>6</v>
      </c>
      <c r="F1700" t="s">
        <v>7</v>
      </c>
    </row>
    <row r="1701" spans="1:6" x14ac:dyDescent="0.3">
      <c r="A1701">
        <v>211114276</v>
      </c>
      <c r="B1701" s="1">
        <v>45024</v>
      </c>
      <c r="D1701">
        <v>39</v>
      </c>
      <c r="E1701" t="s">
        <v>6</v>
      </c>
      <c r="F1701" t="s">
        <v>7</v>
      </c>
    </row>
    <row r="1702" spans="1:6" x14ac:dyDescent="0.3">
      <c r="A1702">
        <v>211224883</v>
      </c>
      <c r="B1702" s="1">
        <v>45024</v>
      </c>
      <c r="C1702" s="1">
        <v>45025</v>
      </c>
      <c r="D1702">
        <v>39</v>
      </c>
      <c r="E1702" t="s">
        <v>6</v>
      </c>
      <c r="F1702" t="s">
        <v>8</v>
      </c>
    </row>
    <row r="1703" spans="1:6" x14ac:dyDescent="0.3">
      <c r="A1703">
        <v>211212313</v>
      </c>
      <c r="B1703" s="1">
        <v>45024</v>
      </c>
      <c r="C1703" s="1">
        <v>45083</v>
      </c>
      <c r="D1703">
        <v>39</v>
      </c>
      <c r="E1703" t="s">
        <v>6</v>
      </c>
      <c r="F1703" t="s">
        <v>7</v>
      </c>
    </row>
    <row r="1704" spans="1:6" x14ac:dyDescent="0.3">
      <c r="A1704">
        <v>210135815</v>
      </c>
      <c r="B1704" s="1">
        <v>45024</v>
      </c>
      <c r="C1704" s="1">
        <v>45034</v>
      </c>
      <c r="D1704">
        <v>39</v>
      </c>
      <c r="E1704" t="s">
        <v>6</v>
      </c>
      <c r="F1704" t="s">
        <v>7</v>
      </c>
    </row>
    <row r="1705" spans="1:6" x14ac:dyDescent="0.3">
      <c r="A1705">
        <v>211381659</v>
      </c>
      <c r="B1705" s="1">
        <v>45025</v>
      </c>
      <c r="D1705">
        <v>39</v>
      </c>
      <c r="E1705" t="s">
        <v>6</v>
      </c>
      <c r="F1705" t="s">
        <v>7</v>
      </c>
    </row>
    <row r="1706" spans="1:6" x14ac:dyDescent="0.3">
      <c r="A1706">
        <v>183363812</v>
      </c>
      <c r="B1706" s="1">
        <v>45025</v>
      </c>
      <c r="D1706">
        <v>39</v>
      </c>
      <c r="E1706" t="s">
        <v>6</v>
      </c>
      <c r="F1706" t="s">
        <v>7</v>
      </c>
    </row>
    <row r="1707" spans="1:6" x14ac:dyDescent="0.3">
      <c r="A1707">
        <v>211289909</v>
      </c>
      <c r="B1707" s="1">
        <v>45025</v>
      </c>
      <c r="D1707">
        <v>39</v>
      </c>
      <c r="E1707" t="s">
        <v>6</v>
      </c>
      <c r="F1707" t="s">
        <v>7</v>
      </c>
    </row>
    <row r="1708" spans="1:6" x14ac:dyDescent="0.3">
      <c r="A1708">
        <v>211266858</v>
      </c>
      <c r="B1708" s="1">
        <v>45025</v>
      </c>
      <c r="C1708" s="1">
        <v>45048</v>
      </c>
      <c r="D1708">
        <v>39</v>
      </c>
      <c r="E1708" t="s">
        <v>6</v>
      </c>
      <c r="F1708" t="s">
        <v>7</v>
      </c>
    </row>
    <row r="1709" spans="1:6" x14ac:dyDescent="0.3">
      <c r="A1709">
        <v>153163612</v>
      </c>
      <c r="B1709" s="1">
        <v>45025</v>
      </c>
      <c r="C1709" s="1">
        <v>45040</v>
      </c>
      <c r="D1709">
        <v>39</v>
      </c>
      <c r="E1709" t="s">
        <v>6</v>
      </c>
      <c r="F1709" t="s">
        <v>7</v>
      </c>
    </row>
    <row r="1710" spans="1:6" x14ac:dyDescent="0.3">
      <c r="A1710">
        <v>209505551</v>
      </c>
      <c r="B1710" s="1">
        <v>45025</v>
      </c>
      <c r="C1710" s="1">
        <v>45041</v>
      </c>
      <c r="D1710">
        <v>39</v>
      </c>
      <c r="E1710" t="s">
        <v>6</v>
      </c>
      <c r="F1710" t="s">
        <v>7</v>
      </c>
    </row>
    <row r="1711" spans="1:6" x14ac:dyDescent="0.3">
      <c r="A1711">
        <v>211389716</v>
      </c>
      <c r="B1711" s="1">
        <v>45026</v>
      </c>
      <c r="D1711">
        <v>39</v>
      </c>
      <c r="E1711" t="s">
        <v>6</v>
      </c>
      <c r="F1711" t="s">
        <v>7</v>
      </c>
    </row>
    <row r="1712" spans="1:6" x14ac:dyDescent="0.3">
      <c r="A1712">
        <v>211636708</v>
      </c>
      <c r="B1712" s="1">
        <v>45026</v>
      </c>
      <c r="D1712">
        <v>39</v>
      </c>
      <c r="E1712" t="s">
        <v>6</v>
      </c>
      <c r="F1712" t="s">
        <v>7</v>
      </c>
    </row>
    <row r="1713" spans="1:6" x14ac:dyDescent="0.3">
      <c r="A1713">
        <v>176884824</v>
      </c>
      <c r="B1713" s="1">
        <v>45026</v>
      </c>
      <c r="D1713">
        <v>39</v>
      </c>
      <c r="E1713" t="s">
        <v>6</v>
      </c>
      <c r="F1713" t="s">
        <v>7</v>
      </c>
    </row>
    <row r="1714" spans="1:6" x14ac:dyDescent="0.3">
      <c r="A1714">
        <v>211352758</v>
      </c>
      <c r="B1714" s="1">
        <v>45026</v>
      </c>
      <c r="D1714">
        <v>39</v>
      </c>
      <c r="E1714" t="s">
        <v>6</v>
      </c>
      <c r="F1714" t="s">
        <v>7</v>
      </c>
    </row>
    <row r="1715" spans="1:6" x14ac:dyDescent="0.3">
      <c r="A1715">
        <v>210814163</v>
      </c>
      <c r="B1715" s="1">
        <v>45026</v>
      </c>
      <c r="D1715">
        <v>39</v>
      </c>
      <c r="E1715" t="s">
        <v>6</v>
      </c>
      <c r="F1715" t="s">
        <v>7</v>
      </c>
    </row>
    <row r="1716" spans="1:6" x14ac:dyDescent="0.3">
      <c r="A1716">
        <v>210893245</v>
      </c>
      <c r="B1716" s="1">
        <v>45026</v>
      </c>
      <c r="D1716">
        <v>39</v>
      </c>
      <c r="E1716" t="s">
        <v>6</v>
      </c>
      <c r="F1716" t="s">
        <v>7</v>
      </c>
    </row>
    <row r="1717" spans="1:6" x14ac:dyDescent="0.3">
      <c r="A1717">
        <v>130967112</v>
      </c>
      <c r="B1717" s="1">
        <v>45026</v>
      </c>
      <c r="D1717">
        <v>39</v>
      </c>
      <c r="E1717" t="s">
        <v>6</v>
      </c>
      <c r="F1717" t="s">
        <v>7</v>
      </c>
    </row>
    <row r="1718" spans="1:6" x14ac:dyDescent="0.3">
      <c r="A1718">
        <v>199116000</v>
      </c>
      <c r="B1718" s="1">
        <v>45026</v>
      </c>
      <c r="D1718">
        <v>39</v>
      </c>
      <c r="E1718" t="s">
        <v>6</v>
      </c>
      <c r="F1718" t="s">
        <v>7</v>
      </c>
    </row>
    <row r="1719" spans="1:6" x14ac:dyDescent="0.3">
      <c r="A1719">
        <v>161182706</v>
      </c>
      <c r="B1719" s="1">
        <v>45026</v>
      </c>
      <c r="C1719" s="1">
        <v>45063</v>
      </c>
      <c r="D1719">
        <v>39</v>
      </c>
      <c r="E1719" t="s">
        <v>6</v>
      </c>
      <c r="F1719" t="s">
        <v>7</v>
      </c>
    </row>
    <row r="1720" spans="1:6" x14ac:dyDescent="0.3">
      <c r="A1720">
        <v>211576047</v>
      </c>
      <c r="B1720" s="1">
        <v>45027</v>
      </c>
      <c r="D1720">
        <v>39</v>
      </c>
      <c r="E1720" t="s">
        <v>6</v>
      </c>
      <c r="F1720" t="s">
        <v>7</v>
      </c>
    </row>
    <row r="1721" spans="1:6" x14ac:dyDescent="0.3">
      <c r="A1721">
        <v>211897884</v>
      </c>
      <c r="B1721" s="1">
        <v>45027</v>
      </c>
      <c r="D1721">
        <v>39</v>
      </c>
      <c r="E1721" t="s">
        <v>6</v>
      </c>
      <c r="F1721" t="s">
        <v>7</v>
      </c>
    </row>
    <row r="1722" spans="1:6" x14ac:dyDescent="0.3">
      <c r="A1722">
        <v>211661733</v>
      </c>
      <c r="B1722" s="1">
        <v>45027</v>
      </c>
      <c r="D1722">
        <v>39</v>
      </c>
      <c r="E1722" t="s">
        <v>6</v>
      </c>
      <c r="F1722" t="s">
        <v>7</v>
      </c>
    </row>
    <row r="1723" spans="1:6" x14ac:dyDescent="0.3">
      <c r="A1723">
        <v>211561665</v>
      </c>
      <c r="B1723" s="1">
        <v>45027</v>
      </c>
      <c r="D1723">
        <v>39</v>
      </c>
      <c r="E1723" t="s">
        <v>6</v>
      </c>
      <c r="F1723" t="s">
        <v>8</v>
      </c>
    </row>
    <row r="1724" spans="1:6" x14ac:dyDescent="0.3">
      <c r="A1724">
        <v>211911280</v>
      </c>
      <c r="B1724" s="1">
        <v>45027</v>
      </c>
      <c r="C1724" s="1">
        <v>45161</v>
      </c>
      <c r="D1724">
        <v>39</v>
      </c>
      <c r="E1724" t="s">
        <v>6</v>
      </c>
      <c r="F1724" t="s">
        <v>7</v>
      </c>
    </row>
    <row r="1725" spans="1:6" x14ac:dyDescent="0.3">
      <c r="A1725">
        <v>123946316</v>
      </c>
      <c r="B1725" s="1">
        <v>45027</v>
      </c>
      <c r="C1725" s="1">
        <v>45094</v>
      </c>
      <c r="D1725">
        <v>39</v>
      </c>
      <c r="E1725" t="s">
        <v>6</v>
      </c>
      <c r="F1725" t="s">
        <v>7</v>
      </c>
    </row>
    <row r="1726" spans="1:6" x14ac:dyDescent="0.3">
      <c r="A1726">
        <v>144469362</v>
      </c>
      <c r="B1726" s="1">
        <v>45027</v>
      </c>
      <c r="C1726" s="1">
        <v>45047</v>
      </c>
      <c r="D1726">
        <v>39</v>
      </c>
      <c r="E1726" t="s">
        <v>6</v>
      </c>
      <c r="F1726" t="s">
        <v>7</v>
      </c>
    </row>
    <row r="1727" spans="1:6" x14ac:dyDescent="0.3">
      <c r="A1727">
        <v>187268085</v>
      </c>
      <c r="B1727" s="1">
        <v>45027</v>
      </c>
      <c r="C1727" s="1">
        <v>45054</v>
      </c>
      <c r="D1727">
        <v>39</v>
      </c>
      <c r="E1727" t="s">
        <v>6</v>
      </c>
      <c r="F1727" t="s">
        <v>7</v>
      </c>
    </row>
    <row r="1728" spans="1:6" x14ac:dyDescent="0.3">
      <c r="A1728">
        <v>210088359</v>
      </c>
      <c r="B1728" s="1">
        <v>45027</v>
      </c>
      <c r="C1728" s="1">
        <v>45103</v>
      </c>
      <c r="D1728">
        <v>39</v>
      </c>
      <c r="E1728" t="s">
        <v>6</v>
      </c>
      <c r="F1728" t="s">
        <v>7</v>
      </c>
    </row>
    <row r="1729" spans="1:6" x14ac:dyDescent="0.3">
      <c r="A1729">
        <v>211906202</v>
      </c>
      <c r="B1729" s="1">
        <v>45027</v>
      </c>
      <c r="C1729" s="1">
        <v>45068</v>
      </c>
      <c r="D1729">
        <v>39</v>
      </c>
      <c r="E1729" t="s">
        <v>6</v>
      </c>
      <c r="F1729" t="s">
        <v>7</v>
      </c>
    </row>
    <row r="1730" spans="1:6" x14ac:dyDescent="0.3">
      <c r="A1730">
        <v>126391978</v>
      </c>
      <c r="B1730" s="1">
        <v>45027</v>
      </c>
      <c r="C1730" s="1">
        <v>45127</v>
      </c>
      <c r="D1730">
        <v>39</v>
      </c>
      <c r="E1730" t="s">
        <v>6</v>
      </c>
      <c r="F1730" t="s">
        <v>7</v>
      </c>
    </row>
    <row r="1731" spans="1:6" x14ac:dyDescent="0.3">
      <c r="A1731">
        <v>154753462</v>
      </c>
      <c r="B1731" s="1">
        <v>45028</v>
      </c>
      <c r="D1731">
        <v>39</v>
      </c>
      <c r="E1731" t="s">
        <v>6</v>
      </c>
      <c r="F1731" t="s">
        <v>7</v>
      </c>
    </row>
    <row r="1732" spans="1:6" x14ac:dyDescent="0.3">
      <c r="A1732">
        <v>212049757</v>
      </c>
      <c r="B1732" s="1">
        <v>45028</v>
      </c>
      <c r="D1732">
        <v>39</v>
      </c>
      <c r="E1732" t="s">
        <v>6</v>
      </c>
      <c r="F1732" t="s">
        <v>7</v>
      </c>
    </row>
    <row r="1733" spans="1:6" x14ac:dyDescent="0.3">
      <c r="A1733">
        <v>147015210</v>
      </c>
      <c r="B1733" s="1">
        <v>45028</v>
      </c>
      <c r="D1733">
        <v>39</v>
      </c>
      <c r="E1733" t="s">
        <v>6</v>
      </c>
      <c r="F1733" t="s">
        <v>7</v>
      </c>
    </row>
    <row r="1734" spans="1:6" x14ac:dyDescent="0.3">
      <c r="A1734">
        <v>212057431</v>
      </c>
      <c r="B1734" s="1">
        <v>45028</v>
      </c>
      <c r="C1734" s="1">
        <v>45029</v>
      </c>
      <c r="D1734">
        <v>39</v>
      </c>
      <c r="E1734" t="s">
        <v>6</v>
      </c>
      <c r="F1734" t="s">
        <v>8</v>
      </c>
    </row>
    <row r="1735" spans="1:6" x14ac:dyDescent="0.3">
      <c r="A1735">
        <v>205734465</v>
      </c>
      <c r="B1735" s="1">
        <v>45028</v>
      </c>
      <c r="C1735" s="1">
        <v>45085</v>
      </c>
      <c r="D1735">
        <v>39</v>
      </c>
      <c r="E1735" t="s">
        <v>6</v>
      </c>
      <c r="F1735" t="s">
        <v>7</v>
      </c>
    </row>
    <row r="1736" spans="1:6" x14ac:dyDescent="0.3">
      <c r="A1736">
        <v>208772540</v>
      </c>
      <c r="B1736" s="1">
        <v>45028</v>
      </c>
      <c r="C1736" s="1">
        <v>45046</v>
      </c>
      <c r="D1736">
        <v>39</v>
      </c>
      <c r="E1736" t="s">
        <v>6</v>
      </c>
      <c r="F1736" t="s">
        <v>7</v>
      </c>
    </row>
    <row r="1737" spans="1:6" x14ac:dyDescent="0.3">
      <c r="A1737">
        <v>182357706</v>
      </c>
      <c r="B1737" s="1">
        <v>45028</v>
      </c>
      <c r="C1737" s="1">
        <v>45111</v>
      </c>
      <c r="D1737">
        <v>39</v>
      </c>
      <c r="E1737" t="s">
        <v>6</v>
      </c>
      <c r="F1737" t="s">
        <v>7</v>
      </c>
    </row>
    <row r="1738" spans="1:6" x14ac:dyDescent="0.3">
      <c r="A1738">
        <v>211333348</v>
      </c>
      <c r="B1738" s="1">
        <v>45028</v>
      </c>
      <c r="C1738" s="1">
        <v>45115</v>
      </c>
      <c r="D1738">
        <v>39</v>
      </c>
      <c r="E1738" t="s">
        <v>6</v>
      </c>
      <c r="F1738" t="s">
        <v>7</v>
      </c>
    </row>
    <row r="1739" spans="1:6" x14ac:dyDescent="0.3">
      <c r="A1739">
        <v>211334702</v>
      </c>
      <c r="B1739" s="1">
        <v>45028</v>
      </c>
      <c r="C1739" s="1">
        <v>45132</v>
      </c>
      <c r="D1739">
        <v>39</v>
      </c>
      <c r="E1739" t="s">
        <v>6</v>
      </c>
      <c r="F1739" t="s">
        <v>7</v>
      </c>
    </row>
    <row r="1740" spans="1:6" x14ac:dyDescent="0.3">
      <c r="A1740">
        <v>212129575</v>
      </c>
      <c r="B1740" s="1">
        <v>45029</v>
      </c>
      <c r="D1740">
        <v>39</v>
      </c>
      <c r="E1740" t="s">
        <v>6</v>
      </c>
      <c r="F1740" t="s">
        <v>7</v>
      </c>
    </row>
    <row r="1741" spans="1:6" x14ac:dyDescent="0.3">
      <c r="A1741">
        <v>209733088</v>
      </c>
      <c r="B1741" s="1">
        <v>45029</v>
      </c>
      <c r="D1741">
        <v>39</v>
      </c>
      <c r="E1741" t="s">
        <v>6</v>
      </c>
      <c r="F1741" t="s">
        <v>7</v>
      </c>
    </row>
    <row r="1742" spans="1:6" x14ac:dyDescent="0.3">
      <c r="A1742">
        <v>152792045</v>
      </c>
      <c r="B1742" s="1">
        <v>45029</v>
      </c>
      <c r="C1742" s="1">
        <v>45097</v>
      </c>
      <c r="D1742">
        <v>39</v>
      </c>
      <c r="E1742" t="s">
        <v>6</v>
      </c>
      <c r="F1742" t="s">
        <v>7</v>
      </c>
    </row>
    <row r="1743" spans="1:6" x14ac:dyDescent="0.3">
      <c r="A1743">
        <v>212163568</v>
      </c>
      <c r="B1743" s="1">
        <v>45029</v>
      </c>
      <c r="C1743" s="1">
        <v>45075</v>
      </c>
      <c r="D1743">
        <v>39</v>
      </c>
      <c r="E1743" t="s">
        <v>6</v>
      </c>
      <c r="F1743" t="s">
        <v>7</v>
      </c>
    </row>
    <row r="1744" spans="1:6" x14ac:dyDescent="0.3">
      <c r="A1744">
        <v>212260363</v>
      </c>
      <c r="B1744" s="1">
        <v>45029</v>
      </c>
      <c r="C1744" s="1">
        <v>45056</v>
      </c>
      <c r="D1744">
        <v>39</v>
      </c>
      <c r="E1744" t="s">
        <v>6</v>
      </c>
      <c r="F1744" t="s">
        <v>7</v>
      </c>
    </row>
    <row r="1745" spans="1:6" x14ac:dyDescent="0.3">
      <c r="A1745">
        <v>212164158</v>
      </c>
      <c r="B1745" s="1">
        <v>45029</v>
      </c>
      <c r="C1745" s="1">
        <v>45104</v>
      </c>
      <c r="D1745">
        <v>39</v>
      </c>
      <c r="E1745" t="s">
        <v>6</v>
      </c>
      <c r="F1745" t="s">
        <v>7</v>
      </c>
    </row>
    <row r="1746" spans="1:6" x14ac:dyDescent="0.3">
      <c r="A1746">
        <v>155604779</v>
      </c>
      <c r="B1746" s="1">
        <v>45029</v>
      </c>
      <c r="C1746" s="1">
        <v>45111</v>
      </c>
      <c r="D1746">
        <v>39</v>
      </c>
      <c r="E1746" t="s">
        <v>6</v>
      </c>
      <c r="F1746" t="s">
        <v>7</v>
      </c>
    </row>
    <row r="1747" spans="1:6" x14ac:dyDescent="0.3">
      <c r="A1747">
        <v>150421022</v>
      </c>
      <c r="B1747" s="1">
        <v>45029</v>
      </c>
      <c r="C1747" s="1">
        <v>45092</v>
      </c>
      <c r="D1747">
        <v>39</v>
      </c>
      <c r="E1747" t="s">
        <v>6</v>
      </c>
      <c r="F1747" t="s">
        <v>7</v>
      </c>
    </row>
    <row r="1748" spans="1:6" x14ac:dyDescent="0.3">
      <c r="A1748">
        <v>122616012</v>
      </c>
      <c r="B1748" s="1">
        <v>45029</v>
      </c>
      <c r="C1748" s="1">
        <v>45106</v>
      </c>
      <c r="D1748">
        <v>39</v>
      </c>
      <c r="E1748" t="s">
        <v>6</v>
      </c>
      <c r="F1748" t="s">
        <v>7</v>
      </c>
    </row>
    <row r="1749" spans="1:6" x14ac:dyDescent="0.3">
      <c r="A1749">
        <v>209356278</v>
      </c>
      <c r="B1749" s="1">
        <v>45030</v>
      </c>
      <c r="D1749">
        <v>39</v>
      </c>
      <c r="E1749" t="s">
        <v>6</v>
      </c>
      <c r="F1749" t="s">
        <v>7</v>
      </c>
    </row>
    <row r="1750" spans="1:6" x14ac:dyDescent="0.3">
      <c r="A1750">
        <v>212604642</v>
      </c>
      <c r="B1750" s="1">
        <v>45030</v>
      </c>
      <c r="D1750">
        <v>39</v>
      </c>
      <c r="E1750" t="s">
        <v>6</v>
      </c>
      <c r="F1750" t="s">
        <v>7</v>
      </c>
    </row>
    <row r="1751" spans="1:6" x14ac:dyDescent="0.3">
      <c r="A1751">
        <v>210730447</v>
      </c>
      <c r="B1751" s="1">
        <v>45030</v>
      </c>
      <c r="D1751">
        <v>39</v>
      </c>
      <c r="E1751" t="s">
        <v>6</v>
      </c>
      <c r="F1751" t="s">
        <v>7</v>
      </c>
    </row>
    <row r="1752" spans="1:6" x14ac:dyDescent="0.3">
      <c r="A1752">
        <v>212388726</v>
      </c>
      <c r="B1752" s="1">
        <v>45030</v>
      </c>
      <c r="D1752">
        <v>39</v>
      </c>
      <c r="E1752" t="s">
        <v>6</v>
      </c>
      <c r="F1752" t="s">
        <v>8</v>
      </c>
    </row>
    <row r="1753" spans="1:6" x14ac:dyDescent="0.3">
      <c r="A1753">
        <v>127793951</v>
      </c>
      <c r="B1753" s="1">
        <v>45030</v>
      </c>
      <c r="C1753" s="1">
        <v>45169</v>
      </c>
      <c r="D1753">
        <v>39</v>
      </c>
      <c r="E1753" t="s">
        <v>6</v>
      </c>
      <c r="F1753" t="s">
        <v>7</v>
      </c>
    </row>
    <row r="1754" spans="1:6" x14ac:dyDescent="0.3">
      <c r="A1754">
        <v>189715793</v>
      </c>
      <c r="B1754" s="1">
        <v>45030</v>
      </c>
      <c r="C1754" s="1">
        <v>45067</v>
      </c>
      <c r="D1754">
        <v>39</v>
      </c>
      <c r="E1754" t="s">
        <v>6</v>
      </c>
      <c r="F1754" t="s">
        <v>7</v>
      </c>
    </row>
    <row r="1755" spans="1:6" x14ac:dyDescent="0.3">
      <c r="A1755">
        <v>148369126</v>
      </c>
      <c r="B1755" s="1">
        <v>45031</v>
      </c>
      <c r="D1755">
        <v>39</v>
      </c>
      <c r="E1755" t="s">
        <v>6</v>
      </c>
      <c r="F1755" t="s">
        <v>7</v>
      </c>
    </row>
    <row r="1756" spans="1:6" x14ac:dyDescent="0.3">
      <c r="A1756">
        <v>157503290</v>
      </c>
      <c r="B1756" s="1">
        <v>45031</v>
      </c>
      <c r="C1756" s="1">
        <v>45068</v>
      </c>
      <c r="D1756">
        <v>39</v>
      </c>
      <c r="E1756" t="s">
        <v>6</v>
      </c>
      <c r="F1756" t="s">
        <v>7</v>
      </c>
    </row>
    <row r="1757" spans="1:6" x14ac:dyDescent="0.3">
      <c r="A1757">
        <v>212712986</v>
      </c>
      <c r="B1757" s="1">
        <v>45031</v>
      </c>
      <c r="C1757" s="1">
        <v>45077</v>
      </c>
      <c r="D1757">
        <v>39</v>
      </c>
      <c r="E1757" t="s">
        <v>6</v>
      </c>
      <c r="F1757" t="s">
        <v>7</v>
      </c>
    </row>
    <row r="1758" spans="1:6" x14ac:dyDescent="0.3">
      <c r="A1758">
        <v>204512028</v>
      </c>
      <c r="B1758" s="1">
        <v>45031</v>
      </c>
      <c r="C1758" s="1">
        <v>45061</v>
      </c>
      <c r="D1758">
        <v>39</v>
      </c>
      <c r="E1758" t="s">
        <v>6</v>
      </c>
      <c r="F1758" t="s">
        <v>7</v>
      </c>
    </row>
    <row r="1759" spans="1:6" x14ac:dyDescent="0.3">
      <c r="A1759">
        <v>147066240</v>
      </c>
      <c r="B1759" s="1">
        <v>45031</v>
      </c>
      <c r="C1759" s="1">
        <v>45046</v>
      </c>
      <c r="D1759">
        <v>39</v>
      </c>
      <c r="E1759" t="s">
        <v>6</v>
      </c>
      <c r="F1759" t="s">
        <v>7</v>
      </c>
    </row>
    <row r="1760" spans="1:6" x14ac:dyDescent="0.3">
      <c r="A1760">
        <v>212759443</v>
      </c>
      <c r="B1760" s="1">
        <v>45032</v>
      </c>
      <c r="C1760" s="1">
        <v>45032</v>
      </c>
      <c r="D1760">
        <v>39</v>
      </c>
      <c r="E1760" t="s">
        <v>6</v>
      </c>
      <c r="F1760" t="s">
        <v>7</v>
      </c>
    </row>
    <row r="1761" spans="1:6" x14ac:dyDescent="0.3">
      <c r="A1761">
        <v>212042832</v>
      </c>
      <c r="B1761" s="1">
        <v>45033</v>
      </c>
      <c r="D1761">
        <v>39</v>
      </c>
      <c r="E1761" t="s">
        <v>6</v>
      </c>
      <c r="F1761" t="s">
        <v>7</v>
      </c>
    </row>
    <row r="1762" spans="1:6" x14ac:dyDescent="0.3">
      <c r="A1762">
        <v>212113682</v>
      </c>
      <c r="B1762" s="1">
        <v>45033</v>
      </c>
      <c r="D1762">
        <v>39</v>
      </c>
      <c r="E1762" t="s">
        <v>6</v>
      </c>
      <c r="F1762" t="s">
        <v>7</v>
      </c>
    </row>
    <row r="1763" spans="1:6" x14ac:dyDescent="0.3">
      <c r="A1763">
        <v>181175226</v>
      </c>
      <c r="B1763" s="1">
        <v>45033</v>
      </c>
      <c r="D1763">
        <v>39</v>
      </c>
      <c r="E1763" t="s">
        <v>6</v>
      </c>
      <c r="F1763" t="s">
        <v>7</v>
      </c>
    </row>
    <row r="1764" spans="1:6" x14ac:dyDescent="0.3">
      <c r="A1764">
        <v>201817514</v>
      </c>
      <c r="B1764" s="1">
        <v>45033</v>
      </c>
      <c r="C1764" s="1">
        <v>45034</v>
      </c>
      <c r="D1764">
        <v>39</v>
      </c>
      <c r="E1764" t="s">
        <v>6</v>
      </c>
      <c r="F1764" t="s">
        <v>7</v>
      </c>
    </row>
    <row r="1765" spans="1:6" x14ac:dyDescent="0.3">
      <c r="A1765">
        <v>168698174</v>
      </c>
      <c r="B1765" s="1">
        <v>45033</v>
      </c>
      <c r="C1765" s="1">
        <v>45033</v>
      </c>
      <c r="D1765">
        <v>39</v>
      </c>
      <c r="E1765" t="s">
        <v>6</v>
      </c>
      <c r="F1765" t="s">
        <v>7</v>
      </c>
    </row>
    <row r="1766" spans="1:6" x14ac:dyDescent="0.3">
      <c r="A1766">
        <v>170512298</v>
      </c>
      <c r="B1766" s="1">
        <v>45033</v>
      </c>
      <c r="C1766" s="1">
        <v>45061</v>
      </c>
      <c r="D1766">
        <v>39</v>
      </c>
      <c r="E1766" t="s">
        <v>6</v>
      </c>
      <c r="F1766" t="s">
        <v>7</v>
      </c>
    </row>
    <row r="1767" spans="1:6" x14ac:dyDescent="0.3">
      <c r="A1767">
        <v>213181546</v>
      </c>
      <c r="B1767" s="1">
        <v>45033</v>
      </c>
      <c r="C1767" s="1">
        <v>45078</v>
      </c>
      <c r="D1767">
        <v>39</v>
      </c>
      <c r="E1767" t="s">
        <v>6</v>
      </c>
      <c r="F1767" t="s">
        <v>7</v>
      </c>
    </row>
    <row r="1768" spans="1:6" x14ac:dyDescent="0.3">
      <c r="A1768">
        <v>154535908</v>
      </c>
      <c r="B1768" s="1">
        <v>45033</v>
      </c>
      <c r="C1768" s="1">
        <v>45101</v>
      </c>
      <c r="D1768">
        <v>39</v>
      </c>
      <c r="E1768" t="s">
        <v>6</v>
      </c>
      <c r="F1768" t="s">
        <v>7</v>
      </c>
    </row>
    <row r="1769" spans="1:6" x14ac:dyDescent="0.3">
      <c r="A1769">
        <v>151540809</v>
      </c>
      <c r="B1769" s="1">
        <v>45033</v>
      </c>
      <c r="C1769" s="1">
        <v>45069</v>
      </c>
      <c r="D1769">
        <v>39</v>
      </c>
      <c r="E1769" t="s">
        <v>6</v>
      </c>
      <c r="F1769" t="s">
        <v>7</v>
      </c>
    </row>
    <row r="1770" spans="1:6" x14ac:dyDescent="0.3">
      <c r="A1770">
        <v>212334937</v>
      </c>
      <c r="B1770" s="1">
        <v>45033</v>
      </c>
      <c r="C1770" s="1">
        <v>45064</v>
      </c>
      <c r="D1770">
        <v>39</v>
      </c>
      <c r="E1770" t="s">
        <v>6</v>
      </c>
      <c r="F1770" t="s">
        <v>7</v>
      </c>
    </row>
    <row r="1771" spans="1:6" x14ac:dyDescent="0.3">
      <c r="A1771">
        <v>204766175</v>
      </c>
      <c r="B1771" s="1">
        <v>45033</v>
      </c>
      <c r="C1771" s="1">
        <v>45121</v>
      </c>
      <c r="D1771">
        <v>39</v>
      </c>
      <c r="E1771" t="s">
        <v>6</v>
      </c>
      <c r="F1771" t="s">
        <v>7</v>
      </c>
    </row>
    <row r="1772" spans="1:6" x14ac:dyDescent="0.3">
      <c r="A1772">
        <v>212055738</v>
      </c>
      <c r="B1772" s="1">
        <v>45033</v>
      </c>
      <c r="C1772" s="1">
        <v>45162</v>
      </c>
      <c r="D1772">
        <v>39</v>
      </c>
      <c r="E1772" t="s">
        <v>6</v>
      </c>
      <c r="F1772" t="s">
        <v>7</v>
      </c>
    </row>
    <row r="1773" spans="1:6" x14ac:dyDescent="0.3">
      <c r="A1773">
        <v>211907956</v>
      </c>
      <c r="B1773" s="1">
        <v>45034</v>
      </c>
      <c r="D1773">
        <v>39</v>
      </c>
      <c r="E1773" t="s">
        <v>6</v>
      </c>
      <c r="F1773" t="s">
        <v>7</v>
      </c>
    </row>
    <row r="1774" spans="1:6" x14ac:dyDescent="0.3">
      <c r="A1774">
        <v>212759443</v>
      </c>
      <c r="B1774" s="1">
        <v>45034</v>
      </c>
      <c r="D1774">
        <v>39</v>
      </c>
      <c r="E1774" t="s">
        <v>6</v>
      </c>
      <c r="F1774" t="s">
        <v>7</v>
      </c>
    </row>
    <row r="1775" spans="1:6" x14ac:dyDescent="0.3">
      <c r="A1775">
        <v>213182327</v>
      </c>
      <c r="B1775" s="1">
        <v>45034</v>
      </c>
      <c r="D1775">
        <v>39</v>
      </c>
      <c r="E1775" t="s">
        <v>6</v>
      </c>
      <c r="F1775" t="s">
        <v>7</v>
      </c>
    </row>
    <row r="1776" spans="1:6" x14ac:dyDescent="0.3">
      <c r="A1776">
        <v>213442067</v>
      </c>
      <c r="B1776" s="1">
        <v>45034</v>
      </c>
      <c r="D1776">
        <v>39</v>
      </c>
      <c r="E1776" t="s">
        <v>6</v>
      </c>
      <c r="F1776" t="s">
        <v>7</v>
      </c>
    </row>
    <row r="1777" spans="1:6" x14ac:dyDescent="0.3">
      <c r="A1777">
        <v>213427247</v>
      </c>
      <c r="B1777" s="1">
        <v>45034</v>
      </c>
      <c r="D1777">
        <v>39</v>
      </c>
      <c r="E1777" t="s">
        <v>6</v>
      </c>
      <c r="F1777" t="s">
        <v>7</v>
      </c>
    </row>
    <row r="1778" spans="1:6" x14ac:dyDescent="0.3">
      <c r="A1778">
        <v>172476368</v>
      </c>
      <c r="B1778" s="1">
        <v>45034</v>
      </c>
      <c r="C1778" s="1">
        <v>45061</v>
      </c>
      <c r="D1778">
        <v>39</v>
      </c>
      <c r="E1778" t="s">
        <v>6</v>
      </c>
      <c r="F1778" t="s">
        <v>7</v>
      </c>
    </row>
    <row r="1779" spans="1:6" x14ac:dyDescent="0.3">
      <c r="A1779">
        <v>148900262</v>
      </c>
      <c r="B1779" s="1">
        <v>45034</v>
      </c>
      <c r="C1779" s="1">
        <v>45057</v>
      </c>
      <c r="D1779">
        <v>39</v>
      </c>
      <c r="E1779" t="s">
        <v>6</v>
      </c>
      <c r="F1779" t="s">
        <v>7</v>
      </c>
    </row>
    <row r="1780" spans="1:6" x14ac:dyDescent="0.3">
      <c r="A1780">
        <v>213450505</v>
      </c>
      <c r="B1780" s="1">
        <v>45034</v>
      </c>
      <c r="C1780" s="1">
        <v>45062</v>
      </c>
      <c r="D1780">
        <v>39</v>
      </c>
      <c r="E1780" t="s">
        <v>6</v>
      </c>
      <c r="F1780" t="s">
        <v>7</v>
      </c>
    </row>
    <row r="1781" spans="1:6" x14ac:dyDescent="0.3">
      <c r="A1781">
        <v>168261038</v>
      </c>
      <c r="B1781" s="1">
        <v>45034</v>
      </c>
      <c r="C1781" s="1">
        <v>45072</v>
      </c>
      <c r="D1781">
        <v>39</v>
      </c>
      <c r="E1781" t="s">
        <v>6</v>
      </c>
      <c r="F1781" t="s">
        <v>7</v>
      </c>
    </row>
    <row r="1782" spans="1:6" x14ac:dyDescent="0.3">
      <c r="A1782">
        <v>207018786</v>
      </c>
      <c r="B1782" s="1">
        <v>45034</v>
      </c>
      <c r="C1782" s="1">
        <v>45132</v>
      </c>
      <c r="D1782">
        <v>39</v>
      </c>
      <c r="E1782" t="s">
        <v>6</v>
      </c>
      <c r="F1782" t="s">
        <v>7</v>
      </c>
    </row>
    <row r="1783" spans="1:6" x14ac:dyDescent="0.3">
      <c r="A1783">
        <v>213781045</v>
      </c>
      <c r="B1783" s="1">
        <v>45035</v>
      </c>
      <c r="D1783">
        <v>39</v>
      </c>
      <c r="E1783" t="s">
        <v>6</v>
      </c>
      <c r="F1783" t="s">
        <v>7</v>
      </c>
    </row>
    <row r="1784" spans="1:6" x14ac:dyDescent="0.3">
      <c r="A1784">
        <v>213785402</v>
      </c>
      <c r="B1784" s="1">
        <v>45035</v>
      </c>
      <c r="C1784" s="1">
        <v>45161</v>
      </c>
      <c r="D1784">
        <v>39</v>
      </c>
      <c r="E1784" t="s">
        <v>6</v>
      </c>
      <c r="F1784" t="s">
        <v>7</v>
      </c>
    </row>
    <row r="1785" spans="1:6" x14ac:dyDescent="0.3">
      <c r="A1785">
        <v>213689187</v>
      </c>
      <c r="B1785" s="1">
        <v>45035</v>
      </c>
      <c r="C1785" s="1">
        <v>45036</v>
      </c>
      <c r="D1785">
        <v>39</v>
      </c>
      <c r="E1785" t="s">
        <v>6</v>
      </c>
      <c r="F1785" t="s">
        <v>8</v>
      </c>
    </row>
    <row r="1786" spans="1:6" x14ac:dyDescent="0.3">
      <c r="A1786">
        <v>213413298</v>
      </c>
      <c r="B1786" s="1">
        <v>45035</v>
      </c>
      <c r="C1786" s="1">
        <v>45035</v>
      </c>
      <c r="D1786">
        <v>39</v>
      </c>
      <c r="E1786" t="s">
        <v>6</v>
      </c>
      <c r="F1786" t="s">
        <v>8</v>
      </c>
    </row>
    <row r="1787" spans="1:6" x14ac:dyDescent="0.3">
      <c r="A1787">
        <v>184458429</v>
      </c>
      <c r="B1787" s="1">
        <v>45035</v>
      </c>
      <c r="C1787" s="1">
        <v>45085</v>
      </c>
      <c r="D1787">
        <v>39</v>
      </c>
      <c r="E1787" t="s">
        <v>6</v>
      </c>
      <c r="F1787" t="s">
        <v>7</v>
      </c>
    </row>
    <row r="1788" spans="1:6" x14ac:dyDescent="0.3">
      <c r="A1788">
        <v>212190070</v>
      </c>
      <c r="B1788" s="1">
        <v>45035</v>
      </c>
      <c r="C1788" s="1">
        <v>45096</v>
      </c>
      <c r="D1788">
        <v>39</v>
      </c>
      <c r="E1788" t="s">
        <v>6</v>
      </c>
      <c r="F1788" t="s">
        <v>7</v>
      </c>
    </row>
    <row r="1789" spans="1:6" x14ac:dyDescent="0.3">
      <c r="A1789">
        <v>212737739</v>
      </c>
      <c r="B1789" s="1">
        <v>45035</v>
      </c>
      <c r="C1789" s="1">
        <v>45077</v>
      </c>
      <c r="D1789">
        <v>39</v>
      </c>
      <c r="E1789" t="s">
        <v>6</v>
      </c>
      <c r="F1789" t="s">
        <v>7</v>
      </c>
    </row>
    <row r="1790" spans="1:6" x14ac:dyDescent="0.3">
      <c r="A1790">
        <v>211904660</v>
      </c>
      <c r="B1790" s="1">
        <v>45036</v>
      </c>
      <c r="D1790">
        <v>39</v>
      </c>
      <c r="E1790" t="s">
        <v>6</v>
      </c>
      <c r="F1790" t="s">
        <v>7</v>
      </c>
    </row>
    <row r="1791" spans="1:6" x14ac:dyDescent="0.3">
      <c r="A1791">
        <v>112792926</v>
      </c>
      <c r="B1791" s="1">
        <v>45036</v>
      </c>
      <c r="D1791">
        <v>39</v>
      </c>
      <c r="E1791" t="s">
        <v>6</v>
      </c>
      <c r="F1791" t="s">
        <v>7</v>
      </c>
    </row>
    <row r="1792" spans="1:6" x14ac:dyDescent="0.3">
      <c r="A1792">
        <v>213914942</v>
      </c>
      <c r="B1792" s="1">
        <v>45036</v>
      </c>
      <c r="D1792">
        <v>39</v>
      </c>
      <c r="E1792" t="s">
        <v>6</v>
      </c>
      <c r="F1792" t="s">
        <v>7</v>
      </c>
    </row>
    <row r="1793" spans="1:6" x14ac:dyDescent="0.3">
      <c r="A1793">
        <v>189220435</v>
      </c>
      <c r="B1793" s="1">
        <v>45036</v>
      </c>
      <c r="C1793" s="1">
        <v>45046</v>
      </c>
      <c r="D1793">
        <v>39</v>
      </c>
      <c r="E1793" t="s">
        <v>6</v>
      </c>
      <c r="F1793" t="s">
        <v>7</v>
      </c>
    </row>
    <row r="1794" spans="1:6" x14ac:dyDescent="0.3">
      <c r="A1794">
        <v>203237584</v>
      </c>
      <c r="B1794" s="1">
        <v>45036</v>
      </c>
      <c r="C1794" s="1">
        <v>45041</v>
      </c>
      <c r="D1794">
        <v>39</v>
      </c>
      <c r="E1794" t="s">
        <v>6</v>
      </c>
      <c r="F1794" t="s">
        <v>7</v>
      </c>
    </row>
    <row r="1795" spans="1:6" x14ac:dyDescent="0.3">
      <c r="A1795">
        <v>213179140</v>
      </c>
      <c r="B1795" s="1">
        <v>45036</v>
      </c>
      <c r="C1795" s="1">
        <v>45063</v>
      </c>
      <c r="D1795">
        <v>39</v>
      </c>
      <c r="E1795" t="s">
        <v>6</v>
      </c>
      <c r="F1795" t="s">
        <v>7</v>
      </c>
    </row>
    <row r="1796" spans="1:6" x14ac:dyDescent="0.3">
      <c r="A1796">
        <v>211629536</v>
      </c>
      <c r="B1796" s="1">
        <v>45036</v>
      </c>
      <c r="C1796" s="1">
        <v>45073</v>
      </c>
      <c r="D1796">
        <v>39</v>
      </c>
      <c r="E1796" t="s">
        <v>6</v>
      </c>
      <c r="F1796" t="s">
        <v>7</v>
      </c>
    </row>
    <row r="1797" spans="1:6" x14ac:dyDescent="0.3">
      <c r="A1797">
        <v>204953211</v>
      </c>
      <c r="B1797" s="1">
        <v>45036</v>
      </c>
      <c r="C1797" s="1">
        <v>45073</v>
      </c>
      <c r="D1797">
        <v>39</v>
      </c>
      <c r="E1797" t="s">
        <v>6</v>
      </c>
      <c r="F1797" t="s">
        <v>7</v>
      </c>
    </row>
    <row r="1798" spans="1:6" x14ac:dyDescent="0.3">
      <c r="A1798">
        <v>111394466</v>
      </c>
      <c r="B1798" s="1">
        <v>45036</v>
      </c>
      <c r="C1798" s="1">
        <v>45099</v>
      </c>
      <c r="D1798">
        <v>39</v>
      </c>
      <c r="E1798" t="s">
        <v>6</v>
      </c>
      <c r="F1798" t="s">
        <v>7</v>
      </c>
    </row>
    <row r="1799" spans="1:6" x14ac:dyDescent="0.3">
      <c r="A1799">
        <v>214107134</v>
      </c>
      <c r="B1799" s="1">
        <v>45037</v>
      </c>
      <c r="D1799">
        <v>39</v>
      </c>
      <c r="E1799" t="s">
        <v>6</v>
      </c>
      <c r="F1799" t="s">
        <v>7</v>
      </c>
    </row>
    <row r="1800" spans="1:6" x14ac:dyDescent="0.3">
      <c r="A1800">
        <v>214105034</v>
      </c>
      <c r="B1800" s="1">
        <v>45037</v>
      </c>
      <c r="D1800">
        <v>39</v>
      </c>
      <c r="E1800" t="s">
        <v>6</v>
      </c>
      <c r="F1800" t="s">
        <v>7</v>
      </c>
    </row>
    <row r="1801" spans="1:6" x14ac:dyDescent="0.3">
      <c r="A1801">
        <v>214124745</v>
      </c>
      <c r="B1801" s="1">
        <v>45037</v>
      </c>
      <c r="C1801" s="1">
        <v>45176</v>
      </c>
      <c r="D1801">
        <v>39</v>
      </c>
      <c r="E1801" t="s">
        <v>6</v>
      </c>
      <c r="F1801" t="s">
        <v>7</v>
      </c>
    </row>
    <row r="1802" spans="1:6" x14ac:dyDescent="0.3">
      <c r="A1802">
        <v>214107426</v>
      </c>
      <c r="B1802" s="1">
        <v>45037</v>
      </c>
      <c r="C1802" s="1">
        <v>45038</v>
      </c>
      <c r="D1802">
        <v>39</v>
      </c>
      <c r="E1802" t="s">
        <v>6</v>
      </c>
      <c r="F1802" t="s">
        <v>8</v>
      </c>
    </row>
    <row r="1803" spans="1:6" x14ac:dyDescent="0.3">
      <c r="A1803">
        <v>213980322</v>
      </c>
      <c r="B1803" s="1">
        <v>45037</v>
      </c>
      <c r="C1803" s="1">
        <v>45097</v>
      </c>
      <c r="D1803">
        <v>39</v>
      </c>
      <c r="E1803" t="s">
        <v>6</v>
      </c>
      <c r="F1803" t="s">
        <v>7</v>
      </c>
    </row>
    <row r="1804" spans="1:6" x14ac:dyDescent="0.3">
      <c r="A1804">
        <v>213434919</v>
      </c>
      <c r="B1804" s="1">
        <v>45037</v>
      </c>
      <c r="C1804" s="1">
        <v>45037</v>
      </c>
      <c r="D1804">
        <v>39</v>
      </c>
      <c r="E1804" t="s">
        <v>6</v>
      </c>
      <c r="F1804" t="s">
        <v>7</v>
      </c>
    </row>
    <row r="1805" spans="1:6" x14ac:dyDescent="0.3">
      <c r="A1805">
        <v>214129448</v>
      </c>
      <c r="B1805" s="1">
        <v>45037</v>
      </c>
      <c r="C1805" s="1">
        <v>45135</v>
      </c>
      <c r="D1805">
        <v>39</v>
      </c>
      <c r="E1805" t="s">
        <v>6</v>
      </c>
      <c r="F1805" t="s">
        <v>7</v>
      </c>
    </row>
    <row r="1806" spans="1:6" x14ac:dyDescent="0.3">
      <c r="A1806">
        <v>213944536</v>
      </c>
      <c r="B1806" s="1">
        <v>45037</v>
      </c>
      <c r="C1806" s="1">
        <v>45098</v>
      </c>
      <c r="D1806">
        <v>39</v>
      </c>
      <c r="E1806" t="s">
        <v>6</v>
      </c>
      <c r="F1806" t="s">
        <v>7</v>
      </c>
    </row>
    <row r="1807" spans="1:6" x14ac:dyDescent="0.3">
      <c r="A1807">
        <v>214052531</v>
      </c>
      <c r="B1807" s="1">
        <v>45037</v>
      </c>
      <c r="C1807" s="1">
        <v>45166</v>
      </c>
      <c r="D1807">
        <v>39</v>
      </c>
      <c r="E1807" t="s">
        <v>6</v>
      </c>
      <c r="F1807" t="s">
        <v>7</v>
      </c>
    </row>
    <row r="1808" spans="1:6" x14ac:dyDescent="0.3">
      <c r="A1808">
        <v>214196608</v>
      </c>
      <c r="B1808" s="1">
        <v>45038</v>
      </c>
      <c r="D1808">
        <v>39</v>
      </c>
      <c r="E1808" t="s">
        <v>6</v>
      </c>
      <c r="F1808" t="s">
        <v>7</v>
      </c>
    </row>
    <row r="1809" spans="1:6" x14ac:dyDescent="0.3">
      <c r="A1809">
        <v>125299295</v>
      </c>
      <c r="B1809" s="1">
        <v>45038</v>
      </c>
      <c r="C1809" s="1">
        <v>45096</v>
      </c>
      <c r="D1809">
        <v>39</v>
      </c>
      <c r="E1809" t="s">
        <v>6</v>
      </c>
      <c r="F1809" t="s">
        <v>7</v>
      </c>
    </row>
    <row r="1810" spans="1:6" x14ac:dyDescent="0.3">
      <c r="A1810">
        <v>214199386</v>
      </c>
      <c r="B1810" s="1">
        <v>45038</v>
      </c>
      <c r="C1810" s="1">
        <v>45053</v>
      </c>
      <c r="D1810">
        <v>39</v>
      </c>
      <c r="E1810" t="s">
        <v>6</v>
      </c>
      <c r="F1810" t="s">
        <v>7</v>
      </c>
    </row>
    <row r="1811" spans="1:6" x14ac:dyDescent="0.3">
      <c r="A1811">
        <v>214191851</v>
      </c>
      <c r="B1811" s="1">
        <v>45038</v>
      </c>
      <c r="C1811" s="1">
        <v>45058</v>
      </c>
      <c r="D1811">
        <v>39</v>
      </c>
      <c r="E1811" t="s">
        <v>6</v>
      </c>
      <c r="F1811" t="s">
        <v>7</v>
      </c>
    </row>
    <row r="1812" spans="1:6" x14ac:dyDescent="0.3">
      <c r="A1812">
        <v>214174478</v>
      </c>
      <c r="B1812" s="1">
        <v>45038</v>
      </c>
      <c r="C1812" s="1">
        <v>45068</v>
      </c>
      <c r="D1812">
        <v>39</v>
      </c>
      <c r="E1812" t="s">
        <v>6</v>
      </c>
      <c r="F1812" t="s">
        <v>7</v>
      </c>
    </row>
    <row r="1813" spans="1:6" x14ac:dyDescent="0.3">
      <c r="A1813">
        <v>214264465</v>
      </c>
      <c r="B1813" s="1">
        <v>45039</v>
      </c>
      <c r="D1813">
        <v>39</v>
      </c>
      <c r="E1813" t="s">
        <v>6</v>
      </c>
      <c r="F1813" t="s">
        <v>7</v>
      </c>
    </row>
    <row r="1814" spans="1:6" x14ac:dyDescent="0.3">
      <c r="A1814">
        <v>214261616</v>
      </c>
      <c r="B1814" s="1">
        <v>45039</v>
      </c>
      <c r="D1814">
        <v>39</v>
      </c>
      <c r="E1814" t="s">
        <v>6</v>
      </c>
      <c r="F1814" t="s">
        <v>7</v>
      </c>
    </row>
    <row r="1815" spans="1:6" x14ac:dyDescent="0.3">
      <c r="A1815">
        <v>214178644</v>
      </c>
      <c r="B1815" s="1">
        <v>45039</v>
      </c>
      <c r="D1815">
        <v>39</v>
      </c>
      <c r="E1815" t="s">
        <v>6</v>
      </c>
      <c r="F1815" t="s">
        <v>7</v>
      </c>
    </row>
    <row r="1816" spans="1:6" x14ac:dyDescent="0.3">
      <c r="A1816">
        <v>214202809</v>
      </c>
      <c r="B1816" s="1">
        <v>45039</v>
      </c>
      <c r="C1816" s="1">
        <v>45068</v>
      </c>
      <c r="D1816">
        <v>39</v>
      </c>
      <c r="E1816" t="s">
        <v>6</v>
      </c>
      <c r="F1816" t="s">
        <v>7</v>
      </c>
    </row>
    <row r="1817" spans="1:6" x14ac:dyDescent="0.3">
      <c r="A1817">
        <v>214220188</v>
      </c>
      <c r="B1817" s="1">
        <v>45040</v>
      </c>
      <c r="D1817">
        <v>39</v>
      </c>
      <c r="E1817" t="s">
        <v>6</v>
      </c>
      <c r="F1817" t="s">
        <v>7</v>
      </c>
    </row>
    <row r="1818" spans="1:6" x14ac:dyDescent="0.3">
      <c r="A1818">
        <v>212113435</v>
      </c>
      <c r="B1818" s="1">
        <v>45040</v>
      </c>
      <c r="D1818">
        <v>39</v>
      </c>
      <c r="E1818" t="s">
        <v>6</v>
      </c>
      <c r="F1818" t="s">
        <v>7</v>
      </c>
    </row>
    <row r="1819" spans="1:6" x14ac:dyDescent="0.3">
      <c r="A1819">
        <v>213431638</v>
      </c>
      <c r="B1819" s="1">
        <v>45040</v>
      </c>
      <c r="D1819">
        <v>39</v>
      </c>
      <c r="E1819" t="s">
        <v>6</v>
      </c>
      <c r="F1819" t="s">
        <v>7</v>
      </c>
    </row>
    <row r="1820" spans="1:6" x14ac:dyDescent="0.3">
      <c r="A1820">
        <v>214102994</v>
      </c>
      <c r="B1820" s="1">
        <v>45040</v>
      </c>
      <c r="D1820">
        <v>39</v>
      </c>
      <c r="E1820" t="s">
        <v>6</v>
      </c>
      <c r="F1820" t="s">
        <v>7</v>
      </c>
    </row>
    <row r="1821" spans="1:6" x14ac:dyDescent="0.3">
      <c r="A1821">
        <v>177266058</v>
      </c>
      <c r="B1821" s="1">
        <v>45040</v>
      </c>
      <c r="D1821">
        <v>39</v>
      </c>
      <c r="E1821" t="s">
        <v>6</v>
      </c>
      <c r="F1821" t="s">
        <v>7</v>
      </c>
    </row>
    <row r="1822" spans="1:6" x14ac:dyDescent="0.3">
      <c r="A1822">
        <v>116060198</v>
      </c>
      <c r="B1822" s="1">
        <v>45040</v>
      </c>
      <c r="D1822">
        <v>39</v>
      </c>
      <c r="E1822" t="s">
        <v>6</v>
      </c>
      <c r="F1822" t="s">
        <v>7</v>
      </c>
    </row>
    <row r="1823" spans="1:6" x14ac:dyDescent="0.3">
      <c r="A1823">
        <v>214312843</v>
      </c>
      <c r="B1823" s="1">
        <v>45040</v>
      </c>
      <c r="D1823">
        <v>39</v>
      </c>
      <c r="E1823" t="s">
        <v>6</v>
      </c>
      <c r="F1823" t="s">
        <v>7</v>
      </c>
    </row>
    <row r="1824" spans="1:6" x14ac:dyDescent="0.3">
      <c r="A1824">
        <v>156245288</v>
      </c>
      <c r="B1824" s="1">
        <v>45040</v>
      </c>
      <c r="C1824" s="1">
        <v>45057</v>
      </c>
      <c r="D1824">
        <v>39</v>
      </c>
      <c r="E1824" t="s">
        <v>6</v>
      </c>
      <c r="F1824" t="s">
        <v>7</v>
      </c>
    </row>
    <row r="1825" spans="1:6" x14ac:dyDescent="0.3">
      <c r="A1825">
        <v>148869972</v>
      </c>
      <c r="B1825" s="1">
        <v>45040</v>
      </c>
      <c r="C1825" s="1">
        <v>45056</v>
      </c>
      <c r="D1825">
        <v>39</v>
      </c>
      <c r="E1825" t="s">
        <v>6</v>
      </c>
      <c r="F1825" t="s">
        <v>7</v>
      </c>
    </row>
    <row r="1826" spans="1:6" x14ac:dyDescent="0.3">
      <c r="A1826">
        <v>156186115</v>
      </c>
      <c r="B1826" s="1">
        <v>45040</v>
      </c>
      <c r="C1826" s="1">
        <v>45063</v>
      </c>
      <c r="D1826">
        <v>39</v>
      </c>
      <c r="E1826" t="s">
        <v>6</v>
      </c>
      <c r="F1826" t="s">
        <v>7</v>
      </c>
    </row>
    <row r="1827" spans="1:6" x14ac:dyDescent="0.3">
      <c r="A1827">
        <v>207235755</v>
      </c>
      <c r="B1827" s="1">
        <v>45040</v>
      </c>
      <c r="C1827" s="1">
        <v>45068</v>
      </c>
      <c r="D1827">
        <v>39</v>
      </c>
      <c r="E1827" t="s">
        <v>6</v>
      </c>
      <c r="F1827" t="s">
        <v>7</v>
      </c>
    </row>
    <row r="1828" spans="1:6" x14ac:dyDescent="0.3">
      <c r="A1828">
        <v>169235213</v>
      </c>
      <c r="B1828" s="1">
        <v>45040</v>
      </c>
      <c r="C1828" s="1">
        <v>45077</v>
      </c>
      <c r="D1828">
        <v>39</v>
      </c>
      <c r="E1828" t="s">
        <v>6</v>
      </c>
      <c r="F1828" t="s">
        <v>7</v>
      </c>
    </row>
    <row r="1829" spans="1:6" x14ac:dyDescent="0.3">
      <c r="A1829">
        <v>213692152</v>
      </c>
      <c r="B1829" s="1">
        <v>45040</v>
      </c>
      <c r="C1829" s="1">
        <v>45071</v>
      </c>
      <c r="D1829">
        <v>39</v>
      </c>
      <c r="E1829" t="s">
        <v>6</v>
      </c>
      <c r="F1829" t="s">
        <v>7</v>
      </c>
    </row>
    <row r="1830" spans="1:6" x14ac:dyDescent="0.3">
      <c r="A1830">
        <v>214352003</v>
      </c>
      <c r="B1830" s="1">
        <v>45040</v>
      </c>
      <c r="C1830" s="1">
        <v>45161</v>
      </c>
      <c r="D1830">
        <v>39</v>
      </c>
      <c r="E1830" t="s">
        <v>6</v>
      </c>
      <c r="F1830" t="s">
        <v>7</v>
      </c>
    </row>
    <row r="1831" spans="1:6" x14ac:dyDescent="0.3">
      <c r="A1831">
        <v>139691790</v>
      </c>
      <c r="B1831" s="1">
        <v>45041</v>
      </c>
      <c r="C1831" s="1">
        <v>45102</v>
      </c>
      <c r="D1831">
        <v>39</v>
      </c>
      <c r="E1831" t="s">
        <v>6</v>
      </c>
      <c r="F1831" t="s">
        <v>7</v>
      </c>
    </row>
    <row r="1832" spans="1:6" x14ac:dyDescent="0.3">
      <c r="A1832">
        <v>210646453</v>
      </c>
      <c r="B1832" s="1">
        <v>45041</v>
      </c>
      <c r="C1832" s="1">
        <v>45101</v>
      </c>
      <c r="D1832">
        <v>39</v>
      </c>
      <c r="E1832" t="s">
        <v>6</v>
      </c>
      <c r="F1832" t="s">
        <v>7</v>
      </c>
    </row>
    <row r="1833" spans="1:6" x14ac:dyDescent="0.3">
      <c r="A1833">
        <v>206891005</v>
      </c>
      <c r="B1833" s="1">
        <v>45041</v>
      </c>
      <c r="C1833" s="1">
        <v>45063</v>
      </c>
      <c r="D1833">
        <v>39</v>
      </c>
      <c r="E1833" t="s">
        <v>6</v>
      </c>
      <c r="F1833" t="s">
        <v>7</v>
      </c>
    </row>
    <row r="1834" spans="1:6" x14ac:dyDescent="0.3">
      <c r="A1834">
        <v>212293354</v>
      </c>
      <c r="B1834" s="1">
        <v>45041</v>
      </c>
      <c r="C1834" s="1">
        <v>45041</v>
      </c>
      <c r="D1834">
        <v>39</v>
      </c>
      <c r="E1834" t="s">
        <v>6</v>
      </c>
      <c r="F1834" t="s">
        <v>7</v>
      </c>
    </row>
    <row r="1835" spans="1:6" x14ac:dyDescent="0.3">
      <c r="A1835">
        <v>214464069</v>
      </c>
      <c r="B1835" s="1">
        <v>45042</v>
      </c>
      <c r="D1835">
        <v>39</v>
      </c>
      <c r="E1835" t="s">
        <v>6</v>
      </c>
      <c r="F1835" t="s">
        <v>7</v>
      </c>
    </row>
    <row r="1836" spans="1:6" x14ac:dyDescent="0.3">
      <c r="A1836">
        <v>214446543</v>
      </c>
      <c r="B1836" s="1">
        <v>45042</v>
      </c>
      <c r="D1836">
        <v>39</v>
      </c>
      <c r="E1836" t="s">
        <v>6</v>
      </c>
      <c r="F1836" t="s">
        <v>7</v>
      </c>
    </row>
    <row r="1837" spans="1:6" x14ac:dyDescent="0.3">
      <c r="A1837">
        <v>212376935</v>
      </c>
      <c r="B1837" s="1">
        <v>45042</v>
      </c>
      <c r="C1837" s="1">
        <v>45089</v>
      </c>
      <c r="D1837">
        <v>39</v>
      </c>
      <c r="E1837" t="s">
        <v>6</v>
      </c>
      <c r="F1837" t="s">
        <v>7</v>
      </c>
    </row>
    <row r="1838" spans="1:6" x14ac:dyDescent="0.3">
      <c r="A1838">
        <v>173118928</v>
      </c>
      <c r="B1838" s="1">
        <v>45042</v>
      </c>
      <c r="C1838" s="1">
        <v>45079</v>
      </c>
      <c r="D1838">
        <v>39</v>
      </c>
      <c r="E1838" t="s">
        <v>6</v>
      </c>
      <c r="F1838" t="s">
        <v>7</v>
      </c>
    </row>
    <row r="1839" spans="1:6" x14ac:dyDescent="0.3">
      <c r="A1839">
        <v>214410106</v>
      </c>
      <c r="B1839" s="1">
        <v>45042</v>
      </c>
      <c r="C1839" s="1">
        <v>45063</v>
      </c>
      <c r="D1839">
        <v>39</v>
      </c>
      <c r="E1839" t="s">
        <v>6</v>
      </c>
      <c r="F1839" t="s">
        <v>7</v>
      </c>
    </row>
    <row r="1840" spans="1:6" x14ac:dyDescent="0.3">
      <c r="A1840">
        <v>214093520</v>
      </c>
      <c r="B1840" s="1">
        <v>45042</v>
      </c>
      <c r="C1840" s="1">
        <v>45070</v>
      </c>
      <c r="D1840">
        <v>39</v>
      </c>
      <c r="E1840" t="s">
        <v>6</v>
      </c>
      <c r="F1840" t="s">
        <v>7</v>
      </c>
    </row>
    <row r="1841" spans="1:6" x14ac:dyDescent="0.3">
      <c r="A1841">
        <v>214441521</v>
      </c>
      <c r="B1841" s="1">
        <v>45042</v>
      </c>
      <c r="C1841" s="1">
        <v>45070</v>
      </c>
      <c r="D1841">
        <v>39</v>
      </c>
      <c r="E1841" t="s">
        <v>6</v>
      </c>
      <c r="F1841" t="s">
        <v>7</v>
      </c>
    </row>
    <row r="1842" spans="1:6" x14ac:dyDescent="0.3">
      <c r="A1842">
        <v>214519787</v>
      </c>
      <c r="B1842" s="1">
        <v>45043</v>
      </c>
      <c r="D1842">
        <v>39</v>
      </c>
      <c r="E1842" t="s">
        <v>6</v>
      </c>
      <c r="F1842" t="s">
        <v>7</v>
      </c>
    </row>
    <row r="1843" spans="1:6" x14ac:dyDescent="0.3">
      <c r="A1843">
        <v>213177724</v>
      </c>
      <c r="B1843" s="1">
        <v>45043</v>
      </c>
      <c r="D1843">
        <v>39</v>
      </c>
      <c r="E1843" t="s">
        <v>6</v>
      </c>
      <c r="F1843" t="s">
        <v>7</v>
      </c>
    </row>
    <row r="1844" spans="1:6" x14ac:dyDescent="0.3">
      <c r="A1844">
        <v>213421956</v>
      </c>
      <c r="B1844" s="1">
        <v>45043</v>
      </c>
      <c r="C1844" s="1">
        <v>45044</v>
      </c>
      <c r="D1844">
        <v>39</v>
      </c>
      <c r="E1844" t="s">
        <v>6</v>
      </c>
      <c r="F1844" t="s">
        <v>8</v>
      </c>
    </row>
    <row r="1845" spans="1:6" x14ac:dyDescent="0.3">
      <c r="A1845">
        <v>151094649</v>
      </c>
      <c r="B1845" s="1">
        <v>45043</v>
      </c>
      <c r="C1845" s="1">
        <v>45073</v>
      </c>
      <c r="D1845">
        <v>39</v>
      </c>
      <c r="E1845" t="s">
        <v>6</v>
      </c>
      <c r="F1845" t="s">
        <v>7</v>
      </c>
    </row>
    <row r="1846" spans="1:6" x14ac:dyDescent="0.3">
      <c r="A1846">
        <v>160056180</v>
      </c>
      <c r="B1846" s="1">
        <v>45043</v>
      </c>
      <c r="C1846" s="1">
        <v>45074</v>
      </c>
      <c r="D1846">
        <v>39</v>
      </c>
      <c r="E1846" t="s">
        <v>6</v>
      </c>
      <c r="F1846" t="s">
        <v>7</v>
      </c>
    </row>
    <row r="1847" spans="1:6" x14ac:dyDescent="0.3">
      <c r="A1847">
        <v>166480898</v>
      </c>
      <c r="B1847" s="1">
        <v>45043</v>
      </c>
      <c r="C1847" s="1">
        <v>45071</v>
      </c>
      <c r="D1847">
        <v>39</v>
      </c>
      <c r="E1847" t="s">
        <v>6</v>
      </c>
      <c r="F1847" t="s">
        <v>7</v>
      </c>
    </row>
    <row r="1848" spans="1:6" x14ac:dyDescent="0.3">
      <c r="A1848">
        <v>182085396</v>
      </c>
      <c r="B1848" s="1">
        <v>45043</v>
      </c>
      <c r="C1848" s="1">
        <v>45080</v>
      </c>
      <c r="D1848">
        <v>39</v>
      </c>
      <c r="E1848" t="s">
        <v>6</v>
      </c>
      <c r="F1848" t="s">
        <v>7</v>
      </c>
    </row>
    <row r="1849" spans="1:6" x14ac:dyDescent="0.3">
      <c r="A1849">
        <v>214519010</v>
      </c>
      <c r="B1849" s="1">
        <v>45043</v>
      </c>
      <c r="C1849" s="1">
        <v>45074</v>
      </c>
      <c r="D1849">
        <v>39</v>
      </c>
      <c r="E1849" t="s">
        <v>6</v>
      </c>
      <c r="F1849" t="s">
        <v>7</v>
      </c>
    </row>
    <row r="1850" spans="1:6" x14ac:dyDescent="0.3">
      <c r="A1850">
        <v>148657735</v>
      </c>
      <c r="B1850" s="1">
        <v>45043</v>
      </c>
      <c r="C1850" s="1">
        <v>45072</v>
      </c>
      <c r="D1850">
        <v>39</v>
      </c>
      <c r="E1850" t="s">
        <v>6</v>
      </c>
      <c r="F1850" t="s">
        <v>7</v>
      </c>
    </row>
    <row r="1851" spans="1:6" x14ac:dyDescent="0.3">
      <c r="A1851">
        <v>214555461</v>
      </c>
      <c r="B1851" s="1">
        <v>45044</v>
      </c>
      <c r="D1851">
        <v>39</v>
      </c>
      <c r="E1851" t="s">
        <v>6</v>
      </c>
      <c r="F1851" t="s">
        <v>7</v>
      </c>
    </row>
    <row r="1852" spans="1:6" x14ac:dyDescent="0.3">
      <c r="A1852">
        <v>148042512</v>
      </c>
      <c r="B1852" s="1">
        <v>45044</v>
      </c>
      <c r="D1852">
        <v>39</v>
      </c>
      <c r="E1852" t="s">
        <v>6</v>
      </c>
      <c r="F1852" t="s">
        <v>7</v>
      </c>
    </row>
    <row r="1853" spans="1:6" x14ac:dyDescent="0.3">
      <c r="A1853">
        <v>214534717</v>
      </c>
      <c r="B1853" s="1">
        <v>45044</v>
      </c>
      <c r="D1853">
        <v>39</v>
      </c>
      <c r="E1853" t="s">
        <v>6</v>
      </c>
      <c r="F1853" t="s">
        <v>7</v>
      </c>
    </row>
    <row r="1854" spans="1:6" x14ac:dyDescent="0.3">
      <c r="A1854">
        <v>211223610</v>
      </c>
      <c r="B1854" s="1">
        <v>45044</v>
      </c>
      <c r="C1854" s="1">
        <v>45112</v>
      </c>
      <c r="D1854">
        <v>39</v>
      </c>
      <c r="E1854" t="s">
        <v>6</v>
      </c>
      <c r="F1854" t="s">
        <v>7</v>
      </c>
    </row>
    <row r="1855" spans="1:6" x14ac:dyDescent="0.3">
      <c r="A1855">
        <v>214444866</v>
      </c>
      <c r="B1855" s="1">
        <v>45044</v>
      </c>
      <c r="C1855" s="1">
        <v>45105</v>
      </c>
      <c r="D1855">
        <v>39</v>
      </c>
      <c r="E1855" t="s">
        <v>6</v>
      </c>
      <c r="F1855" t="s">
        <v>7</v>
      </c>
    </row>
    <row r="1856" spans="1:6" x14ac:dyDescent="0.3">
      <c r="A1856">
        <v>206477826</v>
      </c>
      <c r="B1856" s="1">
        <v>45044</v>
      </c>
      <c r="C1856" s="1">
        <v>45081</v>
      </c>
      <c r="D1856">
        <v>39</v>
      </c>
      <c r="E1856" t="s">
        <v>6</v>
      </c>
      <c r="F1856" t="s">
        <v>7</v>
      </c>
    </row>
    <row r="1857" spans="1:6" x14ac:dyDescent="0.3">
      <c r="A1857">
        <v>214589440</v>
      </c>
      <c r="B1857" s="1">
        <v>45044</v>
      </c>
      <c r="C1857" s="1">
        <v>45074</v>
      </c>
      <c r="D1857">
        <v>39</v>
      </c>
      <c r="E1857" t="s">
        <v>6</v>
      </c>
      <c r="F1857" t="s">
        <v>7</v>
      </c>
    </row>
    <row r="1858" spans="1:6" x14ac:dyDescent="0.3">
      <c r="A1858">
        <v>214516527</v>
      </c>
      <c r="B1858" s="1">
        <v>45044</v>
      </c>
      <c r="C1858" s="1">
        <v>45075</v>
      </c>
      <c r="D1858">
        <v>39</v>
      </c>
      <c r="E1858" t="s">
        <v>6</v>
      </c>
      <c r="F1858" t="s">
        <v>7</v>
      </c>
    </row>
    <row r="1859" spans="1:6" x14ac:dyDescent="0.3">
      <c r="A1859">
        <v>158980862</v>
      </c>
      <c r="B1859" s="1">
        <v>45044</v>
      </c>
      <c r="C1859" s="1">
        <v>45063</v>
      </c>
      <c r="D1859">
        <v>39</v>
      </c>
      <c r="E1859" t="s">
        <v>6</v>
      </c>
      <c r="F1859" t="s">
        <v>7</v>
      </c>
    </row>
    <row r="1860" spans="1:6" x14ac:dyDescent="0.3">
      <c r="A1860">
        <v>144769275</v>
      </c>
      <c r="B1860" s="1">
        <v>45044</v>
      </c>
      <c r="C1860" s="1">
        <v>45044</v>
      </c>
      <c r="D1860">
        <v>39</v>
      </c>
      <c r="E1860" t="s">
        <v>6</v>
      </c>
      <c r="F1860" t="s">
        <v>7</v>
      </c>
    </row>
    <row r="1861" spans="1:6" x14ac:dyDescent="0.3">
      <c r="A1861">
        <v>214508205</v>
      </c>
      <c r="B1861" s="1">
        <v>45044</v>
      </c>
      <c r="C1861" s="1">
        <v>45111</v>
      </c>
      <c r="D1861">
        <v>39</v>
      </c>
      <c r="E1861" t="s">
        <v>6</v>
      </c>
      <c r="F1861" t="s">
        <v>7</v>
      </c>
    </row>
    <row r="1862" spans="1:6" x14ac:dyDescent="0.3">
      <c r="A1862">
        <v>156178486</v>
      </c>
      <c r="B1862" s="1">
        <v>45045</v>
      </c>
      <c r="D1862">
        <v>39</v>
      </c>
      <c r="E1862" t="s">
        <v>6</v>
      </c>
      <c r="F1862" t="s">
        <v>7</v>
      </c>
    </row>
    <row r="1863" spans="1:6" x14ac:dyDescent="0.3">
      <c r="A1863">
        <v>214584458</v>
      </c>
      <c r="B1863" s="1">
        <v>45045</v>
      </c>
      <c r="C1863" s="1">
        <v>45127</v>
      </c>
      <c r="D1863">
        <v>39</v>
      </c>
      <c r="E1863" t="s">
        <v>6</v>
      </c>
      <c r="F1863" t="s">
        <v>7</v>
      </c>
    </row>
    <row r="1864" spans="1:6" x14ac:dyDescent="0.3">
      <c r="A1864">
        <v>181935574</v>
      </c>
      <c r="B1864" s="1">
        <v>45046</v>
      </c>
      <c r="D1864">
        <v>39</v>
      </c>
      <c r="E1864" t="s">
        <v>6</v>
      </c>
      <c r="F1864" t="s">
        <v>7</v>
      </c>
    </row>
    <row r="1865" spans="1:6" x14ac:dyDescent="0.3">
      <c r="A1865">
        <v>153006404</v>
      </c>
      <c r="B1865" s="1">
        <v>45046</v>
      </c>
      <c r="C1865" s="1">
        <v>45066</v>
      </c>
      <c r="D1865">
        <v>39</v>
      </c>
      <c r="E1865" t="s">
        <v>6</v>
      </c>
      <c r="F1865" t="s">
        <v>7</v>
      </c>
    </row>
    <row r="1866" spans="1:6" x14ac:dyDescent="0.3">
      <c r="A1866">
        <v>214423891</v>
      </c>
      <c r="B1866" s="1">
        <v>45046</v>
      </c>
      <c r="C1866" s="1">
        <v>45079</v>
      </c>
      <c r="D1866">
        <v>39</v>
      </c>
      <c r="E1866" t="s">
        <v>6</v>
      </c>
      <c r="F1866" t="s">
        <v>7</v>
      </c>
    </row>
    <row r="1867" spans="1:6" x14ac:dyDescent="0.3">
      <c r="A1867">
        <v>214510838</v>
      </c>
      <c r="B1867" s="1">
        <v>45046</v>
      </c>
      <c r="C1867" s="1">
        <v>45083</v>
      </c>
      <c r="D1867">
        <v>39</v>
      </c>
      <c r="E1867" t="s">
        <v>6</v>
      </c>
      <c r="F1867" t="s">
        <v>7</v>
      </c>
    </row>
    <row r="1868" spans="1:6" x14ac:dyDescent="0.3">
      <c r="A1868">
        <v>211383216</v>
      </c>
      <c r="B1868" s="1">
        <v>45046</v>
      </c>
      <c r="C1868" s="1">
        <v>45048</v>
      </c>
      <c r="D1868">
        <v>39</v>
      </c>
      <c r="E1868" t="s">
        <v>6</v>
      </c>
      <c r="F1868" t="s">
        <v>7</v>
      </c>
    </row>
    <row r="1869" spans="1:6" x14ac:dyDescent="0.3">
      <c r="A1869">
        <v>214641741</v>
      </c>
      <c r="B1869" s="1">
        <v>45046</v>
      </c>
      <c r="C1869" s="1">
        <v>45047</v>
      </c>
      <c r="D1869">
        <v>39</v>
      </c>
      <c r="E1869" t="s">
        <v>6</v>
      </c>
      <c r="F1869" t="s">
        <v>7</v>
      </c>
    </row>
    <row r="1870" spans="1:6" x14ac:dyDescent="0.3">
      <c r="A1870">
        <v>214643362</v>
      </c>
      <c r="B1870" s="1">
        <v>45046</v>
      </c>
      <c r="C1870" s="1">
        <v>45107</v>
      </c>
      <c r="D1870">
        <v>39</v>
      </c>
      <c r="E1870" t="s">
        <v>6</v>
      </c>
      <c r="F1870" t="s">
        <v>7</v>
      </c>
    </row>
    <row r="1871" spans="1:6" x14ac:dyDescent="0.3">
      <c r="A1871">
        <v>214419772</v>
      </c>
      <c r="B1871" s="1">
        <v>45047</v>
      </c>
      <c r="D1871">
        <v>39</v>
      </c>
      <c r="E1871" t="s">
        <v>6</v>
      </c>
      <c r="F1871" t="s">
        <v>7</v>
      </c>
    </row>
    <row r="1872" spans="1:6" x14ac:dyDescent="0.3">
      <c r="A1872">
        <v>213227787</v>
      </c>
      <c r="B1872" s="1">
        <v>45047</v>
      </c>
      <c r="D1872">
        <v>39</v>
      </c>
      <c r="E1872" t="s">
        <v>6</v>
      </c>
      <c r="F1872" t="s">
        <v>7</v>
      </c>
    </row>
    <row r="1873" spans="1:6" x14ac:dyDescent="0.3">
      <c r="A1873">
        <v>214666572</v>
      </c>
      <c r="B1873" s="1">
        <v>45047</v>
      </c>
      <c r="D1873">
        <v>39</v>
      </c>
      <c r="E1873" t="s">
        <v>6</v>
      </c>
      <c r="F1873" t="s">
        <v>7</v>
      </c>
    </row>
    <row r="1874" spans="1:6" x14ac:dyDescent="0.3">
      <c r="A1874">
        <v>126780716</v>
      </c>
      <c r="B1874" s="1">
        <v>45047</v>
      </c>
      <c r="C1874" s="1">
        <v>45078</v>
      </c>
      <c r="D1874">
        <v>39</v>
      </c>
      <c r="E1874" t="s">
        <v>6</v>
      </c>
      <c r="F1874" t="s">
        <v>7</v>
      </c>
    </row>
    <row r="1875" spans="1:6" x14ac:dyDescent="0.3">
      <c r="A1875">
        <v>214682826</v>
      </c>
      <c r="B1875" s="1">
        <v>45047</v>
      </c>
      <c r="C1875" s="1">
        <v>45078</v>
      </c>
      <c r="D1875">
        <v>39</v>
      </c>
      <c r="E1875" t="s">
        <v>6</v>
      </c>
      <c r="F1875" t="s">
        <v>7</v>
      </c>
    </row>
    <row r="1876" spans="1:6" x14ac:dyDescent="0.3">
      <c r="A1876">
        <v>212392663</v>
      </c>
      <c r="B1876" s="1">
        <v>45047</v>
      </c>
      <c r="C1876" s="1">
        <v>45070</v>
      </c>
      <c r="D1876">
        <v>39</v>
      </c>
      <c r="E1876" t="s">
        <v>6</v>
      </c>
      <c r="F1876" t="s">
        <v>7</v>
      </c>
    </row>
    <row r="1877" spans="1:6" x14ac:dyDescent="0.3">
      <c r="A1877">
        <v>147118133</v>
      </c>
      <c r="B1877" s="1">
        <v>45047</v>
      </c>
      <c r="C1877" s="1">
        <v>45146</v>
      </c>
      <c r="D1877">
        <v>39</v>
      </c>
      <c r="E1877" t="s">
        <v>6</v>
      </c>
      <c r="F1877" t="s">
        <v>7</v>
      </c>
    </row>
    <row r="1878" spans="1:6" x14ac:dyDescent="0.3">
      <c r="A1878">
        <v>157031617</v>
      </c>
      <c r="B1878" s="1">
        <v>45048</v>
      </c>
      <c r="D1878">
        <v>39</v>
      </c>
      <c r="E1878" t="s">
        <v>6</v>
      </c>
      <c r="F1878" t="s">
        <v>7</v>
      </c>
    </row>
    <row r="1879" spans="1:6" x14ac:dyDescent="0.3">
      <c r="A1879">
        <v>211958379</v>
      </c>
      <c r="B1879" s="1">
        <v>45048</v>
      </c>
      <c r="D1879">
        <v>39</v>
      </c>
      <c r="E1879" t="s">
        <v>6</v>
      </c>
      <c r="F1879" t="s">
        <v>7</v>
      </c>
    </row>
    <row r="1880" spans="1:6" x14ac:dyDescent="0.3">
      <c r="A1880">
        <v>152310842</v>
      </c>
      <c r="B1880" s="1">
        <v>45048</v>
      </c>
      <c r="D1880">
        <v>39</v>
      </c>
      <c r="E1880" t="s">
        <v>6</v>
      </c>
      <c r="F1880" t="s">
        <v>7</v>
      </c>
    </row>
    <row r="1881" spans="1:6" x14ac:dyDescent="0.3">
      <c r="A1881">
        <v>214711907</v>
      </c>
      <c r="B1881" s="1">
        <v>45048</v>
      </c>
      <c r="D1881">
        <v>39</v>
      </c>
      <c r="E1881" t="s">
        <v>6</v>
      </c>
      <c r="F1881" t="s">
        <v>7</v>
      </c>
    </row>
    <row r="1882" spans="1:6" x14ac:dyDescent="0.3">
      <c r="A1882">
        <v>150342446</v>
      </c>
      <c r="B1882" s="1">
        <v>45048</v>
      </c>
      <c r="C1882" s="1">
        <v>45049</v>
      </c>
      <c r="D1882">
        <v>39</v>
      </c>
      <c r="E1882" t="s">
        <v>6</v>
      </c>
      <c r="F1882" t="s">
        <v>7</v>
      </c>
    </row>
    <row r="1883" spans="1:6" x14ac:dyDescent="0.3">
      <c r="A1883">
        <v>214741130</v>
      </c>
      <c r="B1883" s="1">
        <v>45048</v>
      </c>
      <c r="C1883" s="1">
        <v>45116</v>
      </c>
      <c r="D1883">
        <v>39</v>
      </c>
      <c r="E1883" t="s">
        <v>6</v>
      </c>
      <c r="F1883" t="s">
        <v>7</v>
      </c>
    </row>
    <row r="1884" spans="1:6" x14ac:dyDescent="0.3">
      <c r="A1884">
        <v>214734037</v>
      </c>
      <c r="B1884" s="1">
        <v>45048</v>
      </c>
      <c r="C1884" s="1">
        <v>45096</v>
      </c>
      <c r="D1884">
        <v>39</v>
      </c>
      <c r="E1884" t="s">
        <v>6</v>
      </c>
      <c r="F1884" t="s">
        <v>7</v>
      </c>
    </row>
    <row r="1885" spans="1:6" x14ac:dyDescent="0.3">
      <c r="A1885">
        <v>214500293</v>
      </c>
      <c r="B1885" s="1">
        <v>45048</v>
      </c>
      <c r="C1885" s="1">
        <v>45083</v>
      </c>
      <c r="D1885">
        <v>39</v>
      </c>
      <c r="E1885" t="s">
        <v>6</v>
      </c>
      <c r="F1885" t="s">
        <v>7</v>
      </c>
    </row>
    <row r="1886" spans="1:6" x14ac:dyDescent="0.3">
      <c r="A1886">
        <v>214587827</v>
      </c>
      <c r="B1886" s="1">
        <v>45048</v>
      </c>
      <c r="C1886" s="1">
        <v>45139</v>
      </c>
      <c r="D1886">
        <v>39</v>
      </c>
      <c r="E1886" t="s">
        <v>6</v>
      </c>
      <c r="F1886" t="s">
        <v>7</v>
      </c>
    </row>
    <row r="1887" spans="1:6" x14ac:dyDescent="0.3">
      <c r="A1887">
        <v>214739055</v>
      </c>
      <c r="B1887" s="1">
        <v>45048</v>
      </c>
      <c r="C1887" s="1">
        <v>45147</v>
      </c>
      <c r="D1887">
        <v>39</v>
      </c>
      <c r="E1887" t="s">
        <v>6</v>
      </c>
      <c r="F1887" t="s">
        <v>7</v>
      </c>
    </row>
    <row r="1888" spans="1:6" x14ac:dyDescent="0.3">
      <c r="A1888">
        <v>163103693</v>
      </c>
      <c r="B1888" s="1">
        <v>45048</v>
      </c>
      <c r="C1888" s="1">
        <v>45160</v>
      </c>
      <c r="D1888">
        <v>39</v>
      </c>
      <c r="E1888" t="s">
        <v>6</v>
      </c>
      <c r="F1888" t="s">
        <v>7</v>
      </c>
    </row>
    <row r="1889" spans="1:6" x14ac:dyDescent="0.3">
      <c r="A1889">
        <v>214483378</v>
      </c>
      <c r="B1889" s="1">
        <v>45049</v>
      </c>
      <c r="D1889">
        <v>39</v>
      </c>
      <c r="E1889" t="s">
        <v>6</v>
      </c>
      <c r="F1889" t="s">
        <v>7</v>
      </c>
    </row>
    <row r="1890" spans="1:6" x14ac:dyDescent="0.3">
      <c r="A1890">
        <v>157883110</v>
      </c>
      <c r="B1890" s="1">
        <v>45049</v>
      </c>
      <c r="D1890">
        <v>39</v>
      </c>
      <c r="E1890" t="s">
        <v>6</v>
      </c>
      <c r="F1890" t="s">
        <v>7</v>
      </c>
    </row>
    <row r="1891" spans="1:6" x14ac:dyDescent="0.3">
      <c r="A1891">
        <v>132424181</v>
      </c>
      <c r="B1891" s="1">
        <v>45049</v>
      </c>
      <c r="C1891" s="1">
        <v>45122</v>
      </c>
      <c r="D1891">
        <v>39</v>
      </c>
      <c r="E1891" t="s">
        <v>6</v>
      </c>
      <c r="F1891" t="s">
        <v>7</v>
      </c>
    </row>
    <row r="1892" spans="1:6" x14ac:dyDescent="0.3">
      <c r="A1892">
        <v>214805206</v>
      </c>
      <c r="B1892" s="1">
        <v>45049</v>
      </c>
      <c r="C1892" s="1">
        <v>45097</v>
      </c>
      <c r="D1892">
        <v>39</v>
      </c>
      <c r="E1892" t="s">
        <v>6</v>
      </c>
      <c r="F1892" t="s">
        <v>7</v>
      </c>
    </row>
    <row r="1893" spans="1:6" x14ac:dyDescent="0.3">
      <c r="A1893">
        <v>214641940</v>
      </c>
      <c r="B1893" s="1">
        <v>45049</v>
      </c>
      <c r="C1893" s="1">
        <v>45087</v>
      </c>
      <c r="D1893">
        <v>39</v>
      </c>
      <c r="E1893" t="s">
        <v>6</v>
      </c>
      <c r="F1893" t="s">
        <v>7</v>
      </c>
    </row>
    <row r="1894" spans="1:6" x14ac:dyDescent="0.3">
      <c r="A1894">
        <v>206112289</v>
      </c>
      <c r="B1894" s="1">
        <v>45049</v>
      </c>
      <c r="C1894" s="1">
        <v>45089</v>
      </c>
      <c r="D1894">
        <v>39</v>
      </c>
      <c r="E1894" t="s">
        <v>6</v>
      </c>
      <c r="F1894" t="s">
        <v>7</v>
      </c>
    </row>
    <row r="1895" spans="1:6" x14ac:dyDescent="0.3">
      <c r="A1895">
        <v>214781323</v>
      </c>
      <c r="B1895" s="1">
        <v>45049</v>
      </c>
      <c r="C1895" s="1">
        <v>45070</v>
      </c>
      <c r="D1895">
        <v>39</v>
      </c>
      <c r="E1895" t="s">
        <v>6</v>
      </c>
      <c r="F1895" t="s">
        <v>7</v>
      </c>
    </row>
    <row r="1896" spans="1:6" x14ac:dyDescent="0.3">
      <c r="A1896">
        <v>214767936</v>
      </c>
      <c r="B1896" s="1">
        <v>45049</v>
      </c>
      <c r="C1896" s="1">
        <v>45049</v>
      </c>
      <c r="D1896">
        <v>39</v>
      </c>
      <c r="E1896" t="s">
        <v>6</v>
      </c>
      <c r="F1896" t="s">
        <v>7</v>
      </c>
    </row>
    <row r="1897" spans="1:6" x14ac:dyDescent="0.3">
      <c r="A1897">
        <v>182023209</v>
      </c>
      <c r="B1897" s="1">
        <v>45049</v>
      </c>
      <c r="C1897" s="1">
        <v>45060</v>
      </c>
      <c r="D1897">
        <v>39</v>
      </c>
      <c r="E1897" t="s">
        <v>6</v>
      </c>
      <c r="F1897" t="s">
        <v>7</v>
      </c>
    </row>
    <row r="1898" spans="1:6" x14ac:dyDescent="0.3">
      <c r="A1898">
        <v>148513036</v>
      </c>
      <c r="B1898" s="1">
        <v>45050</v>
      </c>
      <c r="D1898">
        <v>39</v>
      </c>
      <c r="E1898" t="s">
        <v>6</v>
      </c>
      <c r="F1898" t="s">
        <v>7</v>
      </c>
    </row>
    <row r="1899" spans="1:6" x14ac:dyDescent="0.3">
      <c r="A1899">
        <v>157910445</v>
      </c>
      <c r="B1899" s="1">
        <v>45050</v>
      </c>
      <c r="D1899">
        <v>39</v>
      </c>
      <c r="E1899" t="s">
        <v>6</v>
      </c>
      <c r="F1899" t="s">
        <v>7</v>
      </c>
    </row>
    <row r="1900" spans="1:6" x14ac:dyDescent="0.3">
      <c r="A1900">
        <v>213810773</v>
      </c>
      <c r="B1900" s="1">
        <v>45050</v>
      </c>
      <c r="C1900" s="1">
        <v>45174</v>
      </c>
      <c r="D1900">
        <v>39</v>
      </c>
      <c r="E1900" t="s">
        <v>6</v>
      </c>
      <c r="F1900" t="s">
        <v>7</v>
      </c>
    </row>
    <row r="1901" spans="1:6" x14ac:dyDescent="0.3">
      <c r="A1901">
        <v>154820233</v>
      </c>
      <c r="B1901" s="1">
        <v>45050</v>
      </c>
      <c r="C1901" s="1">
        <v>45112</v>
      </c>
      <c r="D1901">
        <v>39</v>
      </c>
      <c r="E1901" t="s">
        <v>6</v>
      </c>
      <c r="F1901" t="s">
        <v>7</v>
      </c>
    </row>
    <row r="1902" spans="1:6" x14ac:dyDescent="0.3">
      <c r="A1902">
        <v>214248197</v>
      </c>
      <c r="B1902" s="1">
        <v>45050</v>
      </c>
      <c r="C1902" s="1">
        <v>45079</v>
      </c>
      <c r="D1902">
        <v>39</v>
      </c>
      <c r="E1902" t="s">
        <v>6</v>
      </c>
      <c r="F1902" t="s">
        <v>7</v>
      </c>
    </row>
    <row r="1903" spans="1:6" x14ac:dyDescent="0.3">
      <c r="A1903">
        <v>214818730</v>
      </c>
      <c r="B1903" s="1">
        <v>45050</v>
      </c>
      <c r="C1903" s="1">
        <v>45078</v>
      </c>
      <c r="D1903">
        <v>39</v>
      </c>
      <c r="E1903" t="s">
        <v>6</v>
      </c>
      <c r="F1903" t="s">
        <v>7</v>
      </c>
    </row>
    <row r="1904" spans="1:6" x14ac:dyDescent="0.3">
      <c r="A1904">
        <v>186667733</v>
      </c>
      <c r="B1904" s="1">
        <v>45050</v>
      </c>
      <c r="C1904" s="1">
        <v>45078</v>
      </c>
      <c r="D1904">
        <v>39</v>
      </c>
      <c r="E1904" t="s">
        <v>6</v>
      </c>
      <c r="F1904" t="s">
        <v>7</v>
      </c>
    </row>
    <row r="1905" spans="1:6" x14ac:dyDescent="0.3">
      <c r="A1905">
        <v>214901781</v>
      </c>
      <c r="B1905" s="1">
        <v>45051</v>
      </c>
      <c r="D1905">
        <v>39</v>
      </c>
      <c r="E1905" t="s">
        <v>6</v>
      </c>
      <c r="F1905" t="s">
        <v>7</v>
      </c>
    </row>
    <row r="1906" spans="1:6" x14ac:dyDescent="0.3">
      <c r="A1906">
        <v>214884589</v>
      </c>
      <c r="B1906" s="1">
        <v>45051</v>
      </c>
      <c r="D1906">
        <v>39</v>
      </c>
      <c r="E1906" t="s">
        <v>6</v>
      </c>
      <c r="F1906" t="s">
        <v>7</v>
      </c>
    </row>
    <row r="1907" spans="1:6" x14ac:dyDescent="0.3">
      <c r="A1907">
        <v>210344586</v>
      </c>
      <c r="B1907" s="1">
        <v>45051</v>
      </c>
      <c r="D1907">
        <v>39</v>
      </c>
      <c r="E1907" t="s">
        <v>6</v>
      </c>
      <c r="F1907" t="s">
        <v>7</v>
      </c>
    </row>
    <row r="1908" spans="1:6" x14ac:dyDescent="0.3">
      <c r="A1908">
        <v>214813191</v>
      </c>
      <c r="B1908" s="1">
        <v>45051</v>
      </c>
      <c r="D1908">
        <v>39</v>
      </c>
      <c r="E1908" t="s">
        <v>6</v>
      </c>
      <c r="F1908" t="s">
        <v>7</v>
      </c>
    </row>
    <row r="1909" spans="1:6" x14ac:dyDescent="0.3">
      <c r="A1909">
        <v>214880602</v>
      </c>
      <c r="B1909" s="1">
        <v>45051</v>
      </c>
      <c r="D1909">
        <v>39</v>
      </c>
      <c r="E1909" t="s">
        <v>6</v>
      </c>
      <c r="F1909" t="s">
        <v>7</v>
      </c>
    </row>
    <row r="1910" spans="1:6" x14ac:dyDescent="0.3">
      <c r="A1910">
        <v>186140999</v>
      </c>
      <c r="B1910" s="1">
        <v>45051</v>
      </c>
      <c r="C1910" s="1">
        <v>45080</v>
      </c>
      <c r="D1910">
        <v>39</v>
      </c>
      <c r="E1910" t="s">
        <v>6</v>
      </c>
      <c r="F1910" t="s">
        <v>7</v>
      </c>
    </row>
    <row r="1911" spans="1:6" x14ac:dyDescent="0.3">
      <c r="A1911">
        <v>214860336</v>
      </c>
      <c r="B1911" s="1">
        <v>45051</v>
      </c>
      <c r="C1911" s="1">
        <v>45110</v>
      </c>
      <c r="D1911">
        <v>39</v>
      </c>
      <c r="E1911" t="s">
        <v>6</v>
      </c>
      <c r="F1911" t="s">
        <v>7</v>
      </c>
    </row>
    <row r="1912" spans="1:6" x14ac:dyDescent="0.3">
      <c r="A1912">
        <v>138725699</v>
      </c>
      <c r="B1912" s="1">
        <v>45051</v>
      </c>
      <c r="C1912" s="1">
        <v>45089</v>
      </c>
      <c r="D1912">
        <v>39</v>
      </c>
      <c r="E1912" t="s">
        <v>6</v>
      </c>
      <c r="F1912" t="s">
        <v>7</v>
      </c>
    </row>
    <row r="1913" spans="1:6" x14ac:dyDescent="0.3">
      <c r="A1913">
        <v>132315255</v>
      </c>
      <c r="B1913" s="1">
        <v>45051</v>
      </c>
      <c r="C1913" s="1">
        <v>45051</v>
      </c>
      <c r="D1913">
        <v>39</v>
      </c>
      <c r="E1913" t="s">
        <v>6</v>
      </c>
      <c r="F1913" t="s">
        <v>7</v>
      </c>
    </row>
    <row r="1914" spans="1:6" x14ac:dyDescent="0.3">
      <c r="A1914">
        <v>208202304</v>
      </c>
      <c r="B1914" s="1">
        <v>45051</v>
      </c>
      <c r="C1914" s="1">
        <v>45051</v>
      </c>
      <c r="D1914">
        <v>39</v>
      </c>
      <c r="E1914" t="s">
        <v>6</v>
      </c>
      <c r="F1914" t="s">
        <v>7</v>
      </c>
    </row>
    <row r="1915" spans="1:6" x14ac:dyDescent="0.3">
      <c r="A1915">
        <v>214869362</v>
      </c>
      <c r="B1915" s="1">
        <v>45051</v>
      </c>
      <c r="C1915" s="1">
        <v>45077</v>
      </c>
      <c r="D1915">
        <v>39</v>
      </c>
      <c r="E1915" t="s">
        <v>6</v>
      </c>
      <c r="F1915" t="s">
        <v>7</v>
      </c>
    </row>
    <row r="1916" spans="1:6" x14ac:dyDescent="0.3">
      <c r="A1916">
        <v>207118054</v>
      </c>
      <c r="B1916" s="1">
        <v>45052</v>
      </c>
      <c r="D1916">
        <v>39</v>
      </c>
      <c r="E1916" t="s">
        <v>6</v>
      </c>
      <c r="F1916" t="s">
        <v>7</v>
      </c>
    </row>
    <row r="1917" spans="1:6" x14ac:dyDescent="0.3">
      <c r="A1917">
        <v>214856586</v>
      </c>
      <c r="B1917" s="1">
        <v>45052</v>
      </c>
      <c r="D1917">
        <v>39</v>
      </c>
      <c r="E1917" t="s">
        <v>6</v>
      </c>
      <c r="F1917" t="s">
        <v>7</v>
      </c>
    </row>
    <row r="1918" spans="1:6" x14ac:dyDescent="0.3">
      <c r="A1918">
        <v>201945254</v>
      </c>
      <c r="B1918" s="1">
        <v>45052</v>
      </c>
      <c r="C1918" s="1">
        <v>45079</v>
      </c>
      <c r="D1918">
        <v>39</v>
      </c>
      <c r="E1918" t="s">
        <v>6</v>
      </c>
      <c r="F1918" t="s">
        <v>7</v>
      </c>
    </row>
    <row r="1919" spans="1:6" x14ac:dyDescent="0.3">
      <c r="A1919">
        <v>134531651</v>
      </c>
      <c r="B1919" s="1">
        <v>45053</v>
      </c>
      <c r="D1919">
        <v>39</v>
      </c>
      <c r="E1919" t="s">
        <v>6</v>
      </c>
      <c r="F1919" t="s">
        <v>7</v>
      </c>
    </row>
    <row r="1920" spans="1:6" x14ac:dyDescent="0.3">
      <c r="A1920">
        <v>204865394</v>
      </c>
      <c r="B1920" s="1">
        <v>45053</v>
      </c>
      <c r="D1920">
        <v>39</v>
      </c>
      <c r="E1920" t="s">
        <v>6</v>
      </c>
      <c r="F1920" t="s">
        <v>7</v>
      </c>
    </row>
    <row r="1921" spans="1:6" x14ac:dyDescent="0.3">
      <c r="A1921">
        <v>158906669</v>
      </c>
      <c r="B1921" s="1">
        <v>45053</v>
      </c>
      <c r="D1921">
        <v>39</v>
      </c>
      <c r="E1921" t="s">
        <v>6</v>
      </c>
      <c r="F1921" t="s">
        <v>7</v>
      </c>
    </row>
    <row r="1922" spans="1:6" x14ac:dyDescent="0.3">
      <c r="A1922">
        <v>125591366</v>
      </c>
      <c r="B1922" s="1">
        <v>45053</v>
      </c>
      <c r="C1922" s="1">
        <v>45144</v>
      </c>
      <c r="D1922">
        <v>39</v>
      </c>
      <c r="E1922" t="s">
        <v>6</v>
      </c>
      <c r="F1922" t="s">
        <v>7</v>
      </c>
    </row>
    <row r="1923" spans="1:6" x14ac:dyDescent="0.3">
      <c r="A1923">
        <v>214839844</v>
      </c>
      <c r="B1923" s="1">
        <v>45053</v>
      </c>
      <c r="C1923" s="1">
        <v>45114</v>
      </c>
      <c r="D1923">
        <v>39</v>
      </c>
      <c r="E1923" t="s">
        <v>6</v>
      </c>
      <c r="F1923" t="s">
        <v>7</v>
      </c>
    </row>
    <row r="1924" spans="1:6" x14ac:dyDescent="0.3">
      <c r="A1924">
        <v>214939612</v>
      </c>
      <c r="B1924" s="1">
        <v>45053</v>
      </c>
      <c r="C1924" s="1">
        <v>45110</v>
      </c>
      <c r="D1924">
        <v>39</v>
      </c>
      <c r="E1924" t="s">
        <v>6</v>
      </c>
      <c r="F1924" t="s">
        <v>7</v>
      </c>
    </row>
    <row r="1925" spans="1:6" x14ac:dyDescent="0.3">
      <c r="A1925">
        <v>204670100</v>
      </c>
      <c r="B1925" s="1">
        <v>45053</v>
      </c>
      <c r="C1925" s="1">
        <v>45121</v>
      </c>
      <c r="D1925">
        <v>39</v>
      </c>
      <c r="E1925" t="s">
        <v>6</v>
      </c>
      <c r="F1925" t="s">
        <v>7</v>
      </c>
    </row>
    <row r="1926" spans="1:6" x14ac:dyDescent="0.3">
      <c r="A1926">
        <v>214830539</v>
      </c>
      <c r="B1926" s="1">
        <v>45053</v>
      </c>
      <c r="C1926" s="1">
        <v>45091</v>
      </c>
      <c r="D1926">
        <v>39</v>
      </c>
      <c r="E1926" t="s">
        <v>6</v>
      </c>
      <c r="F1926" t="s">
        <v>7</v>
      </c>
    </row>
    <row r="1927" spans="1:6" x14ac:dyDescent="0.3">
      <c r="A1927">
        <v>185952990</v>
      </c>
      <c r="B1927" s="1">
        <v>45053</v>
      </c>
      <c r="C1927" s="1">
        <v>45087</v>
      </c>
      <c r="D1927">
        <v>39</v>
      </c>
      <c r="E1927" t="s">
        <v>6</v>
      </c>
      <c r="F1927" t="s">
        <v>7</v>
      </c>
    </row>
    <row r="1928" spans="1:6" x14ac:dyDescent="0.3">
      <c r="A1928">
        <v>214936311</v>
      </c>
      <c r="B1928" s="1">
        <v>45053</v>
      </c>
      <c r="C1928" s="1">
        <v>45053</v>
      </c>
      <c r="D1928">
        <v>39</v>
      </c>
      <c r="E1928" t="s">
        <v>6</v>
      </c>
      <c r="F1928" t="s">
        <v>7</v>
      </c>
    </row>
    <row r="1929" spans="1:6" x14ac:dyDescent="0.3">
      <c r="A1929">
        <v>214620392</v>
      </c>
      <c r="B1929" s="1">
        <v>45053</v>
      </c>
      <c r="C1929" s="1">
        <v>45114</v>
      </c>
      <c r="D1929">
        <v>39</v>
      </c>
      <c r="E1929" t="s">
        <v>6</v>
      </c>
      <c r="F1929" t="s">
        <v>7</v>
      </c>
    </row>
    <row r="1930" spans="1:6" x14ac:dyDescent="0.3">
      <c r="A1930">
        <v>157935884</v>
      </c>
      <c r="B1930" s="1">
        <v>45054</v>
      </c>
      <c r="D1930">
        <v>39</v>
      </c>
      <c r="E1930" t="s">
        <v>6</v>
      </c>
      <c r="F1930" t="s">
        <v>7</v>
      </c>
    </row>
    <row r="1931" spans="1:6" x14ac:dyDescent="0.3">
      <c r="A1931">
        <v>214945706</v>
      </c>
      <c r="B1931" s="1">
        <v>45054</v>
      </c>
      <c r="D1931">
        <v>39</v>
      </c>
      <c r="E1931" t="s">
        <v>6</v>
      </c>
      <c r="F1931" t="s">
        <v>7</v>
      </c>
    </row>
    <row r="1932" spans="1:6" x14ac:dyDescent="0.3">
      <c r="A1932">
        <v>214999374</v>
      </c>
      <c r="B1932" s="1">
        <v>45054</v>
      </c>
      <c r="D1932">
        <v>39</v>
      </c>
      <c r="E1932" t="s">
        <v>6</v>
      </c>
      <c r="F1932" t="s">
        <v>7</v>
      </c>
    </row>
    <row r="1933" spans="1:6" x14ac:dyDescent="0.3">
      <c r="A1933">
        <v>214986467</v>
      </c>
      <c r="B1933" s="1">
        <v>45054</v>
      </c>
      <c r="D1933">
        <v>39</v>
      </c>
      <c r="E1933" t="s">
        <v>6</v>
      </c>
      <c r="F1933" t="s">
        <v>7</v>
      </c>
    </row>
    <row r="1934" spans="1:6" x14ac:dyDescent="0.3">
      <c r="A1934">
        <v>214984741</v>
      </c>
      <c r="B1934" s="1">
        <v>45054</v>
      </c>
      <c r="D1934">
        <v>39</v>
      </c>
      <c r="E1934" t="s">
        <v>6</v>
      </c>
      <c r="F1934" t="s">
        <v>7</v>
      </c>
    </row>
    <row r="1935" spans="1:6" x14ac:dyDescent="0.3">
      <c r="A1935">
        <v>214993166</v>
      </c>
      <c r="B1935" s="1">
        <v>45054</v>
      </c>
      <c r="D1935">
        <v>39</v>
      </c>
      <c r="E1935" t="s">
        <v>6</v>
      </c>
      <c r="F1935" t="s">
        <v>7</v>
      </c>
    </row>
    <row r="1936" spans="1:6" x14ac:dyDescent="0.3">
      <c r="A1936">
        <v>203116697</v>
      </c>
      <c r="B1936" s="1">
        <v>45054</v>
      </c>
      <c r="D1936">
        <v>39</v>
      </c>
      <c r="E1936" t="s">
        <v>6</v>
      </c>
      <c r="F1936" t="s">
        <v>7</v>
      </c>
    </row>
    <row r="1937" spans="1:6" x14ac:dyDescent="0.3">
      <c r="A1937">
        <v>214906741</v>
      </c>
      <c r="B1937" s="1">
        <v>45054</v>
      </c>
      <c r="D1937">
        <v>39</v>
      </c>
      <c r="E1937" t="s">
        <v>6</v>
      </c>
      <c r="F1937" t="s">
        <v>7</v>
      </c>
    </row>
    <row r="1938" spans="1:6" x14ac:dyDescent="0.3">
      <c r="A1938">
        <v>128977818</v>
      </c>
      <c r="B1938" s="1">
        <v>45054</v>
      </c>
      <c r="C1938" s="1">
        <v>45175</v>
      </c>
      <c r="D1938">
        <v>39</v>
      </c>
      <c r="E1938" t="s">
        <v>6</v>
      </c>
      <c r="F1938" t="s">
        <v>7</v>
      </c>
    </row>
    <row r="1939" spans="1:6" x14ac:dyDescent="0.3">
      <c r="A1939">
        <v>209743418</v>
      </c>
      <c r="B1939" s="1">
        <v>45054</v>
      </c>
      <c r="C1939" s="1">
        <v>45055</v>
      </c>
      <c r="D1939">
        <v>39</v>
      </c>
      <c r="E1939" t="s">
        <v>6</v>
      </c>
      <c r="F1939" t="s">
        <v>7</v>
      </c>
    </row>
    <row r="1940" spans="1:6" x14ac:dyDescent="0.3">
      <c r="A1940">
        <v>209743418</v>
      </c>
      <c r="B1940" s="1">
        <v>45054</v>
      </c>
      <c r="C1940" s="1">
        <v>45115</v>
      </c>
      <c r="D1940">
        <v>39</v>
      </c>
      <c r="E1940" t="s">
        <v>6</v>
      </c>
      <c r="F1940" t="s">
        <v>7</v>
      </c>
    </row>
    <row r="1941" spans="1:6" x14ac:dyDescent="0.3">
      <c r="A1941">
        <v>130868671</v>
      </c>
      <c r="B1941" s="1">
        <v>45054</v>
      </c>
      <c r="C1941" s="1">
        <v>45091</v>
      </c>
      <c r="D1941">
        <v>39</v>
      </c>
      <c r="E1941" t="s">
        <v>6</v>
      </c>
      <c r="F1941" t="s">
        <v>7</v>
      </c>
    </row>
    <row r="1942" spans="1:6" x14ac:dyDescent="0.3">
      <c r="A1942">
        <v>146963394</v>
      </c>
      <c r="B1942" s="1">
        <v>45054</v>
      </c>
      <c r="C1942" s="1">
        <v>45111</v>
      </c>
      <c r="D1942">
        <v>39</v>
      </c>
      <c r="E1942" t="s">
        <v>6</v>
      </c>
      <c r="F1942" t="s">
        <v>7</v>
      </c>
    </row>
    <row r="1943" spans="1:6" x14ac:dyDescent="0.3">
      <c r="A1943">
        <v>214960770</v>
      </c>
      <c r="B1943" s="1">
        <v>45054</v>
      </c>
      <c r="C1943" s="1">
        <v>45110</v>
      </c>
      <c r="D1943">
        <v>39</v>
      </c>
      <c r="E1943" t="s">
        <v>6</v>
      </c>
      <c r="F1943" t="s">
        <v>7</v>
      </c>
    </row>
    <row r="1944" spans="1:6" x14ac:dyDescent="0.3">
      <c r="A1944">
        <v>207344872</v>
      </c>
      <c r="B1944" s="1">
        <v>45054</v>
      </c>
      <c r="C1944" s="1">
        <v>45084</v>
      </c>
      <c r="D1944">
        <v>39</v>
      </c>
      <c r="E1944" t="s">
        <v>6</v>
      </c>
      <c r="F1944" t="s">
        <v>7</v>
      </c>
    </row>
    <row r="1945" spans="1:6" x14ac:dyDescent="0.3">
      <c r="A1945">
        <v>202925989</v>
      </c>
      <c r="B1945" s="1">
        <v>45054</v>
      </c>
      <c r="C1945" s="1">
        <v>45092</v>
      </c>
      <c r="D1945">
        <v>39</v>
      </c>
      <c r="E1945" t="s">
        <v>6</v>
      </c>
      <c r="F1945" t="s">
        <v>7</v>
      </c>
    </row>
    <row r="1946" spans="1:6" x14ac:dyDescent="0.3">
      <c r="A1946">
        <v>214991976</v>
      </c>
      <c r="B1946" s="1">
        <v>45054</v>
      </c>
      <c r="C1946" s="1">
        <v>45099</v>
      </c>
      <c r="D1946">
        <v>39</v>
      </c>
      <c r="E1946" t="s">
        <v>6</v>
      </c>
      <c r="F1946" t="s">
        <v>7</v>
      </c>
    </row>
    <row r="1947" spans="1:6" x14ac:dyDescent="0.3">
      <c r="A1947">
        <v>211917633</v>
      </c>
      <c r="B1947" s="1">
        <v>45054</v>
      </c>
      <c r="C1947" s="1">
        <v>45071</v>
      </c>
      <c r="D1947">
        <v>39</v>
      </c>
      <c r="E1947" t="s">
        <v>6</v>
      </c>
      <c r="F1947" t="s">
        <v>7</v>
      </c>
    </row>
    <row r="1948" spans="1:6" x14ac:dyDescent="0.3">
      <c r="A1948">
        <v>214623264</v>
      </c>
      <c r="B1948" s="1">
        <v>45054</v>
      </c>
      <c r="C1948" s="1">
        <v>45122</v>
      </c>
      <c r="D1948">
        <v>39</v>
      </c>
      <c r="E1948" t="s">
        <v>6</v>
      </c>
      <c r="F1948" t="s">
        <v>7</v>
      </c>
    </row>
    <row r="1949" spans="1:6" x14ac:dyDescent="0.3">
      <c r="A1949">
        <v>205339362</v>
      </c>
      <c r="B1949" s="1">
        <v>45054</v>
      </c>
      <c r="C1949" s="1">
        <v>45115</v>
      </c>
      <c r="D1949">
        <v>39</v>
      </c>
      <c r="E1949" t="s">
        <v>6</v>
      </c>
      <c r="F1949" t="s">
        <v>7</v>
      </c>
    </row>
    <row r="1950" spans="1:6" x14ac:dyDescent="0.3">
      <c r="A1950">
        <v>214956352</v>
      </c>
      <c r="B1950" s="1">
        <v>45055</v>
      </c>
      <c r="D1950">
        <v>39</v>
      </c>
      <c r="E1950" t="s">
        <v>6</v>
      </c>
      <c r="F1950" t="s">
        <v>7</v>
      </c>
    </row>
    <row r="1951" spans="1:6" x14ac:dyDescent="0.3">
      <c r="A1951">
        <v>196061402</v>
      </c>
      <c r="B1951" s="1">
        <v>45055</v>
      </c>
      <c r="D1951">
        <v>39</v>
      </c>
      <c r="E1951" t="s">
        <v>6</v>
      </c>
      <c r="F1951" t="s">
        <v>7</v>
      </c>
    </row>
    <row r="1952" spans="1:6" x14ac:dyDescent="0.3">
      <c r="A1952">
        <v>215019022</v>
      </c>
      <c r="B1952" s="1">
        <v>45055</v>
      </c>
      <c r="D1952">
        <v>39</v>
      </c>
      <c r="E1952" t="s">
        <v>6</v>
      </c>
      <c r="F1952" t="s">
        <v>7</v>
      </c>
    </row>
    <row r="1953" spans="1:6" x14ac:dyDescent="0.3">
      <c r="A1953">
        <v>185517087</v>
      </c>
      <c r="B1953" s="1">
        <v>45055</v>
      </c>
      <c r="D1953">
        <v>39</v>
      </c>
      <c r="E1953" t="s">
        <v>6</v>
      </c>
      <c r="F1953" t="s">
        <v>7</v>
      </c>
    </row>
    <row r="1954" spans="1:6" x14ac:dyDescent="0.3">
      <c r="A1954">
        <v>151513254</v>
      </c>
      <c r="B1954" s="1">
        <v>45055</v>
      </c>
      <c r="C1954" s="1">
        <v>45055</v>
      </c>
      <c r="D1954">
        <v>39</v>
      </c>
      <c r="E1954" t="s">
        <v>6</v>
      </c>
      <c r="F1954" t="s">
        <v>7</v>
      </c>
    </row>
    <row r="1955" spans="1:6" x14ac:dyDescent="0.3">
      <c r="A1955">
        <v>214952558</v>
      </c>
      <c r="B1955" s="1">
        <v>45055</v>
      </c>
      <c r="C1955" s="1">
        <v>45056</v>
      </c>
      <c r="D1955">
        <v>39</v>
      </c>
      <c r="E1955" t="s">
        <v>6</v>
      </c>
      <c r="F1955" t="s">
        <v>8</v>
      </c>
    </row>
    <row r="1956" spans="1:6" x14ac:dyDescent="0.3">
      <c r="A1956">
        <v>139339380</v>
      </c>
      <c r="B1956" s="1">
        <v>45055</v>
      </c>
      <c r="C1956" s="1">
        <v>45095</v>
      </c>
      <c r="D1956">
        <v>39</v>
      </c>
      <c r="E1956" t="s">
        <v>6</v>
      </c>
      <c r="F1956" t="s">
        <v>7</v>
      </c>
    </row>
    <row r="1957" spans="1:6" x14ac:dyDescent="0.3">
      <c r="A1957">
        <v>208188866</v>
      </c>
      <c r="B1957" s="1">
        <v>45055</v>
      </c>
      <c r="C1957" s="1">
        <v>45086</v>
      </c>
      <c r="D1957">
        <v>39</v>
      </c>
      <c r="E1957" t="s">
        <v>6</v>
      </c>
      <c r="F1957" t="s">
        <v>7</v>
      </c>
    </row>
    <row r="1958" spans="1:6" x14ac:dyDescent="0.3">
      <c r="A1958">
        <v>150342446</v>
      </c>
      <c r="B1958" s="1">
        <v>45055</v>
      </c>
      <c r="C1958" s="1">
        <v>45093</v>
      </c>
      <c r="D1958">
        <v>39</v>
      </c>
      <c r="E1958" t="s">
        <v>6</v>
      </c>
      <c r="F1958" t="s">
        <v>7</v>
      </c>
    </row>
    <row r="1959" spans="1:6" x14ac:dyDescent="0.3">
      <c r="A1959">
        <v>188748372</v>
      </c>
      <c r="B1959" s="1">
        <v>45055</v>
      </c>
      <c r="C1959" s="1">
        <v>45093</v>
      </c>
      <c r="D1959">
        <v>39</v>
      </c>
      <c r="E1959" t="s">
        <v>6</v>
      </c>
      <c r="F1959" t="s">
        <v>7</v>
      </c>
    </row>
    <row r="1960" spans="1:6" x14ac:dyDescent="0.3">
      <c r="A1960">
        <v>215034356</v>
      </c>
      <c r="B1960" s="1">
        <v>45055</v>
      </c>
      <c r="C1960" s="1">
        <v>45055</v>
      </c>
      <c r="D1960">
        <v>39</v>
      </c>
      <c r="E1960" t="s">
        <v>6</v>
      </c>
      <c r="F1960" t="s">
        <v>7</v>
      </c>
    </row>
    <row r="1961" spans="1:6" x14ac:dyDescent="0.3">
      <c r="A1961">
        <v>145013444</v>
      </c>
      <c r="B1961" s="1">
        <v>45055</v>
      </c>
      <c r="C1961" s="1">
        <v>45075</v>
      </c>
      <c r="D1961">
        <v>39</v>
      </c>
      <c r="E1961" t="s">
        <v>6</v>
      </c>
      <c r="F1961" t="s">
        <v>7</v>
      </c>
    </row>
    <row r="1962" spans="1:6" x14ac:dyDescent="0.3">
      <c r="A1962">
        <v>164548755</v>
      </c>
      <c r="B1962" s="1">
        <v>45055</v>
      </c>
      <c r="C1962" s="1">
        <v>45123</v>
      </c>
      <c r="D1962">
        <v>39</v>
      </c>
      <c r="E1962" t="s">
        <v>6</v>
      </c>
      <c r="F1962" t="s">
        <v>7</v>
      </c>
    </row>
    <row r="1963" spans="1:6" x14ac:dyDescent="0.3">
      <c r="A1963">
        <v>193315330</v>
      </c>
      <c r="B1963" s="1">
        <v>45055</v>
      </c>
      <c r="C1963" s="1">
        <v>45154</v>
      </c>
      <c r="D1963">
        <v>39</v>
      </c>
      <c r="E1963" t="s">
        <v>6</v>
      </c>
      <c r="F1963" t="s">
        <v>7</v>
      </c>
    </row>
    <row r="1964" spans="1:6" x14ac:dyDescent="0.3">
      <c r="A1964">
        <v>147592201</v>
      </c>
      <c r="B1964" s="1">
        <v>45056</v>
      </c>
      <c r="D1964">
        <v>39</v>
      </c>
      <c r="E1964" t="s">
        <v>6</v>
      </c>
      <c r="F1964" t="s">
        <v>7</v>
      </c>
    </row>
    <row r="1965" spans="1:6" x14ac:dyDescent="0.3">
      <c r="A1965">
        <v>192068317</v>
      </c>
      <c r="B1965" s="1">
        <v>45056</v>
      </c>
      <c r="D1965">
        <v>39</v>
      </c>
      <c r="E1965" t="s">
        <v>6</v>
      </c>
      <c r="F1965" t="s">
        <v>7</v>
      </c>
    </row>
    <row r="1966" spans="1:6" x14ac:dyDescent="0.3">
      <c r="A1966">
        <v>214396083</v>
      </c>
      <c r="B1966" s="1">
        <v>45056</v>
      </c>
      <c r="D1966">
        <v>39</v>
      </c>
      <c r="E1966" t="s">
        <v>6</v>
      </c>
      <c r="F1966" t="s">
        <v>7</v>
      </c>
    </row>
    <row r="1967" spans="1:6" x14ac:dyDescent="0.3">
      <c r="A1967">
        <v>214698924</v>
      </c>
      <c r="B1967" s="1">
        <v>45056</v>
      </c>
      <c r="C1967" s="1">
        <v>45056</v>
      </c>
      <c r="D1967">
        <v>39</v>
      </c>
      <c r="E1967" t="s">
        <v>6</v>
      </c>
      <c r="F1967" t="s">
        <v>7</v>
      </c>
    </row>
    <row r="1968" spans="1:6" x14ac:dyDescent="0.3">
      <c r="A1968">
        <v>153402484</v>
      </c>
      <c r="B1968" s="1">
        <v>45056</v>
      </c>
      <c r="C1968" s="1">
        <v>45086</v>
      </c>
      <c r="D1968">
        <v>39</v>
      </c>
      <c r="E1968" t="s">
        <v>6</v>
      </c>
      <c r="F1968" t="s">
        <v>7</v>
      </c>
    </row>
    <row r="1969" spans="1:6" x14ac:dyDescent="0.3">
      <c r="A1969">
        <v>214809412</v>
      </c>
      <c r="B1969" s="1">
        <v>45056</v>
      </c>
      <c r="C1969" s="1">
        <v>45147</v>
      </c>
      <c r="D1969">
        <v>39</v>
      </c>
      <c r="E1969" t="s">
        <v>6</v>
      </c>
      <c r="F1969" t="s">
        <v>7</v>
      </c>
    </row>
    <row r="1970" spans="1:6" x14ac:dyDescent="0.3">
      <c r="A1970">
        <v>215062365</v>
      </c>
      <c r="B1970" s="1">
        <v>45056</v>
      </c>
      <c r="C1970" s="1">
        <v>45141</v>
      </c>
      <c r="D1970">
        <v>39</v>
      </c>
      <c r="E1970" t="s">
        <v>6</v>
      </c>
      <c r="F1970" t="s">
        <v>7</v>
      </c>
    </row>
    <row r="1971" spans="1:6" x14ac:dyDescent="0.3">
      <c r="A1971">
        <v>135185873</v>
      </c>
      <c r="B1971" s="1">
        <v>45057</v>
      </c>
      <c r="D1971">
        <v>39</v>
      </c>
      <c r="E1971" t="s">
        <v>6</v>
      </c>
      <c r="F1971" t="s">
        <v>7</v>
      </c>
    </row>
    <row r="1972" spans="1:6" x14ac:dyDescent="0.3">
      <c r="A1972">
        <v>144898968</v>
      </c>
      <c r="B1972" s="1">
        <v>45057</v>
      </c>
      <c r="D1972">
        <v>39</v>
      </c>
      <c r="E1972" t="s">
        <v>6</v>
      </c>
      <c r="F1972" t="s">
        <v>7</v>
      </c>
    </row>
    <row r="1973" spans="1:6" x14ac:dyDescent="0.3">
      <c r="A1973">
        <v>214973231</v>
      </c>
      <c r="B1973" s="1">
        <v>45057</v>
      </c>
      <c r="D1973">
        <v>39</v>
      </c>
      <c r="E1973" t="s">
        <v>6</v>
      </c>
      <c r="F1973" t="s">
        <v>7</v>
      </c>
    </row>
    <row r="1974" spans="1:6" x14ac:dyDescent="0.3">
      <c r="A1974">
        <v>214971897</v>
      </c>
      <c r="B1974" s="1">
        <v>45057</v>
      </c>
      <c r="D1974">
        <v>39</v>
      </c>
      <c r="E1974" t="s">
        <v>6</v>
      </c>
      <c r="F1974" t="s">
        <v>7</v>
      </c>
    </row>
    <row r="1975" spans="1:6" x14ac:dyDescent="0.3">
      <c r="A1975">
        <v>134919488</v>
      </c>
      <c r="B1975" s="1">
        <v>45057</v>
      </c>
      <c r="C1975" s="1">
        <v>45145</v>
      </c>
      <c r="D1975">
        <v>39</v>
      </c>
      <c r="E1975" t="s">
        <v>6</v>
      </c>
      <c r="F1975" t="s">
        <v>7</v>
      </c>
    </row>
    <row r="1976" spans="1:6" x14ac:dyDescent="0.3">
      <c r="A1976">
        <v>214912916</v>
      </c>
      <c r="B1976" s="1">
        <v>45057</v>
      </c>
      <c r="C1976" s="1">
        <v>45088</v>
      </c>
      <c r="D1976">
        <v>39</v>
      </c>
      <c r="E1976" t="s">
        <v>6</v>
      </c>
      <c r="F1976" t="s">
        <v>7</v>
      </c>
    </row>
    <row r="1977" spans="1:6" x14ac:dyDescent="0.3">
      <c r="A1977">
        <v>215138344</v>
      </c>
      <c r="B1977" s="1">
        <v>45057</v>
      </c>
      <c r="C1977" s="1">
        <v>45079</v>
      </c>
      <c r="D1977">
        <v>39</v>
      </c>
      <c r="E1977" t="s">
        <v>6</v>
      </c>
      <c r="F1977" t="s">
        <v>7</v>
      </c>
    </row>
    <row r="1978" spans="1:6" x14ac:dyDescent="0.3">
      <c r="A1978">
        <v>215132378</v>
      </c>
      <c r="B1978" s="1">
        <v>45057</v>
      </c>
      <c r="C1978" s="1">
        <v>45082</v>
      </c>
      <c r="D1978">
        <v>39</v>
      </c>
      <c r="E1978" t="s">
        <v>6</v>
      </c>
      <c r="F1978" t="s">
        <v>7</v>
      </c>
    </row>
    <row r="1979" spans="1:6" x14ac:dyDescent="0.3">
      <c r="A1979">
        <v>206145911</v>
      </c>
      <c r="B1979" s="1">
        <v>45057</v>
      </c>
      <c r="C1979" s="1">
        <v>45057</v>
      </c>
      <c r="D1979">
        <v>39</v>
      </c>
      <c r="E1979" t="s">
        <v>6</v>
      </c>
      <c r="F1979" t="s">
        <v>7</v>
      </c>
    </row>
    <row r="1980" spans="1:6" x14ac:dyDescent="0.3">
      <c r="A1980">
        <v>215146368</v>
      </c>
      <c r="B1980" s="1">
        <v>45057</v>
      </c>
      <c r="C1980" s="1">
        <v>45065</v>
      </c>
      <c r="D1980">
        <v>39</v>
      </c>
      <c r="E1980" t="s">
        <v>6</v>
      </c>
      <c r="F1980" t="s">
        <v>7</v>
      </c>
    </row>
    <row r="1981" spans="1:6" x14ac:dyDescent="0.3">
      <c r="A1981">
        <v>133199506</v>
      </c>
      <c r="B1981" s="1">
        <v>45058</v>
      </c>
      <c r="D1981">
        <v>39</v>
      </c>
      <c r="E1981" t="s">
        <v>6</v>
      </c>
      <c r="F1981" t="s">
        <v>7</v>
      </c>
    </row>
    <row r="1982" spans="1:6" x14ac:dyDescent="0.3">
      <c r="A1982">
        <v>202763494</v>
      </c>
      <c r="B1982" s="1">
        <v>45058</v>
      </c>
      <c r="D1982">
        <v>39</v>
      </c>
      <c r="E1982" t="s">
        <v>6</v>
      </c>
      <c r="F1982" t="s">
        <v>7</v>
      </c>
    </row>
    <row r="1983" spans="1:6" x14ac:dyDescent="0.3">
      <c r="A1983">
        <v>215113205</v>
      </c>
      <c r="B1983" s="1">
        <v>45058</v>
      </c>
      <c r="D1983">
        <v>39</v>
      </c>
      <c r="E1983" t="s">
        <v>6</v>
      </c>
      <c r="F1983" t="s">
        <v>7</v>
      </c>
    </row>
    <row r="1984" spans="1:6" x14ac:dyDescent="0.3">
      <c r="A1984">
        <v>147097108</v>
      </c>
      <c r="B1984" s="1">
        <v>45058</v>
      </c>
      <c r="D1984">
        <v>39</v>
      </c>
      <c r="E1984" t="s">
        <v>6</v>
      </c>
      <c r="F1984" t="s">
        <v>7</v>
      </c>
    </row>
    <row r="1985" spans="1:6" x14ac:dyDescent="0.3">
      <c r="A1985">
        <v>186692270</v>
      </c>
      <c r="B1985" s="1">
        <v>45058</v>
      </c>
      <c r="D1985">
        <v>39</v>
      </c>
      <c r="E1985" t="s">
        <v>6</v>
      </c>
      <c r="F1985" t="s">
        <v>7</v>
      </c>
    </row>
    <row r="1986" spans="1:6" x14ac:dyDescent="0.3">
      <c r="A1986">
        <v>215169444</v>
      </c>
      <c r="B1986" s="1">
        <v>45058</v>
      </c>
      <c r="D1986">
        <v>39</v>
      </c>
      <c r="E1986" t="s">
        <v>6</v>
      </c>
      <c r="F1986" t="s">
        <v>7</v>
      </c>
    </row>
    <row r="1987" spans="1:6" x14ac:dyDescent="0.3">
      <c r="A1987">
        <v>114992353</v>
      </c>
      <c r="B1987" s="1">
        <v>45058</v>
      </c>
      <c r="C1987" s="1">
        <v>45152</v>
      </c>
      <c r="D1987">
        <v>39</v>
      </c>
      <c r="E1987" t="s">
        <v>6</v>
      </c>
      <c r="F1987" t="s">
        <v>7</v>
      </c>
    </row>
    <row r="1988" spans="1:6" x14ac:dyDescent="0.3">
      <c r="A1988">
        <v>212339137</v>
      </c>
      <c r="B1988" s="1">
        <v>45058</v>
      </c>
      <c r="C1988" s="1">
        <v>45059</v>
      </c>
      <c r="D1988">
        <v>39</v>
      </c>
      <c r="E1988" t="s">
        <v>6</v>
      </c>
      <c r="F1988" t="s">
        <v>7</v>
      </c>
    </row>
    <row r="1989" spans="1:6" x14ac:dyDescent="0.3">
      <c r="A1989">
        <v>175564124</v>
      </c>
      <c r="B1989" s="1">
        <v>45058</v>
      </c>
      <c r="C1989" s="1">
        <v>45081</v>
      </c>
      <c r="D1989">
        <v>39</v>
      </c>
      <c r="E1989" t="s">
        <v>6</v>
      </c>
      <c r="F1989" t="s">
        <v>7</v>
      </c>
    </row>
    <row r="1990" spans="1:6" x14ac:dyDescent="0.3">
      <c r="A1990">
        <v>174646950</v>
      </c>
      <c r="B1990" s="1">
        <v>45058</v>
      </c>
      <c r="C1990" s="1">
        <v>45096</v>
      </c>
      <c r="D1990">
        <v>39</v>
      </c>
      <c r="E1990" t="s">
        <v>6</v>
      </c>
      <c r="F1990" t="s">
        <v>7</v>
      </c>
    </row>
    <row r="1991" spans="1:6" x14ac:dyDescent="0.3">
      <c r="A1991">
        <v>215075697</v>
      </c>
      <c r="B1991" s="1">
        <v>45058</v>
      </c>
      <c r="C1991" s="1">
        <v>45088</v>
      </c>
      <c r="D1991">
        <v>39</v>
      </c>
      <c r="E1991" t="s">
        <v>6</v>
      </c>
      <c r="F1991" t="s">
        <v>7</v>
      </c>
    </row>
    <row r="1992" spans="1:6" x14ac:dyDescent="0.3">
      <c r="A1992">
        <v>215149530</v>
      </c>
      <c r="B1992" s="1">
        <v>45058</v>
      </c>
      <c r="C1992" s="1">
        <v>45107</v>
      </c>
      <c r="D1992">
        <v>39</v>
      </c>
      <c r="E1992" t="s">
        <v>6</v>
      </c>
      <c r="F1992" t="s">
        <v>7</v>
      </c>
    </row>
    <row r="1993" spans="1:6" x14ac:dyDescent="0.3">
      <c r="A1993">
        <v>215226464</v>
      </c>
      <c r="B1993" s="1">
        <v>45059</v>
      </c>
      <c r="D1993">
        <v>39</v>
      </c>
      <c r="E1993" t="s">
        <v>6</v>
      </c>
      <c r="F1993" t="s">
        <v>7</v>
      </c>
    </row>
    <row r="1994" spans="1:6" x14ac:dyDescent="0.3">
      <c r="A1994">
        <v>215221354</v>
      </c>
      <c r="B1994" s="1">
        <v>45059</v>
      </c>
      <c r="D1994">
        <v>39</v>
      </c>
      <c r="E1994" t="s">
        <v>6</v>
      </c>
      <c r="F1994" t="s">
        <v>7</v>
      </c>
    </row>
    <row r="1995" spans="1:6" x14ac:dyDescent="0.3">
      <c r="A1995">
        <v>215031638</v>
      </c>
      <c r="B1995" s="1">
        <v>45059</v>
      </c>
      <c r="D1995">
        <v>39</v>
      </c>
      <c r="E1995" t="s">
        <v>6</v>
      </c>
      <c r="F1995" t="s">
        <v>7</v>
      </c>
    </row>
    <row r="1996" spans="1:6" x14ac:dyDescent="0.3">
      <c r="A1996">
        <v>182019861</v>
      </c>
      <c r="B1996" s="1">
        <v>45060</v>
      </c>
      <c r="D1996">
        <v>39</v>
      </c>
      <c r="E1996" t="s">
        <v>6</v>
      </c>
      <c r="F1996" t="s">
        <v>7</v>
      </c>
    </row>
    <row r="1997" spans="1:6" x14ac:dyDescent="0.3">
      <c r="A1997">
        <v>210072231</v>
      </c>
      <c r="B1997" s="1">
        <v>45060</v>
      </c>
      <c r="D1997">
        <v>39</v>
      </c>
      <c r="E1997" t="s">
        <v>6</v>
      </c>
      <c r="F1997" t="s">
        <v>7</v>
      </c>
    </row>
    <row r="1998" spans="1:6" x14ac:dyDescent="0.3">
      <c r="A1998">
        <v>127328847</v>
      </c>
      <c r="B1998" s="1">
        <v>45060</v>
      </c>
      <c r="C1998" s="1">
        <v>45061</v>
      </c>
      <c r="D1998">
        <v>39</v>
      </c>
      <c r="E1998" t="s">
        <v>6</v>
      </c>
      <c r="F1998" t="s">
        <v>7</v>
      </c>
    </row>
    <row r="1999" spans="1:6" x14ac:dyDescent="0.3">
      <c r="A1999">
        <v>155566052</v>
      </c>
      <c r="B1999" s="1">
        <v>45060</v>
      </c>
      <c r="C1999" s="1">
        <v>45089</v>
      </c>
      <c r="D1999">
        <v>39</v>
      </c>
      <c r="E1999" t="s">
        <v>6</v>
      </c>
      <c r="F1999" t="s">
        <v>7</v>
      </c>
    </row>
    <row r="2000" spans="1:6" x14ac:dyDescent="0.3">
      <c r="A2000">
        <v>151513254</v>
      </c>
      <c r="B2000" s="1">
        <v>45060</v>
      </c>
      <c r="C2000" s="1">
        <v>45097</v>
      </c>
      <c r="D2000">
        <v>39</v>
      </c>
      <c r="E2000" t="s">
        <v>6</v>
      </c>
      <c r="F2000" t="s">
        <v>7</v>
      </c>
    </row>
    <row r="2001" spans="1:6" x14ac:dyDescent="0.3">
      <c r="A2001">
        <v>152236400</v>
      </c>
      <c r="B2001" s="1">
        <v>45060</v>
      </c>
      <c r="C2001" s="1">
        <v>45113</v>
      </c>
      <c r="D2001">
        <v>39</v>
      </c>
      <c r="E2001" t="s">
        <v>6</v>
      </c>
      <c r="F2001" t="s">
        <v>7</v>
      </c>
    </row>
    <row r="2002" spans="1:6" x14ac:dyDescent="0.3">
      <c r="A2002">
        <v>215030324</v>
      </c>
      <c r="B2002" s="1">
        <v>45060</v>
      </c>
      <c r="C2002" s="1">
        <v>45152</v>
      </c>
      <c r="D2002">
        <v>39</v>
      </c>
      <c r="E2002" t="s">
        <v>6</v>
      </c>
      <c r="F2002" t="s">
        <v>7</v>
      </c>
    </row>
    <row r="2003" spans="1:6" x14ac:dyDescent="0.3">
      <c r="A2003">
        <v>206087650</v>
      </c>
      <c r="B2003" s="1">
        <v>45060</v>
      </c>
      <c r="C2003" s="1">
        <v>45128</v>
      </c>
      <c r="D2003">
        <v>39</v>
      </c>
      <c r="E2003" t="s">
        <v>6</v>
      </c>
      <c r="F2003" t="s">
        <v>7</v>
      </c>
    </row>
    <row r="2004" spans="1:6" x14ac:dyDescent="0.3">
      <c r="A2004">
        <v>136252657</v>
      </c>
      <c r="B2004" s="1">
        <v>45061</v>
      </c>
      <c r="C2004" s="1">
        <v>45112</v>
      </c>
      <c r="D2004">
        <v>39</v>
      </c>
      <c r="E2004" t="s">
        <v>6</v>
      </c>
      <c r="F2004" t="s">
        <v>7</v>
      </c>
    </row>
    <row r="2005" spans="1:6" x14ac:dyDescent="0.3">
      <c r="A2005">
        <v>134753801</v>
      </c>
      <c r="B2005" s="1">
        <v>45061</v>
      </c>
      <c r="C2005" s="1">
        <v>45119</v>
      </c>
      <c r="D2005">
        <v>39</v>
      </c>
      <c r="E2005" t="s">
        <v>6</v>
      </c>
      <c r="F2005" t="s">
        <v>7</v>
      </c>
    </row>
    <row r="2006" spans="1:6" x14ac:dyDescent="0.3">
      <c r="A2006">
        <v>155245092</v>
      </c>
      <c r="B2006" s="1">
        <v>45061</v>
      </c>
      <c r="C2006" s="1">
        <v>45093</v>
      </c>
      <c r="D2006">
        <v>39</v>
      </c>
      <c r="E2006" t="s">
        <v>6</v>
      </c>
      <c r="F2006" t="s">
        <v>7</v>
      </c>
    </row>
    <row r="2007" spans="1:6" x14ac:dyDescent="0.3">
      <c r="A2007">
        <v>214905500</v>
      </c>
      <c r="B2007" s="1">
        <v>45061</v>
      </c>
      <c r="C2007" s="1">
        <v>45160</v>
      </c>
      <c r="D2007">
        <v>39</v>
      </c>
      <c r="E2007" t="s">
        <v>6</v>
      </c>
      <c r="F2007" t="s">
        <v>7</v>
      </c>
    </row>
    <row r="2008" spans="1:6" x14ac:dyDescent="0.3">
      <c r="A2008">
        <v>215152504</v>
      </c>
      <c r="B2008" s="1">
        <v>45062</v>
      </c>
      <c r="D2008">
        <v>39</v>
      </c>
      <c r="E2008" t="s">
        <v>6</v>
      </c>
      <c r="F2008" t="s">
        <v>7</v>
      </c>
    </row>
    <row r="2009" spans="1:6" x14ac:dyDescent="0.3">
      <c r="A2009">
        <v>215336639</v>
      </c>
      <c r="B2009" s="1">
        <v>45062</v>
      </c>
      <c r="D2009">
        <v>39</v>
      </c>
      <c r="E2009" t="s">
        <v>6</v>
      </c>
      <c r="F2009" t="s">
        <v>7</v>
      </c>
    </row>
    <row r="2010" spans="1:6" x14ac:dyDescent="0.3">
      <c r="A2010">
        <v>215220026</v>
      </c>
      <c r="B2010" s="1">
        <v>45062</v>
      </c>
      <c r="D2010">
        <v>39</v>
      </c>
      <c r="E2010" t="s">
        <v>6</v>
      </c>
      <c r="F2010" t="s">
        <v>7</v>
      </c>
    </row>
    <row r="2011" spans="1:6" x14ac:dyDescent="0.3">
      <c r="A2011">
        <v>202395800</v>
      </c>
      <c r="B2011" s="1">
        <v>45062</v>
      </c>
      <c r="D2011">
        <v>39</v>
      </c>
      <c r="E2011" t="s">
        <v>6</v>
      </c>
      <c r="F2011" t="s">
        <v>7</v>
      </c>
    </row>
    <row r="2012" spans="1:6" x14ac:dyDescent="0.3">
      <c r="A2012">
        <v>215289431</v>
      </c>
      <c r="B2012" s="1">
        <v>45062</v>
      </c>
      <c r="C2012" s="1">
        <v>45160</v>
      </c>
      <c r="D2012">
        <v>39</v>
      </c>
      <c r="E2012" t="s">
        <v>6</v>
      </c>
      <c r="F2012" t="s">
        <v>7</v>
      </c>
    </row>
    <row r="2013" spans="1:6" x14ac:dyDescent="0.3">
      <c r="A2013">
        <v>182102820</v>
      </c>
      <c r="B2013" s="1">
        <v>45062</v>
      </c>
      <c r="C2013" s="1">
        <v>45063</v>
      </c>
      <c r="D2013">
        <v>39</v>
      </c>
      <c r="E2013" t="s">
        <v>6</v>
      </c>
      <c r="F2013" t="s">
        <v>7</v>
      </c>
    </row>
    <row r="2014" spans="1:6" x14ac:dyDescent="0.3">
      <c r="A2014">
        <v>215322558</v>
      </c>
      <c r="B2014" s="1">
        <v>45062</v>
      </c>
      <c r="C2014" s="1">
        <v>45100</v>
      </c>
      <c r="D2014">
        <v>39</v>
      </c>
      <c r="E2014" t="s">
        <v>6</v>
      </c>
      <c r="F2014" t="s">
        <v>7</v>
      </c>
    </row>
    <row r="2015" spans="1:6" x14ac:dyDescent="0.3">
      <c r="A2015">
        <v>215347417</v>
      </c>
      <c r="B2015" s="1">
        <v>45062</v>
      </c>
      <c r="C2015" s="1">
        <v>45071</v>
      </c>
      <c r="D2015">
        <v>39</v>
      </c>
      <c r="E2015" t="s">
        <v>6</v>
      </c>
      <c r="F2015" t="s">
        <v>7</v>
      </c>
    </row>
    <row r="2016" spans="1:6" x14ac:dyDescent="0.3">
      <c r="A2016">
        <v>215203944</v>
      </c>
      <c r="B2016" s="1">
        <v>45062</v>
      </c>
      <c r="C2016" s="1">
        <v>45118</v>
      </c>
      <c r="D2016">
        <v>39</v>
      </c>
      <c r="E2016" t="s">
        <v>6</v>
      </c>
      <c r="F2016" t="s">
        <v>7</v>
      </c>
    </row>
    <row r="2017" spans="1:6" x14ac:dyDescent="0.3">
      <c r="A2017">
        <v>215350747</v>
      </c>
      <c r="B2017" s="1">
        <v>45062</v>
      </c>
      <c r="C2017" s="1">
        <v>45141</v>
      </c>
      <c r="D2017">
        <v>39</v>
      </c>
      <c r="E2017" t="s">
        <v>6</v>
      </c>
      <c r="F2017" t="s">
        <v>7</v>
      </c>
    </row>
    <row r="2018" spans="1:6" x14ac:dyDescent="0.3">
      <c r="A2018">
        <v>215254830</v>
      </c>
      <c r="B2018" s="1">
        <v>45062</v>
      </c>
      <c r="C2018" s="1">
        <v>45140</v>
      </c>
      <c r="D2018">
        <v>39</v>
      </c>
      <c r="E2018" t="s">
        <v>6</v>
      </c>
      <c r="F2018" t="s">
        <v>7</v>
      </c>
    </row>
    <row r="2019" spans="1:6" x14ac:dyDescent="0.3">
      <c r="A2019">
        <v>192908537</v>
      </c>
      <c r="B2019" s="1">
        <v>45062</v>
      </c>
      <c r="C2019" s="1">
        <v>45093</v>
      </c>
      <c r="D2019">
        <v>39</v>
      </c>
      <c r="E2019" t="s">
        <v>6</v>
      </c>
      <c r="F2019" t="s">
        <v>7</v>
      </c>
    </row>
    <row r="2020" spans="1:6" x14ac:dyDescent="0.3">
      <c r="A2020">
        <v>123007965</v>
      </c>
      <c r="B2020" s="1">
        <v>45063</v>
      </c>
      <c r="D2020">
        <v>39</v>
      </c>
      <c r="E2020" t="s">
        <v>6</v>
      </c>
      <c r="F2020" t="s">
        <v>7</v>
      </c>
    </row>
    <row r="2021" spans="1:6" x14ac:dyDescent="0.3">
      <c r="A2021">
        <v>151711223</v>
      </c>
      <c r="B2021" s="1">
        <v>45063</v>
      </c>
      <c r="D2021">
        <v>39</v>
      </c>
      <c r="E2021" t="s">
        <v>6</v>
      </c>
      <c r="F2021" t="s">
        <v>7</v>
      </c>
    </row>
    <row r="2022" spans="1:6" x14ac:dyDescent="0.3">
      <c r="A2022">
        <v>130751382</v>
      </c>
      <c r="B2022" s="1">
        <v>45063</v>
      </c>
      <c r="D2022">
        <v>39</v>
      </c>
      <c r="E2022" t="s">
        <v>6</v>
      </c>
      <c r="F2022" t="s">
        <v>7</v>
      </c>
    </row>
    <row r="2023" spans="1:6" x14ac:dyDescent="0.3">
      <c r="A2023">
        <v>126037254</v>
      </c>
      <c r="B2023" s="1">
        <v>45063</v>
      </c>
      <c r="D2023">
        <v>39</v>
      </c>
      <c r="E2023" t="s">
        <v>6</v>
      </c>
      <c r="F2023" t="s">
        <v>7</v>
      </c>
    </row>
    <row r="2024" spans="1:6" x14ac:dyDescent="0.3">
      <c r="A2024">
        <v>133469770</v>
      </c>
      <c r="B2024" s="1">
        <v>45063</v>
      </c>
      <c r="D2024">
        <v>39</v>
      </c>
      <c r="E2024" t="s">
        <v>6</v>
      </c>
      <c r="F2024" t="s">
        <v>7</v>
      </c>
    </row>
    <row r="2025" spans="1:6" x14ac:dyDescent="0.3">
      <c r="A2025">
        <v>133565657</v>
      </c>
      <c r="B2025" s="1">
        <v>45063</v>
      </c>
      <c r="C2025" s="1">
        <v>45148</v>
      </c>
      <c r="D2025">
        <v>39</v>
      </c>
      <c r="E2025" t="s">
        <v>6</v>
      </c>
      <c r="F2025" t="s">
        <v>7</v>
      </c>
    </row>
    <row r="2026" spans="1:6" x14ac:dyDescent="0.3">
      <c r="A2026">
        <v>215307979</v>
      </c>
      <c r="B2026" s="1">
        <v>45063</v>
      </c>
      <c r="C2026" s="1">
        <v>45101</v>
      </c>
      <c r="D2026">
        <v>39</v>
      </c>
      <c r="E2026" t="s">
        <v>6</v>
      </c>
      <c r="F2026" t="s">
        <v>7</v>
      </c>
    </row>
    <row r="2027" spans="1:6" x14ac:dyDescent="0.3">
      <c r="A2027">
        <v>174289942</v>
      </c>
      <c r="B2027" s="1">
        <v>45063</v>
      </c>
      <c r="C2027" s="1">
        <v>45128</v>
      </c>
      <c r="D2027">
        <v>39</v>
      </c>
      <c r="E2027" t="s">
        <v>6</v>
      </c>
      <c r="F2027" t="s">
        <v>7</v>
      </c>
    </row>
    <row r="2028" spans="1:6" x14ac:dyDescent="0.3">
      <c r="A2028">
        <v>215366550</v>
      </c>
      <c r="B2028" s="1">
        <v>45063</v>
      </c>
      <c r="C2028" s="1">
        <v>45139</v>
      </c>
      <c r="D2028">
        <v>39</v>
      </c>
      <c r="E2028" t="s">
        <v>6</v>
      </c>
      <c r="F2028" t="s">
        <v>7</v>
      </c>
    </row>
    <row r="2029" spans="1:6" x14ac:dyDescent="0.3">
      <c r="A2029">
        <v>210361390</v>
      </c>
      <c r="B2029" s="1">
        <v>45064</v>
      </c>
      <c r="D2029">
        <v>39</v>
      </c>
      <c r="E2029" t="s">
        <v>6</v>
      </c>
      <c r="F2029" t="s">
        <v>7</v>
      </c>
    </row>
    <row r="2030" spans="1:6" x14ac:dyDescent="0.3">
      <c r="A2030">
        <v>120738319</v>
      </c>
      <c r="B2030" s="1">
        <v>45064</v>
      </c>
      <c r="D2030">
        <v>39</v>
      </c>
      <c r="E2030" t="s">
        <v>6</v>
      </c>
      <c r="F2030" t="s">
        <v>7</v>
      </c>
    </row>
    <row r="2031" spans="1:6" x14ac:dyDescent="0.3">
      <c r="A2031">
        <v>214122861</v>
      </c>
      <c r="B2031" s="1">
        <v>45064</v>
      </c>
      <c r="D2031">
        <v>39</v>
      </c>
      <c r="E2031" t="s">
        <v>6</v>
      </c>
      <c r="F2031" t="s">
        <v>7</v>
      </c>
    </row>
    <row r="2032" spans="1:6" x14ac:dyDescent="0.3">
      <c r="A2032">
        <v>214793162</v>
      </c>
      <c r="B2032" s="1">
        <v>45064</v>
      </c>
      <c r="D2032">
        <v>39</v>
      </c>
      <c r="E2032" t="s">
        <v>6</v>
      </c>
      <c r="F2032" t="s">
        <v>7</v>
      </c>
    </row>
    <row r="2033" spans="1:6" x14ac:dyDescent="0.3">
      <c r="A2033">
        <v>215420480</v>
      </c>
      <c r="B2033" s="1">
        <v>45064</v>
      </c>
      <c r="C2033" s="1">
        <v>45175</v>
      </c>
      <c r="D2033">
        <v>39</v>
      </c>
      <c r="E2033" t="s">
        <v>6</v>
      </c>
      <c r="F2033" t="s">
        <v>7</v>
      </c>
    </row>
    <row r="2034" spans="1:6" x14ac:dyDescent="0.3">
      <c r="A2034">
        <v>215415792</v>
      </c>
      <c r="B2034" s="1">
        <v>45064</v>
      </c>
      <c r="C2034" s="1">
        <v>45065</v>
      </c>
      <c r="D2034">
        <v>39</v>
      </c>
      <c r="E2034" t="s">
        <v>6</v>
      </c>
      <c r="F2034" t="s">
        <v>8</v>
      </c>
    </row>
    <row r="2035" spans="1:6" x14ac:dyDescent="0.3">
      <c r="A2035">
        <v>152705871</v>
      </c>
      <c r="B2035" s="1">
        <v>45064</v>
      </c>
      <c r="C2035" s="1">
        <v>45071</v>
      </c>
      <c r="D2035">
        <v>39</v>
      </c>
      <c r="E2035" t="s">
        <v>6</v>
      </c>
      <c r="F2035" t="s">
        <v>7</v>
      </c>
    </row>
    <row r="2036" spans="1:6" x14ac:dyDescent="0.3">
      <c r="A2036">
        <v>168265029</v>
      </c>
      <c r="B2036" s="1">
        <v>45064</v>
      </c>
      <c r="C2036" s="1">
        <v>45077</v>
      </c>
      <c r="D2036">
        <v>39</v>
      </c>
      <c r="E2036" t="s">
        <v>6</v>
      </c>
      <c r="F2036" t="s">
        <v>7</v>
      </c>
    </row>
    <row r="2037" spans="1:6" x14ac:dyDescent="0.3">
      <c r="A2037">
        <v>215428908</v>
      </c>
      <c r="B2037" s="1">
        <v>45064</v>
      </c>
      <c r="C2037" s="1">
        <v>45096</v>
      </c>
      <c r="D2037">
        <v>39</v>
      </c>
      <c r="E2037" t="s">
        <v>6</v>
      </c>
      <c r="F2037" t="s">
        <v>7</v>
      </c>
    </row>
    <row r="2038" spans="1:6" x14ac:dyDescent="0.3">
      <c r="A2038">
        <v>215189952</v>
      </c>
      <c r="B2038" s="1">
        <v>45064</v>
      </c>
      <c r="C2038" s="1">
        <v>45106</v>
      </c>
      <c r="D2038">
        <v>39</v>
      </c>
      <c r="E2038" t="s">
        <v>6</v>
      </c>
      <c r="F2038" t="s">
        <v>7</v>
      </c>
    </row>
    <row r="2039" spans="1:6" x14ac:dyDescent="0.3">
      <c r="A2039">
        <v>208168256</v>
      </c>
      <c r="B2039" s="1">
        <v>45064</v>
      </c>
      <c r="C2039" s="1">
        <v>45095</v>
      </c>
      <c r="D2039">
        <v>39</v>
      </c>
      <c r="E2039" t="s">
        <v>6</v>
      </c>
      <c r="F2039" t="s">
        <v>7</v>
      </c>
    </row>
    <row r="2040" spans="1:6" x14ac:dyDescent="0.3">
      <c r="A2040">
        <v>163193072</v>
      </c>
      <c r="B2040" s="1">
        <v>45065</v>
      </c>
      <c r="D2040">
        <v>39</v>
      </c>
      <c r="E2040" t="s">
        <v>6</v>
      </c>
      <c r="F2040" t="s">
        <v>7</v>
      </c>
    </row>
    <row r="2041" spans="1:6" x14ac:dyDescent="0.3">
      <c r="A2041">
        <v>153449481</v>
      </c>
      <c r="B2041" s="1">
        <v>45065</v>
      </c>
      <c r="C2041" s="1">
        <v>45066</v>
      </c>
      <c r="D2041">
        <v>39</v>
      </c>
      <c r="E2041" t="s">
        <v>6</v>
      </c>
      <c r="F2041" t="s">
        <v>7</v>
      </c>
    </row>
    <row r="2042" spans="1:6" x14ac:dyDescent="0.3">
      <c r="A2042">
        <v>215384745</v>
      </c>
      <c r="B2042" s="1">
        <v>45065</v>
      </c>
      <c r="C2042" s="1">
        <v>45095</v>
      </c>
      <c r="D2042">
        <v>39</v>
      </c>
      <c r="E2042" t="s">
        <v>6</v>
      </c>
      <c r="F2042" t="s">
        <v>7</v>
      </c>
    </row>
    <row r="2043" spans="1:6" x14ac:dyDescent="0.3">
      <c r="A2043">
        <v>160904253</v>
      </c>
      <c r="B2043" s="1">
        <v>45065</v>
      </c>
      <c r="C2043" s="1">
        <v>45103</v>
      </c>
      <c r="D2043">
        <v>39</v>
      </c>
      <c r="E2043" t="s">
        <v>6</v>
      </c>
      <c r="F2043" t="s">
        <v>7</v>
      </c>
    </row>
    <row r="2044" spans="1:6" x14ac:dyDescent="0.3">
      <c r="A2044">
        <v>215476119</v>
      </c>
      <c r="B2044" s="1">
        <v>45065</v>
      </c>
      <c r="C2044" s="1">
        <v>45103</v>
      </c>
      <c r="D2044">
        <v>39</v>
      </c>
      <c r="E2044" t="s">
        <v>6</v>
      </c>
      <c r="F2044" t="s">
        <v>7</v>
      </c>
    </row>
    <row r="2045" spans="1:6" x14ac:dyDescent="0.3">
      <c r="A2045">
        <v>214624328</v>
      </c>
      <c r="B2045" s="1">
        <v>45065</v>
      </c>
      <c r="C2045" s="1">
        <v>45091</v>
      </c>
      <c r="D2045">
        <v>39</v>
      </c>
      <c r="E2045" t="s">
        <v>6</v>
      </c>
      <c r="F2045" t="s">
        <v>7</v>
      </c>
    </row>
    <row r="2046" spans="1:6" x14ac:dyDescent="0.3">
      <c r="A2046">
        <v>215463105</v>
      </c>
      <c r="B2046" s="1">
        <v>45065</v>
      </c>
      <c r="C2046" s="1">
        <v>45073</v>
      </c>
      <c r="D2046">
        <v>39</v>
      </c>
      <c r="E2046" t="s">
        <v>6</v>
      </c>
      <c r="F2046" t="s">
        <v>7</v>
      </c>
    </row>
    <row r="2047" spans="1:6" x14ac:dyDescent="0.3">
      <c r="A2047">
        <v>187368519</v>
      </c>
      <c r="B2047" s="1">
        <v>45065</v>
      </c>
      <c r="C2047" s="1">
        <v>45164</v>
      </c>
      <c r="D2047">
        <v>39</v>
      </c>
      <c r="E2047" t="s">
        <v>6</v>
      </c>
      <c r="F2047" t="s">
        <v>7</v>
      </c>
    </row>
    <row r="2048" spans="1:6" x14ac:dyDescent="0.3">
      <c r="A2048">
        <v>206139986</v>
      </c>
      <c r="B2048" s="1">
        <v>45065</v>
      </c>
      <c r="C2048" s="1">
        <v>45125</v>
      </c>
      <c r="D2048">
        <v>39</v>
      </c>
      <c r="E2048" t="s">
        <v>6</v>
      </c>
      <c r="F2048" t="s">
        <v>7</v>
      </c>
    </row>
    <row r="2049" spans="1:6" x14ac:dyDescent="0.3">
      <c r="A2049">
        <v>215473481</v>
      </c>
      <c r="B2049" s="1">
        <v>45065</v>
      </c>
      <c r="C2049" s="1">
        <v>45121</v>
      </c>
      <c r="D2049">
        <v>39</v>
      </c>
      <c r="E2049" t="s">
        <v>6</v>
      </c>
      <c r="F2049" t="s">
        <v>7</v>
      </c>
    </row>
    <row r="2050" spans="1:6" x14ac:dyDescent="0.3">
      <c r="A2050">
        <v>214967111</v>
      </c>
      <c r="B2050" s="1">
        <v>45066</v>
      </c>
      <c r="D2050">
        <v>39</v>
      </c>
      <c r="E2050" t="s">
        <v>6</v>
      </c>
      <c r="F2050" t="s">
        <v>7</v>
      </c>
    </row>
    <row r="2051" spans="1:6" x14ac:dyDescent="0.3">
      <c r="A2051">
        <v>215472324</v>
      </c>
      <c r="B2051" s="1">
        <v>45066</v>
      </c>
      <c r="C2051" s="1">
        <v>45104</v>
      </c>
      <c r="D2051">
        <v>39</v>
      </c>
      <c r="E2051" t="s">
        <v>6</v>
      </c>
      <c r="F2051" t="s">
        <v>7</v>
      </c>
    </row>
    <row r="2052" spans="1:6" x14ac:dyDescent="0.3">
      <c r="A2052">
        <v>146557284</v>
      </c>
      <c r="B2052" s="1">
        <v>45066</v>
      </c>
      <c r="C2052" s="1">
        <v>45098</v>
      </c>
      <c r="D2052">
        <v>39</v>
      </c>
      <c r="E2052" t="s">
        <v>6</v>
      </c>
      <c r="F2052" t="s">
        <v>7</v>
      </c>
    </row>
    <row r="2053" spans="1:6" x14ac:dyDescent="0.3">
      <c r="A2053">
        <v>215486098</v>
      </c>
      <c r="B2053" s="1">
        <v>45067</v>
      </c>
      <c r="D2053">
        <v>39</v>
      </c>
      <c r="E2053" t="s">
        <v>6</v>
      </c>
      <c r="F2053" t="s">
        <v>7</v>
      </c>
    </row>
    <row r="2054" spans="1:6" x14ac:dyDescent="0.3">
      <c r="A2054">
        <v>119436804</v>
      </c>
      <c r="B2054" s="1">
        <v>45067</v>
      </c>
      <c r="D2054">
        <v>39</v>
      </c>
      <c r="E2054" t="s">
        <v>6</v>
      </c>
      <c r="F2054" t="s">
        <v>7</v>
      </c>
    </row>
    <row r="2055" spans="1:6" x14ac:dyDescent="0.3">
      <c r="A2055">
        <v>127100688</v>
      </c>
      <c r="B2055" s="1">
        <v>45067</v>
      </c>
      <c r="C2055" s="1">
        <v>45068</v>
      </c>
      <c r="D2055">
        <v>39</v>
      </c>
      <c r="E2055" t="s">
        <v>6</v>
      </c>
      <c r="F2055" t="s">
        <v>7</v>
      </c>
    </row>
    <row r="2056" spans="1:6" x14ac:dyDescent="0.3">
      <c r="A2056">
        <v>134524378</v>
      </c>
      <c r="B2056" s="1">
        <v>45067</v>
      </c>
      <c r="C2056" s="1">
        <v>45068</v>
      </c>
      <c r="D2056">
        <v>39</v>
      </c>
      <c r="E2056" t="s">
        <v>6</v>
      </c>
      <c r="F2056" t="s">
        <v>7</v>
      </c>
    </row>
    <row r="2057" spans="1:6" x14ac:dyDescent="0.3">
      <c r="A2057">
        <v>134652589</v>
      </c>
      <c r="B2057" s="1">
        <v>45067</v>
      </c>
      <c r="C2057" s="1">
        <v>45067</v>
      </c>
      <c r="D2057">
        <v>39</v>
      </c>
      <c r="E2057" t="s">
        <v>6</v>
      </c>
      <c r="F2057" t="s">
        <v>7</v>
      </c>
    </row>
    <row r="2058" spans="1:6" x14ac:dyDescent="0.3">
      <c r="A2058">
        <v>214134251</v>
      </c>
      <c r="B2058" s="1">
        <v>45067</v>
      </c>
      <c r="C2058" s="1">
        <v>45068</v>
      </c>
      <c r="D2058">
        <v>39</v>
      </c>
      <c r="E2058" t="s">
        <v>6</v>
      </c>
      <c r="F2058" t="s">
        <v>8</v>
      </c>
    </row>
    <row r="2059" spans="1:6" x14ac:dyDescent="0.3">
      <c r="A2059">
        <v>215565049</v>
      </c>
      <c r="B2059" s="1">
        <v>45067</v>
      </c>
      <c r="C2059" s="1">
        <v>45067</v>
      </c>
      <c r="D2059">
        <v>39</v>
      </c>
      <c r="E2059" t="s">
        <v>6</v>
      </c>
      <c r="F2059" t="s">
        <v>7</v>
      </c>
    </row>
    <row r="2060" spans="1:6" x14ac:dyDescent="0.3">
      <c r="A2060">
        <v>215606026</v>
      </c>
      <c r="B2060" s="1">
        <v>45067</v>
      </c>
      <c r="C2060" s="1">
        <v>45127</v>
      </c>
      <c r="D2060">
        <v>39</v>
      </c>
      <c r="E2060" t="s">
        <v>6</v>
      </c>
      <c r="F2060" t="s">
        <v>7</v>
      </c>
    </row>
    <row r="2061" spans="1:6" x14ac:dyDescent="0.3">
      <c r="A2061">
        <v>215678881</v>
      </c>
      <c r="B2061" s="1">
        <v>45068</v>
      </c>
      <c r="D2061">
        <v>39</v>
      </c>
      <c r="E2061" t="s">
        <v>6</v>
      </c>
      <c r="F2061" t="s">
        <v>7</v>
      </c>
    </row>
    <row r="2062" spans="1:6" x14ac:dyDescent="0.3">
      <c r="A2062">
        <v>212356610</v>
      </c>
      <c r="B2062" s="1">
        <v>45068</v>
      </c>
      <c r="D2062">
        <v>39</v>
      </c>
      <c r="E2062" t="s">
        <v>6</v>
      </c>
      <c r="F2062" t="s">
        <v>7</v>
      </c>
    </row>
    <row r="2063" spans="1:6" x14ac:dyDescent="0.3">
      <c r="A2063">
        <v>215336118</v>
      </c>
      <c r="B2063" s="1">
        <v>45068</v>
      </c>
      <c r="D2063">
        <v>39</v>
      </c>
      <c r="E2063" t="s">
        <v>6</v>
      </c>
      <c r="F2063" t="s">
        <v>7</v>
      </c>
    </row>
    <row r="2064" spans="1:6" x14ac:dyDescent="0.3">
      <c r="A2064">
        <v>215664306</v>
      </c>
      <c r="B2064" s="1">
        <v>45068</v>
      </c>
      <c r="D2064">
        <v>39</v>
      </c>
      <c r="E2064" t="s">
        <v>6</v>
      </c>
      <c r="F2064" t="s">
        <v>7</v>
      </c>
    </row>
    <row r="2065" spans="1:6" x14ac:dyDescent="0.3">
      <c r="A2065">
        <v>215643802</v>
      </c>
      <c r="B2065" s="1">
        <v>45068</v>
      </c>
      <c r="D2065">
        <v>39</v>
      </c>
      <c r="E2065" t="s">
        <v>6</v>
      </c>
      <c r="F2065" t="s">
        <v>7</v>
      </c>
    </row>
    <row r="2066" spans="1:6" x14ac:dyDescent="0.3">
      <c r="A2066">
        <v>206177720</v>
      </c>
      <c r="B2066" s="1">
        <v>45068</v>
      </c>
      <c r="C2066" s="1">
        <v>45069</v>
      </c>
      <c r="D2066">
        <v>39</v>
      </c>
      <c r="E2066" t="s">
        <v>6</v>
      </c>
      <c r="F2066" t="s">
        <v>8</v>
      </c>
    </row>
    <row r="2067" spans="1:6" x14ac:dyDescent="0.3">
      <c r="A2067">
        <v>215691994</v>
      </c>
      <c r="B2067" s="1">
        <v>45068</v>
      </c>
      <c r="C2067" s="1">
        <v>45159</v>
      </c>
      <c r="D2067">
        <v>39</v>
      </c>
      <c r="E2067" t="s">
        <v>6</v>
      </c>
      <c r="F2067" t="s">
        <v>7</v>
      </c>
    </row>
    <row r="2068" spans="1:6" x14ac:dyDescent="0.3">
      <c r="A2068">
        <v>215653406</v>
      </c>
      <c r="B2068" s="1">
        <v>45069</v>
      </c>
      <c r="D2068">
        <v>39</v>
      </c>
      <c r="E2068" t="s">
        <v>6</v>
      </c>
      <c r="F2068" t="s">
        <v>7</v>
      </c>
    </row>
    <row r="2069" spans="1:6" x14ac:dyDescent="0.3">
      <c r="A2069">
        <v>215534470</v>
      </c>
      <c r="B2069" s="1">
        <v>45069</v>
      </c>
      <c r="C2069" s="1">
        <v>45070</v>
      </c>
      <c r="D2069">
        <v>39</v>
      </c>
      <c r="E2069" t="s">
        <v>6</v>
      </c>
      <c r="F2069" t="s">
        <v>7</v>
      </c>
    </row>
    <row r="2070" spans="1:6" x14ac:dyDescent="0.3">
      <c r="A2070">
        <v>150751482</v>
      </c>
      <c r="B2070" s="1">
        <v>45069</v>
      </c>
      <c r="C2070" s="1">
        <v>45127</v>
      </c>
      <c r="D2070">
        <v>39</v>
      </c>
      <c r="E2070" t="s">
        <v>6</v>
      </c>
      <c r="F2070" t="s">
        <v>7</v>
      </c>
    </row>
    <row r="2071" spans="1:6" x14ac:dyDescent="0.3">
      <c r="A2071">
        <v>208601341</v>
      </c>
      <c r="B2071" s="1">
        <v>45069</v>
      </c>
      <c r="C2071" s="1">
        <v>45115</v>
      </c>
      <c r="D2071">
        <v>39</v>
      </c>
      <c r="E2071" t="s">
        <v>6</v>
      </c>
      <c r="F2071" t="s">
        <v>7</v>
      </c>
    </row>
    <row r="2072" spans="1:6" x14ac:dyDescent="0.3">
      <c r="A2072">
        <v>215473479</v>
      </c>
      <c r="B2072" s="1">
        <v>45069</v>
      </c>
      <c r="C2072" s="1">
        <v>45103</v>
      </c>
      <c r="D2072">
        <v>39</v>
      </c>
      <c r="E2072" t="s">
        <v>6</v>
      </c>
      <c r="F2072" t="s">
        <v>7</v>
      </c>
    </row>
    <row r="2073" spans="1:6" x14ac:dyDescent="0.3">
      <c r="A2073">
        <v>215646044</v>
      </c>
      <c r="B2073" s="1">
        <v>45069</v>
      </c>
      <c r="C2073" s="1">
        <v>45098</v>
      </c>
      <c r="D2073">
        <v>39</v>
      </c>
      <c r="E2073" t="s">
        <v>6</v>
      </c>
      <c r="F2073" t="s">
        <v>7</v>
      </c>
    </row>
    <row r="2074" spans="1:6" x14ac:dyDescent="0.3">
      <c r="A2074">
        <v>215686983</v>
      </c>
      <c r="B2074" s="1">
        <v>45069</v>
      </c>
      <c r="C2074" s="1">
        <v>45103</v>
      </c>
      <c r="D2074">
        <v>39</v>
      </c>
      <c r="E2074" t="s">
        <v>6</v>
      </c>
      <c r="F2074" t="s">
        <v>7</v>
      </c>
    </row>
    <row r="2075" spans="1:6" x14ac:dyDescent="0.3">
      <c r="A2075">
        <v>215704655</v>
      </c>
      <c r="B2075" s="1">
        <v>45070</v>
      </c>
      <c r="D2075">
        <v>39</v>
      </c>
      <c r="E2075" t="s">
        <v>6</v>
      </c>
      <c r="F2075" t="s">
        <v>7</v>
      </c>
    </row>
    <row r="2076" spans="1:6" x14ac:dyDescent="0.3">
      <c r="A2076">
        <v>131984682</v>
      </c>
      <c r="B2076" s="1">
        <v>45070</v>
      </c>
      <c r="C2076" s="1">
        <v>45116</v>
      </c>
      <c r="D2076">
        <v>39</v>
      </c>
      <c r="E2076" t="s">
        <v>6</v>
      </c>
      <c r="F2076" t="s">
        <v>7</v>
      </c>
    </row>
    <row r="2077" spans="1:6" x14ac:dyDescent="0.3">
      <c r="A2077">
        <v>214698924</v>
      </c>
      <c r="B2077" s="1">
        <v>45070</v>
      </c>
      <c r="C2077" s="1">
        <v>45104</v>
      </c>
      <c r="D2077">
        <v>39</v>
      </c>
      <c r="E2077" t="s">
        <v>6</v>
      </c>
      <c r="F2077" t="s">
        <v>7</v>
      </c>
    </row>
    <row r="2078" spans="1:6" x14ac:dyDescent="0.3">
      <c r="A2078">
        <v>183886863</v>
      </c>
      <c r="B2078" s="1">
        <v>45070</v>
      </c>
      <c r="C2078" s="1">
        <v>45070</v>
      </c>
      <c r="D2078">
        <v>39</v>
      </c>
      <c r="E2078" t="s">
        <v>6</v>
      </c>
      <c r="F2078" t="s">
        <v>7</v>
      </c>
    </row>
    <row r="2079" spans="1:6" x14ac:dyDescent="0.3">
      <c r="A2079">
        <v>215869320</v>
      </c>
      <c r="B2079" s="1">
        <v>45071</v>
      </c>
      <c r="D2079">
        <v>39</v>
      </c>
      <c r="E2079" t="s">
        <v>6</v>
      </c>
      <c r="F2079" t="s">
        <v>7</v>
      </c>
    </row>
    <row r="2080" spans="1:6" x14ac:dyDescent="0.3">
      <c r="A2080">
        <v>215616284</v>
      </c>
      <c r="B2080" s="1">
        <v>45071</v>
      </c>
      <c r="D2080">
        <v>39</v>
      </c>
      <c r="E2080" t="s">
        <v>6</v>
      </c>
      <c r="F2080" t="s">
        <v>7</v>
      </c>
    </row>
    <row r="2081" spans="1:6" x14ac:dyDescent="0.3">
      <c r="A2081">
        <v>215896078</v>
      </c>
      <c r="B2081" s="1">
        <v>45071</v>
      </c>
      <c r="D2081">
        <v>39</v>
      </c>
      <c r="E2081" t="s">
        <v>6</v>
      </c>
      <c r="F2081" t="s">
        <v>7</v>
      </c>
    </row>
    <row r="2082" spans="1:6" x14ac:dyDescent="0.3">
      <c r="A2082">
        <v>215910170</v>
      </c>
      <c r="B2082" s="1">
        <v>45071</v>
      </c>
      <c r="D2082">
        <v>39</v>
      </c>
      <c r="E2082" t="s">
        <v>6</v>
      </c>
      <c r="F2082" t="s">
        <v>7</v>
      </c>
    </row>
    <row r="2083" spans="1:6" x14ac:dyDescent="0.3">
      <c r="A2083">
        <v>211754109</v>
      </c>
      <c r="B2083" s="1">
        <v>45071</v>
      </c>
      <c r="C2083" s="1">
        <v>45072</v>
      </c>
      <c r="D2083">
        <v>39</v>
      </c>
      <c r="E2083" t="s">
        <v>6</v>
      </c>
      <c r="F2083" t="s">
        <v>8</v>
      </c>
    </row>
    <row r="2084" spans="1:6" x14ac:dyDescent="0.3">
      <c r="A2084">
        <v>205682690</v>
      </c>
      <c r="B2084" s="1">
        <v>45071</v>
      </c>
      <c r="C2084" s="1">
        <v>45072</v>
      </c>
      <c r="D2084">
        <v>39</v>
      </c>
      <c r="E2084" t="s">
        <v>6</v>
      </c>
      <c r="F2084" t="s">
        <v>7</v>
      </c>
    </row>
    <row r="2085" spans="1:6" x14ac:dyDescent="0.3">
      <c r="A2085">
        <v>151412112</v>
      </c>
      <c r="B2085" s="1">
        <v>45071</v>
      </c>
      <c r="C2085" s="1">
        <v>45096</v>
      </c>
      <c r="D2085">
        <v>39</v>
      </c>
      <c r="E2085" t="s">
        <v>6</v>
      </c>
      <c r="F2085" t="s">
        <v>7</v>
      </c>
    </row>
    <row r="2086" spans="1:6" x14ac:dyDescent="0.3">
      <c r="A2086">
        <v>154467458</v>
      </c>
      <c r="B2086" s="1">
        <v>45071</v>
      </c>
      <c r="C2086" s="1">
        <v>45106</v>
      </c>
      <c r="D2086">
        <v>39</v>
      </c>
      <c r="E2086" t="s">
        <v>6</v>
      </c>
      <c r="F2086" t="s">
        <v>7</v>
      </c>
    </row>
    <row r="2087" spans="1:6" x14ac:dyDescent="0.3">
      <c r="A2087">
        <v>212339137</v>
      </c>
      <c r="B2087" s="1">
        <v>45071</v>
      </c>
      <c r="C2087" s="1">
        <v>45109</v>
      </c>
      <c r="D2087">
        <v>39</v>
      </c>
      <c r="E2087" t="s">
        <v>6</v>
      </c>
      <c r="F2087" t="s">
        <v>7</v>
      </c>
    </row>
    <row r="2088" spans="1:6" x14ac:dyDescent="0.3">
      <c r="A2088">
        <v>215894271</v>
      </c>
      <c r="B2088" s="1">
        <v>45071</v>
      </c>
      <c r="C2088" s="1">
        <v>45092</v>
      </c>
      <c r="D2088">
        <v>39</v>
      </c>
      <c r="E2088" t="s">
        <v>6</v>
      </c>
      <c r="F2088" t="s">
        <v>7</v>
      </c>
    </row>
    <row r="2089" spans="1:6" x14ac:dyDescent="0.3">
      <c r="A2089">
        <v>215908442</v>
      </c>
      <c r="B2089" s="1">
        <v>45071</v>
      </c>
      <c r="C2089" s="1">
        <v>45155</v>
      </c>
      <c r="D2089">
        <v>39</v>
      </c>
      <c r="E2089" t="s">
        <v>6</v>
      </c>
      <c r="F2089" t="s">
        <v>7</v>
      </c>
    </row>
    <row r="2090" spans="1:6" x14ac:dyDescent="0.3">
      <c r="A2090">
        <v>136032360</v>
      </c>
      <c r="B2090" s="1">
        <v>45071</v>
      </c>
      <c r="C2090" s="1">
        <v>45163</v>
      </c>
      <c r="D2090">
        <v>39</v>
      </c>
      <c r="E2090" t="s">
        <v>6</v>
      </c>
      <c r="F2090" t="s">
        <v>7</v>
      </c>
    </row>
    <row r="2091" spans="1:6" x14ac:dyDescent="0.3">
      <c r="A2091">
        <v>215956542</v>
      </c>
      <c r="B2091" s="1">
        <v>45072</v>
      </c>
      <c r="D2091">
        <v>39</v>
      </c>
      <c r="E2091" t="s">
        <v>6</v>
      </c>
      <c r="F2091" t="s">
        <v>7</v>
      </c>
    </row>
    <row r="2092" spans="1:6" x14ac:dyDescent="0.3">
      <c r="A2092">
        <v>215947247</v>
      </c>
      <c r="B2092" s="1">
        <v>45072</v>
      </c>
      <c r="D2092">
        <v>39</v>
      </c>
      <c r="E2092" t="s">
        <v>6</v>
      </c>
      <c r="F2092" t="s">
        <v>7</v>
      </c>
    </row>
    <row r="2093" spans="1:6" x14ac:dyDescent="0.3">
      <c r="A2093">
        <v>122830574</v>
      </c>
      <c r="B2093" s="1">
        <v>45072</v>
      </c>
      <c r="D2093">
        <v>39</v>
      </c>
      <c r="E2093" t="s">
        <v>6</v>
      </c>
      <c r="F2093" t="s">
        <v>7</v>
      </c>
    </row>
    <row r="2094" spans="1:6" x14ac:dyDescent="0.3">
      <c r="A2094">
        <v>206904025</v>
      </c>
      <c r="B2094" s="1">
        <v>45072</v>
      </c>
      <c r="C2094" s="1">
        <v>45073</v>
      </c>
      <c r="D2094">
        <v>39</v>
      </c>
      <c r="E2094" t="s">
        <v>6</v>
      </c>
      <c r="F2094" t="s">
        <v>8</v>
      </c>
    </row>
    <row r="2095" spans="1:6" x14ac:dyDescent="0.3">
      <c r="A2095">
        <v>153396366</v>
      </c>
      <c r="B2095" s="1">
        <v>45072</v>
      </c>
      <c r="C2095" s="1">
        <v>45104</v>
      </c>
      <c r="D2095">
        <v>39</v>
      </c>
      <c r="E2095" t="s">
        <v>6</v>
      </c>
      <c r="F2095" t="s">
        <v>7</v>
      </c>
    </row>
    <row r="2096" spans="1:6" x14ac:dyDescent="0.3">
      <c r="A2096">
        <v>200304509</v>
      </c>
      <c r="B2096" s="1">
        <v>45072</v>
      </c>
      <c r="C2096" s="1">
        <v>45094</v>
      </c>
      <c r="D2096">
        <v>39</v>
      </c>
      <c r="E2096" t="s">
        <v>6</v>
      </c>
      <c r="F2096" t="s">
        <v>7</v>
      </c>
    </row>
    <row r="2097" spans="1:6" x14ac:dyDescent="0.3">
      <c r="A2097">
        <v>215867874</v>
      </c>
      <c r="B2097" s="1">
        <v>45072</v>
      </c>
      <c r="C2097" s="1">
        <v>45095</v>
      </c>
      <c r="D2097">
        <v>39</v>
      </c>
      <c r="E2097" t="s">
        <v>6</v>
      </c>
      <c r="F2097" t="s">
        <v>7</v>
      </c>
    </row>
    <row r="2098" spans="1:6" x14ac:dyDescent="0.3">
      <c r="A2098">
        <v>215869887</v>
      </c>
      <c r="B2098" s="1">
        <v>45072</v>
      </c>
      <c r="C2098" s="1">
        <v>45088</v>
      </c>
      <c r="D2098">
        <v>39</v>
      </c>
      <c r="E2098" t="s">
        <v>6</v>
      </c>
      <c r="F2098" t="s">
        <v>7</v>
      </c>
    </row>
    <row r="2099" spans="1:6" x14ac:dyDescent="0.3">
      <c r="A2099">
        <v>134652589</v>
      </c>
      <c r="B2099" s="1">
        <v>45072</v>
      </c>
      <c r="C2099" s="1">
        <v>45087</v>
      </c>
      <c r="D2099">
        <v>39</v>
      </c>
      <c r="E2099" t="s">
        <v>6</v>
      </c>
      <c r="F2099" t="s">
        <v>7</v>
      </c>
    </row>
    <row r="2100" spans="1:6" x14ac:dyDescent="0.3">
      <c r="A2100">
        <v>215759517</v>
      </c>
      <c r="B2100" s="1">
        <v>45072</v>
      </c>
      <c r="C2100" s="1">
        <v>45171</v>
      </c>
      <c r="D2100">
        <v>39</v>
      </c>
      <c r="E2100" t="s">
        <v>6</v>
      </c>
      <c r="F2100" t="s">
        <v>7</v>
      </c>
    </row>
    <row r="2101" spans="1:6" x14ac:dyDescent="0.3">
      <c r="A2101">
        <v>152004313</v>
      </c>
      <c r="B2101" s="1">
        <v>45072</v>
      </c>
      <c r="C2101" s="1">
        <v>45111</v>
      </c>
      <c r="D2101">
        <v>39</v>
      </c>
      <c r="E2101" t="s">
        <v>6</v>
      </c>
      <c r="F2101" t="s">
        <v>7</v>
      </c>
    </row>
    <row r="2102" spans="1:6" x14ac:dyDescent="0.3">
      <c r="A2102">
        <v>215931788</v>
      </c>
      <c r="B2102" s="1">
        <v>45072</v>
      </c>
      <c r="C2102" s="1">
        <v>45104</v>
      </c>
      <c r="D2102">
        <v>39</v>
      </c>
      <c r="E2102" t="s">
        <v>6</v>
      </c>
      <c r="F2102" t="s">
        <v>7</v>
      </c>
    </row>
    <row r="2103" spans="1:6" x14ac:dyDescent="0.3">
      <c r="A2103">
        <v>215792692</v>
      </c>
      <c r="B2103" s="1">
        <v>45072</v>
      </c>
      <c r="C2103" s="1">
        <v>45132</v>
      </c>
      <c r="D2103">
        <v>39</v>
      </c>
      <c r="E2103" t="s">
        <v>6</v>
      </c>
      <c r="F2103" t="s">
        <v>7</v>
      </c>
    </row>
    <row r="2104" spans="1:6" x14ac:dyDescent="0.3">
      <c r="A2104">
        <v>205507364</v>
      </c>
      <c r="B2104" s="1">
        <v>45072</v>
      </c>
      <c r="C2104" s="1">
        <v>45133</v>
      </c>
      <c r="D2104">
        <v>39</v>
      </c>
      <c r="E2104" t="s">
        <v>6</v>
      </c>
      <c r="F2104" t="s">
        <v>7</v>
      </c>
    </row>
    <row r="2105" spans="1:6" x14ac:dyDescent="0.3">
      <c r="A2105">
        <v>130016916</v>
      </c>
      <c r="B2105" s="1">
        <v>45072</v>
      </c>
      <c r="C2105" s="1">
        <v>45133</v>
      </c>
      <c r="D2105">
        <v>39</v>
      </c>
      <c r="E2105" t="s">
        <v>6</v>
      </c>
      <c r="F2105" t="s">
        <v>7</v>
      </c>
    </row>
    <row r="2106" spans="1:6" x14ac:dyDescent="0.3">
      <c r="A2106">
        <v>174991614</v>
      </c>
      <c r="B2106" s="1">
        <v>45073</v>
      </c>
      <c r="D2106">
        <v>39</v>
      </c>
      <c r="E2106" t="s">
        <v>6</v>
      </c>
      <c r="F2106" t="s">
        <v>7</v>
      </c>
    </row>
    <row r="2107" spans="1:6" x14ac:dyDescent="0.3">
      <c r="A2107">
        <v>118197872</v>
      </c>
      <c r="B2107" s="1">
        <v>45073</v>
      </c>
      <c r="D2107">
        <v>39</v>
      </c>
      <c r="E2107" t="s">
        <v>6</v>
      </c>
      <c r="F2107" t="s">
        <v>7</v>
      </c>
    </row>
    <row r="2108" spans="1:6" x14ac:dyDescent="0.3">
      <c r="A2108">
        <v>215906516</v>
      </c>
      <c r="B2108" s="1">
        <v>45073</v>
      </c>
      <c r="D2108">
        <v>39</v>
      </c>
      <c r="E2108" t="s">
        <v>6</v>
      </c>
      <c r="F2108" t="s">
        <v>7</v>
      </c>
    </row>
    <row r="2109" spans="1:6" x14ac:dyDescent="0.3">
      <c r="A2109">
        <v>116197941</v>
      </c>
      <c r="B2109" s="1">
        <v>45073</v>
      </c>
      <c r="C2109" s="1">
        <v>45141</v>
      </c>
      <c r="D2109">
        <v>39</v>
      </c>
      <c r="E2109" t="s">
        <v>6</v>
      </c>
      <c r="F2109" t="s">
        <v>7</v>
      </c>
    </row>
    <row r="2110" spans="1:6" x14ac:dyDescent="0.3">
      <c r="A2110">
        <v>215973039</v>
      </c>
      <c r="B2110" s="1">
        <v>45073</v>
      </c>
      <c r="C2110" s="1">
        <v>45080</v>
      </c>
      <c r="D2110">
        <v>39</v>
      </c>
      <c r="E2110" t="s">
        <v>6</v>
      </c>
      <c r="F2110" t="s">
        <v>7</v>
      </c>
    </row>
    <row r="2111" spans="1:6" x14ac:dyDescent="0.3">
      <c r="A2111">
        <v>147761700</v>
      </c>
      <c r="B2111" s="1">
        <v>45073</v>
      </c>
      <c r="C2111" s="1">
        <v>45085</v>
      </c>
      <c r="D2111">
        <v>39</v>
      </c>
      <c r="E2111" t="s">
        <v>6</v>
      </c>
      <c r="F2111" t="s">
        <v>7</v>
      </c>
    </row>
    <row r="2112" spans="1:6" x14ac:dyDescent="0.3">
      <c r="A2112">
        <v>215943650</v>
      </c>
      <c r="B2112" s="1">
        <v>45073</v>
      </c>
      <c r="C2112" s="1">
        <v>45111</v>
      </c>
      <c r="D2112">
        <v>39</v>
      </c>
      <c r="E2112" t="s">
        <v>6</v>
      </c>
      <c r="F2112" t="s">
        <v>7</v>
      </c>
    </row>
    <row r="2113" spans="1:6" x14ac:dyDescent="0.3">
      <c r="A2113">
        <v>157259062</v>
      </c>
      <c r="B2113" s="1">
        <v>45073</v>
      </c>
      <c r="C2113" s="1">
        <v>45111</v>
      </c>
      <c r="D2113">
        <v>39</v>
      </c>
      <c r="E2113" t="s">
        <v>6</v>
      </c>
      <c r="F2113" t="s">
        <v>7</v>
      </c>
    </row>
    <row r="2114" spans="1:6" x14ac:dyDescent="0.3">
      <c r="A2114">
        <v>216001506</v>
      </c>
      <c r="B2114" s="1">
        <v>45073</v>
      </c>
      <c r="C2114" s="1">
        <v>45133</v>
      </c>
      <c r="D2114">
        <v>39</v>
      </c>
      <c r="E2114" t="s">
        <v>6</v>
      </c>
      <c r="F2114" t="s">
        <v>7</v>
      </c>
    </row>
    <row r="2115" spans="1:6" x14ac:dyDescent="0.3">
      <c r="A2115">
        <v>199306900</v>
      </c>
      <c r="B2115" s="1">
        <v>45073</v>
      </c>
      <c r="C2115" s="1">
        <v>45172</v>
      </c>
      <c r="D2115">
        <v>39</v>
      </c>
      <c r="E2115" t="s">
        <v>6</v>
      </c>
      <c r="F2115" t="s">
        <v>7</v>
      </c>
    </row>
    <row r="2116" spans="1:6" x14ac:dyDescent="0.3">
      <c r="A2116">
        <v>156245288</v>
      </c>
      <c r="B2116" s="1">
        <v>45074</v>
      </c>
      <c r="D2116">
        <v>39</v>
      </c>
      <c r="E2116" t="s">
        <v>6</v>
      </c>
      <c r="F2116" t="s">
        <v>7</v>
      </c>
    </row>
    <row r="2117" spans="1:6" x14ac:dyDescent="0.3">
      <c r="A2117">
        <v>211904765</v>
      </c>
      <c r="B2117" s="1">
        <v>45074</v>
      </c>
      <c r="D2117">
        <v>39</v>
      </c>
      <c r="E2117" t="s">
        <v>6</v>
      </c>
      <c r="F2117" t="s">
        <v>7</v>
      </c>
    </row>
    <row r="2118" spans="1:6" x14ac:dyDescent="0.3">
      <c r="A2118">
        <v>215832805</v>
      </c>
      <c r="B2118" s="1">
        <v>45074</v>
      </c>
      <c r="D2118">
        <v>39</v>
      </c>
      <c r="E2118" t="s">
        <v>6</v>
      </c>
      <c r="F2118" t="s">
        <v>7</v>
      </c>
    </row>
    <row r="2119" spans="1:6" x14ac:dyDescent="0.3">
      <c r="A2119">
        <v>156403612</v>
      </c>
      <c r="B2119" s="1">
        <v>45075</v>
      </c>
      <c r="D2119">
        <v>39</v>
      </c>
      <c r="E2119" t="s">
        <v>6</v>
      </c>
      <c r="F2119" t="s">
        <v>7</v>
      </c>
    </row>
    <row r="2120" spans="1:6" x14ac:dyDescent="0.3">
      <c r="A2120">
        <v>216062001</v>
      </c>
      <c r="B2120" s="1">
        <v>45075</v>
      </c>
      <c r="D2120">
        <v>39</v>
      </c>
      <c r="E2120" t="s">
        <v>6</v>
      </c>
      <c r="F2120" t="s">
        <v>7</v>
      </c>
    </row>
    <row r="2121" spans="1:6" x14ac:dyDescent="0.3">
      <c r="A2121">
        <v>216083936</v>
      </c>
      <c r="B2121" s="1">
        <v>45075</v>
      </c>
      <c r="D2121">
        <v>39</v>
      </c>
      <c r="E2121" t="s">
        <v>6</v>
      </c>
      <c r="F2121" t="s">
        <v>7</v>
      </c>
    </row>
    <row r="2122" spans="1:6" x14ac:dyDescent="0.3">
      <c r="A2122">
        <v>215568210</v>
      </c>
      <c r="B2122" s="1">
        <v>45075</v>
      </c>
      <c r="C2122" s="1">
        <v>45166</v>
      </c>
      <c r="D2122">
        <v>39</v>
      </c>
      <c r="E2122" t="s">
        <v>6</v>
      </c>
      <c r="F2122" t="s">
        <v>7</v>
      </c>
    </row>
    <row r="2123" spans="1:6" x14ac:dyDescent="0.3">
      <c r="A2123">
        <v>181480437</v>
      </c>
      <c r="B2123" s="1">
        <v>45075</v>
      </c>
      <c r="C2123" s="1">
        <v>45110</v>
      </c>
      <c r="D2123">
        <v>39</v>
      </c>
      <c r="E2123" t="s">
        <v>6</v>
      </c>
      <c r="F2123" t="s">
        <v>7</v>
      </c>
    </row>
    <row r="2124" spans="1:6" x14ac:dyDescent="0.3">
      <c r="A2124">
        <v>147197398</v>
      </c>
      <c r="B2124" s="1">
        <v>45076</v>
      </c>
      <c r="D2124">
        <v>39</v>
      </c>
      <c r="E2124" t="s">
        <v>6</v>
      </c>
      <c r="F2124" t="s">
        <v>7</v>
      </c>
    </row>
    <row r="2125" spans="1:6" x14ac:dyDescent="0.3">
      <c r="A2125">
        <v>212051648</v>
      </c>
      <c r="B2125" s="1">
        <v>45076</v>
      </c>
      <c r="D2125">
        <v>39</v>
      </c>
      <c r="E2125" t="s">
        <v>6</v>
      </c>
      <c r="F2125" t="s">
        <v>7</v>
      </c>
    </row>
    <row r="2126" spans="1:6" x14ac:dyDescent="0.3">
      <c r="A2126">
        <v>216141502</v>
      </c>
      <c r="B2126" s="1">
        <v>45076</v>
      </c>
      <c r="D2126">
        <v>39</v>
      </c>
      <c r="E2126" t="s">
        <v>6</v>
      </c>
      <c r="F2126" t="s">
        <v>7</v>
      </c>
    </row>
    <row r="2127" spans="1:6" x14ac:dyDescent="0.3">
      <c r="A2127">
        <v>216136975</v>
      </c>
      <c r="B2127" s="1">
        <v>45076</v>
      </c>
      <c r="D2127">
        <v>39</v>
      </c>
      <c r="E2127" t="s">
        <v>6</v>
      </c>
      <c r="F2127" t="s">
        <v>7</v>
      </c>
    </row>
    <row r="2128" spans="1:6" x14ac:dyDescent="0.3">
      <c r="A2128">
        <v>213240907</v>
      </c>
      <c r="B2128" s="1">
        <v>45076</v>
      </c>
      <c r="D2128">
        <v>39</v>
      </c>
      <c r="E2128" t="s">
        <v>6</v>
      </c>
      <c r="F2128" t="s">
        <v>7</v>
      </c>
    </row>
    <row r="2129" spans="1:6" x14ac:dyDescent="0.3">
      <c r="A2129">
        <v>204739496</v>
      </c>
      <c r="B2129" s="1">
        <v>45076</v>
      </c>
      <c r="C2129" s="1">
        <v>45172</v>
      </c>
      <c r="D2129">
        <v>39</v>
      </c>
      <c r="E2129" t="s">
        <v>6</v>
      </c>
      <c r="F2129" t="s">
        <v>7</v>
      </c>
    </row>
    <row r="2130" spans="1:6" x14ac:dyDescent="0.3">
      <c r="A2130">
        <v>203366396</v>
      </c>
      <c r="B2130" s="1">
        <v>45076</v>
      </c>
      <c r="C2130" s="1">
        <v>45077</v>
      </c>
      <c r="D2130">
        <v>39</v>
      </c>
      <c r="E2130" t="s">
        <v>6</v>
      </c>
      <c r="F2130" t="s">
        <v>7</v>
      </c>
    </row>
    <row r="2131" spans="1:6" x14ac:dyDescent="0.3">
      <c r="A2131">
        <v>216136446</v>
      </c>
      <c r="B2131" s="1">
        <v>45076</v>
      </c>
      <c r="C2131" s="1">
        <v>45105</v>
      </c>
      <c r="D2131">
        <v>39</v>
      </c>
      <c r="E2131" t="s">
        <v>6</v>
      </c>
      <c r="F2131" t="s">
        <v>7</v>
      </c>
    </row>
    <row r="2132" spans="1:6" x14ac:dyDescent="0.3">
      <c r="A2132">
        <v>216139586</v>
      </c>
      <c r="B2132" s="1">
        <v>45076</v>
      </c>
      <c r="C2132" s="1">
        <v>45107</v>
      </c>
      <c r="D2132">
        <v>39</v>
      </c>
      <c r="E2132" t="s">
        <v>6</v>
      </c>
      <c r="F2132" t="s">
        <v>7</v>
      </c>
    </row>
    <row r="2133" spans="1:6" x14ac:dyDescent="0.3">
      <c r="A2133">
        <v>216126416</v>
      </c>
      <c r="B2133" s="1">
        <v>45076</v>
      </c>
      <c r="C2133" s="1">
        <v>45081</v>
      </c>
      <c r="D2133">
        <v>39</v>
      </c>
      <c r="E2133" t="s">
        <v>6</v>
      </c>
      <c r="F2133" t="s">
        <v>7</v>
      </c>
    </row>
    <row r="2134" spans="1:6" x14ac:dyDescent="0.3">
      <c r="A2134">
        <v>216181144</v>
      </c>
      <c r="B2134" s="1">
        <v>45076</v>
      </c>
      <c r="C2134" s="1">
        <v>45114</v>
      </c>
      <c r="D2134">
        <v>39</v>
      </c>
      <c r="E2134" t="s">
        <v>6</v>
      </c>
      <c r="F2134" t="s">
        <v>7</v>
      </c>
    </row>
    <row r="2135" spans="1:6" x14ac:dyDescent="0.3">
      <c r="A2135">
        <v>216100714</v>
      </c>
      <c r="B2135" s="1">
        <v>45076</v>
      </c>
      <c r="C2135" s="1">
        <v>45140</v>
      </c>
      <c r="D2135">
        <v>39</v>
      </c>
      <c r="E2135" t="s">
        <v>6</v>
      </c>
      <c r="F2135" t="s">
        <v>7</v>
      </c>
    </row>
    <row r="2136" spans="1:6" x14ac:dyDescent="0.3">
      <c r="A2136">
        <v>216155144</v>
      </c>
      <c r="B2136" s="1">
        <v>45076</v>
      </c>
      <c r="C2136" s="1">
        <v>45137</v>
      </c>
      <c r="D2136">
        <v>39</v>
      </c>
      <c r="E2136" t="s">
        <v>6</v>
      </c>
      <c r="F2136" t="s">
        <v>7</v>
      </c>
    </row>
    <row r="2137" spans="1:6" x14ac:dyDescent="0.3">
      <c r="A2137">
        <v>190978347</v>
      </c>
      <c r="B2137" s="1">
        <v>45076</v>
      </c>
      <c r="C2137" s="1">
        <v>45146</v>
      </c>
      <c r="D2137">
        <v>39</v>
      </c>
      <c r="E2137" t="s">
        <v>6</v>
      </c>
      <c r="F2137" t="s">
        <v>7</v>
      </c>
    </row>
    <row r="2138" spans="1:6" x14ac:dyDescent="0.3">
      <c r="A2138">
        <v>215653713</v>
      </c>
      <c r="B2138" s="1">
        <v>45076</v>
      </c>
      <c r="C2138" s="1">
        <v>45118</v>
      </c>
      <c r="D2138">
        <v>39</v>
      </c>
      <c r="E2138" t="s">
        <v>6</v>
      </c>
      <c r="F2138" t="s">
        <v>7</v>
      </c>
    </row>
    <row r="2139" spans="1:6" x14ac:dyDescent="0.3">
      <c r="A2139">
        <v>215185569</v>
      </c>
      <c r="B2139" s="1">
        <v>45076</v>
      </c>
      <c r="C2139" s="1">
        <v>45167</v>
      </c>
      <c r="D2139">
        <v>39</v>
      </c>
      <c r="E2139" t="s">
        <v>6</v>
      </c>
      <c r="F2139" t="s">
        <v>7</v>
      </c>
    </row>
    <row r="2140" spans="1:6" x14ac:dyDescent="0.3">
      <c r="A2140">
        <v>215488799</v>
      </c>
      <c r="B2140" s="1">
        <v>45077</v>
      </c>
      <c r="D2140">
        <v>39</v>
      </c>
      <c r="E2140" t="s">
        <v>6</v>
      </c>
      <c r="F2140" t="s">
        <v>7</v>
      </c>
    </row>
    <row r="2141" spans="1:6" x14ac:dyDescent="0.3">
      <c r="A2141">
        <v>216170130</v>
      </c>
      <c r="B2141" s="1">
        <v>45077</v>
      </c>
      <c r="D2141">
        <v>39</v>
      </c>
      <c r="E2141" t="s">
        <v>6</v>
      </c>
      <c r="F2141" t="s">
        <v>7</v>
      </c>
    </row>
    <row r="2142" spans="1:6" x14ac:dyDescent="0.3">
      <c r="A2142">
        <v>215723337</v>
      </c>
      <c r="B2142" s="1">
        <v>45077</v>
      </c>
      <c r="D2142">
        <v>39</v>
      </c>
      <c r="E2142" t="s">
        <v>6</v>
      </c>
      <c r="F2142" t="s">
        <v>7</v>
      </c>
    </row>
    <row r="2143" spans="1:6" x14ac:dyDescent="0.3">
      <c r="A2143">
        <v>148568942</v>
      </c>
      <c r="B2143" s="1">
        <v>45077</v>
      </c>
      <c r="D2143">
        <v>39</v>
      </c>
      <c r="E2143" t="s">
        <v>6</v>
      </c>
      <c r="F2143" t="s">
        <v>7</v>
      </c>
    </row>
    <row r="2144" spans="1:6" x14ac:dyDescent="0.3">
      <c r="A2144">
        <v>215102456</v>
      </c>
      <c r="B2144" s="1">
        <v>45077</v>
      </c>
      <c r="D2144">
        <v>39</v>
      </c>
      <c r="E2144" t="s">
        <v>6</v>
      </c>
      <c r="F2144" t="s">
        <v>7</v>
      </c>
    </row>
    <row r="2145" spans="1:6" x14ac:dyDescent="0.3">
      <c r="A2145">
        <v>216017581</v>
      </c>
      <c r="B2145" s="1">
        <v>45077</v>
      </c>
      <c r="D2145">
        <v>39</v>
      </c>
      <c r="E2145" t="s">
        <v>6</v>
      </c>
      <c r="F2145" t="s">
        <v>7</v>
      </c>
    </row>
    <row r="2146" spans="1:6" x14ac:dyDescent="0.3">
      <c r="A2146">
        <v>153438676</v>
      </c>
      <c r="B2146" s="1">
        <v>45077</v>
      </c>
      <c r="D2146">
        <v>39</v>
      </c>
      <c r="E2146" t="s">
        <v>6</v>
      </c>
      <c r="F2146" t="s">
        <v>7</v>
      </c>
    </row>
    <row r="2147" spans="1:6" x14ac:dyDescent="0.3">
      <c r="A2147">
        <v>213190132</v>
      </c>
      <c r="B2147" s="1">
        <v>45077</v>
      </c>
      <c r="D2147">
        <v>39</v>
      </c>
      <c r="E2147" t="s">
        <v>6</v>
      </c>
      <c r="F2147" t="s">
        <v>7</v>
      </c>
    </row>
    <row r="2148" spans="1:6" x14ac:dyDescent="0.3">
      <c r="A2148">
        <v>216218992</v>
      </c>
      <c r="B2148" s="1">
        <v>45077</v>
      </c>
      <c r="C2148" s="1">
        <v>45169</v>
      </c>
      <c r="D2148">
        <v>39</v>
      </c>
      <c r="E2148" t="s">
        <v>6</v>
      </c>
      <c r="F2148" t="s">
        <v>7</v>
      </c>
    </row>
    <row r="2149" spans="1:6" x14ac:dyDescent="0.3">
      <c r="A2149">
        <v>216210442</v>
      </c>
      <c r="B2149" s="1">
        <v>45077</v>
      </c>
      <c r="C2149" s="1">
        <v>45092</v>
      </c>
      <c r="D2149">
        <v>39</v>
      </c>
      <c r="E2149" t="s">
        <v>6</v>
      </c>
      <c r="F2149" t="s">
        <v>7</v>
      </c>
    </row>
    <row r="2150" spans="1:6" x14ac:dyDescent="0.3">
      <c r="A2150">
        <v>129447970</v>
      </c>
      <c r="B2150" s="1">
        <v>45077</v>
      </c>
      <c r="C2150" s="1">
        <v>45172</v>
      </c>
      <c r="D2150">
        <v>39</v>
      </c>
      <c r="E2150" t="s">
        <v>6</v>
      </c>
      <c r="F2150" t="s">
        <v>7</v>
      </c>
    </row>
    <row r="2151" spans="1:6" x14ac:dyDescent="0.3">
      <c r="A2151">
        <v>216221115</v>
      </c>
      <c r="B2151" s="1">
        <v>45077</v>
      </c>
      <c r="C2151" s="1">
        <v>45109</v>
      </c>
      <c r="D2151">
        <v>39</v>
      </c>
      <c r="E2151" t="s">
        <v>6</v>
      </c>
      <c r="F2151" t="s">
        <v>7</v>
      </c>
    </row>
    <row r="2152" spans="1:6" x14ac:dyDescent="0.3">
      <c r="A2152">
        <v>215911675</v>
      </c>
      <c r="B2152" s="1">
        <v>45077</v>
      </c>
      <c r="C2152" s="1">
        <v>45114</v>
      </c>
      <c r="D2152">
        <v>39</v>
      </c>
      <c r="E2152" t="s">
        <v>6</v>
      </c>
      <c r="F2152" t="s">
        <v>7</v>
      </c>
    </row>
    <row r="2153" spans="1:6" x14ac:dyDescent="0.3">
      <c r="A2153">
        <v>215908254</v>
      </c>
      <c r="B2153" s="1">
        <v>45077</v>
      </c>
      <c r="C2153" s="1">
        <v>45098</v>
      </c>
      <c r="D2153">
        <v>39</v>
      </c>
      <c r="E2153" t="s">
        <v>6</v>
      </c>
      <c r="F2153" t="s">
        <v>7</v>
      </c>
    </row>
    <row r="2154" spans="1:6" x14ac:dyDescent="0.3">
      <c r="A2154">
        <v>214610994</v>
      </c>
      <c r="B2154" s="1">
        <v>45077</v>
      </c>
      <c r="C2154" s="1">
        <v>45106</v>
      </c>
      <c r="D2154">
        <v>39</v>
      </c>
      <c r="E2154" t="s">
        <v>6</v>
      </c>
      <c r="F2154" t="s">
        <v>7</v>
      </c>
    </row>
    <row r="2155" spans="1:6" x14ac:dyDescent="0.3">
      <c r="A2155">
        <v>143272167</v>
      </c>
      <c r="B2155" s="1">
        <v>45077</v>
      </c>
      <c r="C2155" s="1">
        <v>45176</v>
      </c>
      <c r="D2155">
        <v>39</v>
      </c>
      <c r="E2155" t="s">
        <v>6</v>
      </c>
      <c r="F2155" t="s">
        <v>7</v>
      </c>
    </row>
    <row r="2156" spans="1:6" x14ac:dyDescent="0.3">
      <c r="A2156">
        <v>216340651</v>
      </c>
      <c r="B2156" s="1">
        <v>45078</v>
      </c>
      <c r="D2156">
        <v>39</v>
      </c>
      <c r="E2156" t="s">
        <v>6</v>
      </c>
      <c r="F2156" t="s">
        <v>7</v>
      </c>
    </row>
    <row r="2157" spans="1:6" x14ac:dyDescent="0.3">
      <c r="A2157">
        <v>153573832</v>
      </c>
      <c r="B2157" s="1">
        <v>45078</v>
      </c>
      <c r="D2157">
        <v>39</v>
      </c>
      <c r="E2157" t="s">
        <v>6</v>
      </c>
      <c r="F2157" t="s">
        <v>7</v>
      </c>
    </row>
    <row r="2158" spans="1:6" x14ac:dyDescent="0.3">
      <c r="A2158">
        <v>138312982</v>
      </c>
      <c r="B2158" s="1">
        <v>45078</v>
      </c>
      <c r="D2158">
        <v>39</v>
      </c>
      <c r="E2158" t="s">
        <v>6</v>
      </c>
      <c r="F2158" t="s">
        <v>7</v>
      </c>
    </row>
    <row r="2159" spans="1:6" x14ac:dyDescent="0.3">
      <c r="A2159">
        <v>216365777</v>
      </c>
      <c r="B2159" s="1">
        <v>45078</v>
      </c>
      <c r="D2159">
        <v>39</v>
      </c>
      <c r="E2159" t="s">
        <v>6</v>
      </c>
      <c r="F2159" t="s">
        <v>7</v>
      </c>
    </row>
    <row r="2160" spans="1:6" x14ac:dyDescent="0.3">
      <c r="A2160">
        <v>216272792</v>
      </c>
      <c r="B2160" s="1">
        <v>45078</v>
      </c>
      <c r="C2160" s="1">
        <v>45175</v>
      </c>
      <c r="D2160">
        <v>39</v>
      </c>
      <c r="E2160" t="s">
        <v>6</v>
      </c>
      <c r="F2160" t="s">
        <v>7</v>
      </c>
    </row>
    <row r="2161" spans="1:6" x14ac:dyDescent="0.3">
      <c r="A2161">
        <v>167174814</v>
      </c>
      <c r="B2161" s="1">
        <v>45078</v>
      </c>
      <c r="C2161" s="1">
        <v>45088</v>
      </c>
      <c r="D2161">
        <v>39</v>
      </c>
      <c r="E2161" t="s">
        <v>6</v>
      </c>
      <c r="F2161" t="s">
        <v>7</v>
      </c>
    </row>
    <row r="2162" spans="1:6" x14ac:dyDescent="0.3">
      <c r="A2162">
        <v>216329176</v>
      </c>
      <c r="B2162" s="1">
        <v>45078</v>
      </c>
      <c r="C2162" s="1">
        <v>45115</v>
      </c>
      <c r="D2162">
        <v>39</v>
      </c>
      <c r="E2162" t="s">
        <v>6</v>
      </c>
      <c r="F2162" t="s">
        <v>7</v>
      </c>
    </row>
    <row r="2163" spans="1:6" x14ac:dyDescent="0.3">
      <c r="A2163">
        <v>147320092</v>
      </c>
      <c r="B2163" s="1">
        <v>45078</v>
      </c>
      <c r="C2163" s="1">
        <v>45111</v>
      </c>
      <c r="D2163">
        <v>39</v>
      </c>
      <c r="E2163" t="s">
        <v>6</v>
      </c>
      <c r="F2163" t="s">
        <v>7</v>
      </c>
    </row>
    <row r="2164" spans="1:6" x14ac:dyDescent="0.3">
      <c r="A2164">
        <v>157974600</v>
      </c>
      <c r="B2164" s="1">
        <v>45078</v>
      </c>
      <c r="C2164" s="1">
        <v>45091</v>
      </c>
      <c r="D2164">
        <v>39</v>
      </c>
      <c r="E2164" t="s">
        <v>6</v>
      </c>
      <c r="F2164" t="s">
        <v>7</v>
      </c>
    </row>
    <row r="2165" spans="1:6" x14ac:dyDescent="0.3">
      <c r="A2165">
        <v>200955808</v>
      </c>
      <c r="B2165" s="1">
        <v>45078</v>
      </c>
      <c r="C2165" s="1">
        <v>45108</v>
      </c>
      <c r="D2165">
        <v>39</v>
      </c>
      <c r="E2165" t="s">
        <v>6</v>
      </c>
      <c r="F2165" t="s">
        <v>7</v>
      </c>
    </row>
    <row r="2166" spans="1:6" x14ac:dyDescent="0.3">
      <c r="A2166">
        <v>216332850</v>
      </c>
      <c r="B2166" s="1">
        <v>45078</v>
      </c>
      <c r="C2166" s="1">
        <v>45139</v>
      </c>
      <c r="D2166">
        <v>39</v>
      </c>
      <c r="E2166" t="s">
        <v>6</v>
      </c>
      <c r="F2166" t="s">
        <v>7</v>
      </c>
    </row>
    <row r="2167" spans="1:6" x14ac:dyDescent="0.3">
      <c r="A2167">
        <v>149986818</v>
      </c>
      <c r="B2167" s="1">
        <v>45079</v>
      </c>
      <c r="D2167">
        <v>39</v>
      </c>
      <c r="E2167" t="s">
        <v>6</v>
      </c>
      <c r="F2167" t="s">
        <v>7</v>
      </c>
    </row>
    <row r="2168" spans="1:6" x14ac:dyDescent="0.3">
      <c r="A2168">
        <v>132579012</v>
      </c>
      <c r="B2168" s="1">
        <v>45079</v>
      </c>
      <c r="D2168">
        <v>39</v>
      </c>
      <c r="E2168" t="s">
        <v>6</v>
      </c>
      <c r="F2168" t="s">
        <v>7</v>
      </c>
    </row>
    <row r="2169" spans="1:6" x14ac:dyDescent="0.3">
      <c r="A2169">
        <v>155529346</v>
      </c>
      <c r="B2169" s="1">
        <v>45079</v>
      </c>
      <c r="C2169" s="1">
        <v>45173</v>
      </c>
      <c r="D2169">
        <v>39</v>
      </c>
      <c r="E2169" t="s">
        <v>6</v>
      </c>
      <c r="F2169" t="s">
        <v>7</v>
      </c>
    </row>
    <row r="2170" spans="1:6" x14ac:dyDescent="0.3">
      <c r="A2170">
        <v>153085868</v>
      </c>
      <c r="B2170" s="1">
        <v>45079</v>
      </c>
      <c r="C2170" s="1">
        <v>45106</v>
      </c>
      <c r="D2170">
        <v>39</v>
      </c>
      <c r="E2170" t="s">
        <v>6</v>
      </c>
      <c r="F2170" t="s">
        <v>7</v>
      </c>
    </row>
    <row r="2171" spans="1:6" x14ac:dyDescent="0.3">
      <c r="A2171">
        <v>156702204</v>
      </c>
      <c r="B2171" s="1">
        <v>45079</v>
      </c>
      <c r="C2171" s="1">
        <v>45109</v>
      </c>
      <c r="D2171">
        <v>39</v>
      </c>
      <c r="E2171" t="s">
        <v>6</v>
      </c>
      <c r="F2171" t="s">
        <v>7</v>
      </c>
    </row>
    <row r="2172" spans="1:6" x14ac:dyDescent="0.3">
      <c r="A2172">
        <v>158177676</v>
      </c>
      <c r="B2172" s="1">
        <v>45079</v>
      </c>
      <c r="C2172" s="1">
        <v>45104</v>
      </c>
      <c r="D2172">
        <v>39</v>
      </c>
      <c r="E2172" t="s">
        <v>6</v>
      </c>
      <c r="F2172" t="s">
        <v>7</v>
      </c>
    </row>
    <row r="2173" spans="1:6" x14ac:dyDescent="0.3">
      <c r="A2173">
        <v>216423972</v>
      </c>
      <c r="B2173" s="1">
        <v>45079</v>
      </c>
      <c r="C2173" s="1">
        <v>45121</v>
      </c>
      <c r="D2173">
        <v>39</v>
      </c>
      <c r="E2173" t="s">
        <v>6</v>
      </c>
      <c r="F2173" t="s">
        <v>7</v>
      </c>
    </row>
    <row r="2174" spans="1:6" x14ac:dyDescent="0.3">
      <c r="A2174">
        <v>216533259</v>
      </c>
      <c r="B2174" s="1">
        <v>45080</v>
      </c>
      <c r="D2174">
        <v>39</v>
      </c>
      <c r="E2174" t="s">
        <v>6</v>
      </c>
      <c r="F2174" t="s">
        <v>7</v>
      </c>
    </row>
    <row r="2175" spans="1:6" x14ac:dyDescent="0.3">
      <c r="A2175">
        <v>204953211</v>
      </c>
      <c r="B2175" s="1">
        <v>45080</v>
      </c>
      <c r="D2175">
        <v>39</v>
      </c>
      <c r="E2175" t="s">
        <v>6</v>
      </c>
      <c r="F2175" t="s">
        <v>7</v>
      </c>
    </row>
    <row r="2176" spans="1:6" x14ac:dyDescent="0.3">
      <c r="A2176">
        <v>149112756</v>
      </c>
      <c r="B2176" s="1">
        <v>45080</v>
      </c>
      <c r="D2176">
        <v>39</v>
      </c>
      <c r="E2176" t="s">
        <v>6</v>
      </c>
      <c r="F2176" t="s">
        <v>7</v>
      </c>
    </row>
    <row r="2177" spans="1:6" x14ac:dyDescent="0.3">
      <c r="A2177">
        <v>216674420</v>
      </c>
      <c r="B2177" s="1">
        <v>45080</v>
      </c>
      <c r="C2177" s="1">
        <v>45081</v>
      </c>
      <c r="D2177">
        <v>39</v>
      </c>
      <c r="E2177" t="s">
        <v>6</v>
      </c>
      <c r="F2177" t="s">
        <v>8</v>
      </c>
    </row>
    <row r="2178" spans="1:6" x14ac:dyDescent="0.3">
      <c r="A2178">
        <v>148225450</v>
      </c>
      <c r="B2178" s="1">
        <v>45080</v>
      </c>
      <c r="C2178" s="1">
        <v>45106</v>
      </c>
      <c r="D2178">
        <v>39</v>
      </c>
      <c r="E2178" t="s">
        <v>6</v>
      </c>
      <c r="F2178" t="s">
        <v>7</v>
      </c>
    </row>
    <row r="2179" spans="1:6" x14ac:dyDescent="0.3">
      <c r="A2179">
        <v>216720172</v>
      </c>
      <c r="B2179" s="1">
        <v>45080</v>
      </c>
      <c r="C2179" s="1">
        <v>45097</v>
      </c>
      <c r="D2179">
        <v>39</v>
      </c>
      <c r="E2179" t="s">
        <v>6</v>
      </c>
      <c r="F2179" t="s">
        <v>7</v>
      </c>
    </row>
    <row r="2180" spans="1:6" x14ac:dyDescent="0.3">
      <c r="A2180">
        <v>204750804</v>
      </c>
      <c r="B2180" s="1">
        <v>45080</v>
      </c>
      <c r="C2180" s="1">
        <v>45104</v>
      </c>
      <c r="D2180">
        <v>39</v>
      </c>
      <c r="E2180" t="s">
        <v>6</v>
      </c>
      <c r="F2180" t="s">
        <v>7</v>
      </c>
    </row>
    <row r="2181" spans="1:6" x14ac:dyDescent="0.3">
      <c r="A2181">
        <v>147798395</v>
      </c>
      <c r="B2181" s="1">
        <v>45081</v>
      </c>
      <c r="D2181">
        <v>39</v>
      </c>
      <c r="E2181" t="s">
        <v>6</v>
      </c>
      <c r="F2181" t="s">
        <v>7</v>
      </c>
    </row>
    <row r="2182" spans="1:6" x14ac:dyDescent="0.3">
      <c r="A2182">
        <v>216560949</v>
      </c>
      <c r="B2182" s="1">
        <v>45081</v>
      </c>
      <c r="C2182" s="1">
        <v>45112</v>
      </c>
      <c r="D2182">
        <v>39</v>
      </c>
      <c r="E2182" t="s">
        <v>6</v>
      </c>
      <c r="F2182" t="s">
        <v>7</v>
      </c>
    </row>
    <row r="2183" spans="1:6" x14ac:dyDescent="0.3">
      <c r="A2183">
        <v>216743053</v>
      </c>
      <c r="B2183" s="1">
        <v>45081</v>
      </c>
      <c r="C2183" s="1">
        <v>45121</v>
      </c>
      <c r="D2183">
        <v>39</v>
      </c>
      <c r="E2183" t="s">
        <v>6</v>
      </c>
      <c r="F2183" t="s">
        <v>7</v>
      </c>
    </row>
    <row r="2184" spans="1:6" x14ac:dyDescent="0.3">
      <c r="A2184">
        <v>149040748</v>
      </c>
      <c r="B2184" s="1">
        <v>45082</v>
      </c>
      <c r="D2184">
        <v>39</v>
      </c>
      <c r="E2184" t="s">
        <v>6</v>
      </c>
      <c r="F2184" t="s">
        <v>7</v>
      </c>
    </row>
    <row r="2185" spans="1:6" x14ac:dyDescent="0.3">
      <c r="A2185">
        <v>206939746</v>
      </c>
      <c r="B2185" s="1">
        <v>45082</v>
      </c>
      <c r="D2185">
        <v>39</v>
      </c>
      <c r="E2185" t="s">
        <v>6</v>
      </c>
      <c r="F2185" t="s">
        <v>7</v>
      </c>
    </row>
    <row r="2186" spans="1:6" x14ac:dyDescent="0.3">
      <c r="A2186">
        <v>216845223</v>
      </c>
      <c r="B2186" s="1">
        <v>45082</v>
      </c>
      <c r="D2186">
        <v>39</v>
      </c>
      <c r="E2186" t="s">
        <v>6</v>
      </c>
      <c r="F2186" t="s">
        <v>7</v>
      </c>
    </row>
    <row r="2187" spans="1:6" x14ac:dyDescent="0.3">
      <c r="A2187">
        <v>124876382</v>
      </c>
      <c r="B2187" s="1">
        <v>45082</v>
      </c>
      <c r="C2187" s="1">
        <v>45150</v>
      </c>
      <c r="D2187">
        <v>39</v>
      </c>
      <c r="E2187" t="s">
        <v>6</v>
      </c>
      <c r="F2187" t="s">
        <v>7</v>
      </c>
    </row>
    <row r="2188" spans="1:6" x14ac:dyDescent="0.3">
      <c r="A2188">
        <v>168485609</v>
      </c>
      <c r="B2188" s="1">
        <v>45082</v>
      </c>
      <c r="C2188" s="1">
        <v>45158</v>
      </c>
      <c r="D2188">
        <v>39</v>
      </c>
      <c r="E2188" t="s">
        <v>6</v>
      </c>
      <c r="F2188" t="s">
        <v>7</v>
      </c>
    </row>
    <row r="2189" spans="1:6" x14ac:dyDescent="0.3">
      <c r="A2189">
        <v>216888206</v>
      </c>
      <c r="B2189" s="1">
        <v>45082</v>
      </c>
      <c r="C2189" s="1">
        <v>45172</v>
      </c>
      <c r="D2189">
        <v>39</v>
      </c>
      <c r="E2189" t="s">
        <v>6</v>
      </c>
      <c r="F2189" t="s">
        <v>7</v>
      </c>
    </row>
    <row r="2190" spans="1:6" x14ac:dyDescent="0.3">
      <c r="A2190">
        <v>216957502</v>
      </c>
      <c r="B2190" s="1">
        <v>45083</v>
      </c>
      <c r="D2190">
        <v>39</v>
      </c>
      <c r="E2190" t="s">
        <v>6</v>
      </c>
      <c r="F2190" t="s">
        <v>7</v>
      </c>
    </row>
    <row r="2191" spans="1:6" x14ac:dyDescent="0.3">
      <c r="A2191">
        <v>215840282</v>
      </c>
      <c r="B2191" s="1">
        <v>45083</v>
      </c>
      <c r="D2191">
        <v>39</v>
      </c>
      <c r="E2191" t="s">
        <v>6</v>
      </c>
      <c r="F2191" t="s">
        <v>7</v>
      </c>
    </row>
    <row r="2192" spans="1:6" x14ac:dyDescent="0.3">
      <c r="A2192">
        <v>216311456</v>
      </c>
      <c r="B2192" s="1">
        <v>45083</v>
      </c>
      <c r="D2192">
        <v>39</v>
      </c>
      <c r="E2192" t="s">
        <v>6</v>
      </c>
      <c r="F2192" t="s">
        <v>7</v>
      </c>
    </row>
    <row r="2193" spans="1:6" x14ac:dyDescent="0.3">
      <c r="A2193">
        <v>155088727</v>
      </c>
      <c r="B2193" s="1">
        <v>45083</v>
      </c>
      <c r="D2193">
        <v>39</v>
      </c>
      <c r="E2193" t="s">
        <v>6</v>
      </c>
      <c r="F2193" t="s">
        <v>7</v>
      </c>
    </row>
    <row r="2194" spans="1:6" x14ac:dyDescent="0.3">
      <c r="A2194">
        <v>216925191</v>
      </c>
      <c r="B2194" s="1">
        <v>45083</v>
      </c>
      <c r="C2194" s="1">
        <v>45090</v>
      </c>
      <c r="D2194">
        <v>39</v>
      </c>
      <c r="E2194" t="s">
        <v>6</v>
      </c>
      <c r="F2194" t="s">
        <v>7</v>
      </c>
    </row>
    <row r="2195" spans="1:6" x14ac:dyDescent="0.3">
      <c r="A2195">
        <v>216924741</v>
      </c>
      <c r="B2195" s="1">
        <v>45083</v>
      </c>
      <c r="C2195" s="1">
        <v>45160</v>
      </c>
      <c r="D2195">
        <v>39</v>
      </c>
      <c r="E2195" t="s">
        <v>6</v>
      </c>
      <c r="F2195" t="s">
        <v>7</v>
      </c>
    </row>
    <row r="2196" spans="1:6" x14ac:dyDescent="0.3">
      <c r="A2196">
        <v>194347007</v>
      </c>
      <c r="B2196" s="1">
        <v>45083</v>
      </c>
      <c r="C2196" s="1">
        <v>45120</v>
      </c>
      <c r="D2196">
        <v>39</v>
      </c>
      <c r="E2196" t="s">
        <v>6</v>
      </c>
      <c r="F2196" t="s">
        <v>7</v>
      </c>
    </row>
    <row r="2197" spans="1:6" x14ac:dyDescent="0.3">
      <c r="A2197">
        <v>217067696</v>
      </c>
      <c r="B2197" s="1">
        <v>45084</v>
      </c>
      <c r="D2197">
        <v>39</v>
      </c>
      <c r="E2197" t="s">
        <v>6</v>
      </c>
      <c r="F2197" t="s">
        <v>7</v>
      </c>
    </row>
    <row r="2198" spans="1:6" x14ac:dyDescent="0.3">
      <c r="A2198">
        <v>217012406</v>
      </c>
      <c r="B2198" s="1">
        <v>45084</v>
      </c>
      <c r="D2198">
        <v>39</v>
      </c>
      <c r="E2198" t="s">
        <v>6</v>
      </c>
      <c r="F2198" t="s">
        <v>7</v>
      </c>
    </row>
    <row r="2199" spans="1:6" x14ac:dyDescent="0.3">
      <c r="A2199">
        <v>216345770</v>
      </c>
      <c r="B2199" s="1">
        <v>45084</v>
      </c>
      <c r="D2199">
        <v>39</v>
      </c>
      <c r="E2199" t="s">
        <v>6</v>
      </c>
      <c r="F2199" t="s">
        <v>7</v>
      </c>
    </row>
    <row r="2200" spans="1:6" x14ac:dyDescent="0.3">
      <c r="A2200">
        <v>215654770</v>
      </c>
      <c r="B2200" s="1">
        <v>45084</v>
      </c>
      <c r="D2200">
        <v>39</v>
      </c>
      <c r="E2200" t="s">
        <v>6</v>
      </c>
      <c r="F2200" t="s">
        <v>7</v>
      </c>
    </row>
    <row r="2201" spans="1:6" x14ac:dyDescent="0.3">
      <c r="A2201">
        <v>217044528</v>
      </c>
      <c r="B2201" s="1">
        <v>45084</v>
      </c>
      <c r="D2201">
        <v>39</v>
      </c>
      <c r="E2201" t="s">
        <v>6</v>
      </c>
      <c r="F2201" t="s">
        <v>7</v>
      </c>
    </row>
    <row r="2202" spans="1:6" x14ac:dyDescent="0.3">
      <c r="A2202">
        <v>217031352</v>
      </c>
      <c r="B2202" s="1">
        <v>45084</v>
      </c>
      <c r="D2202">
        <v>39</v>
      </c>
      <c r="E2202" t="s">
        <v>6</v>
      </c>
      <c r="F2202" t="s">
        <v>7</v>
      </c>
    </row>
    <row r="2203" spans="1:6" x14ac:dyDescent="0.3">
      <c r="A2203">
        <v>146450388</v>
      </c>
      <c r="B2203" s="1">
        <v>45084</v>
      </c>
      <c r="D2203">
        <v>39</v>
      </c>
      <c r="E2203" t="s">
        <v>6</v>
      </c>
      <c r="F2203" t="s">
        <v>7</v>
      </c>
    </row>
    <row r="2204" spans="1:6" x14ac:dyDescent="0.3">
      <c r="A2204">
        <v>153374748</v>
      </c>
      <c r="B2204" s="1">
        <v>45084</v>
      </c>
      <c r="C2204" s="1">
        <v>45169</v>
      </c>
      <c r="D2204">
        <v>39</v>
      </c>
      <c r="E2204" t="s">
        <v>6</v>
      </c>
      <c r="F2204" t="s">
        <v>7</v>
      </c>
    </row>
    <row r="2205" spans="1:6" x14ac:dyDescent="0.3">
      <c r="A2205">
        <v>217065874</v>
      </c>
      <c r="B2205" s="1">
        <v>45084</v>
      </c>
      <c r="C2205" s="1">
        <v>45106</v>
      </c>
      <c r="D2205">
        <v>39</v>
      </c>
      <c r="E2205" t="s">
        <v>6</v>
      </c>
      <c r="F2205" t="s">
        <v>7</v>
      </c>
    </row>
    <row r="2206" spans="1:6" x14ac:dyDescent="0.3">
      <c r="A2206">
        <v>216622895</v>
      </c>
      <c r="B2206" s="1">
        <v>45084</v>
      </c>
      <c r="C2206" s="1">
        <v>45152</v>
      </c>
      <c r="D2206">
        <v>39</v>
      </c>
      <c r="E2206" t="s">
        <v>6</v>
      </c>
      <c r="F2206" t="s">
        <v>7</v>
      </c>
    </row>
    <row r="2207" spans="1:6" x14ac:dyDescent="0.3">
      <c r="A2207">
        <v>216907852</v>
      </c>
      <c r="B2207" s="1">
        <v>45084</v>
      </c>
      <c r="C2207" s="1">
        <v>45116</v>
      </c>
      <c r="D2207">
        <v>39</v>
      </c>
      <c r="E2207" t="s">
        <v>6</v>
      </c>
      <c r="F2207" t="s">
        <v>7</v>
      </c>
    </row>
    <row r="2208" spans="1:6" x14ac:dyDescent="0.3">
      <c r="A2208">
        <v>217054126</v>
      </c>
      <c r="B2208" s="1">
        <v>45085</v>
      </c>
      <c r="D2208">
        <v>39</v>
      </c>
      <c r="E2208" t="s">
        <v>6</v>
      </c>
      <c r="F2208" t="s">
        <v>7</v>
      </c>
    </row>
    <row r="2209" spans="1:6" x14ac:dyDescent="0.3">
      <c r="A2209">
        <v>206001231</v>
      </c>
      <c r="B2209" s="1">
        <v>45085</v>
      </c>
      <c r="D2209">
        <v>39</v>
      </c>
      <c r="E2209" t="s">
        <v>6</v>
      </c>
      <c r="F2209" t="s">
        <v>7</v>
      </c>
    </row>
    <row r="2210" spans="1:6" x14ac:dyDescent="0.3">
      <c r="A2210">
        <v>216925136</v>
      </c>
      <c r="B2210" s="1">
        <v>45085</v>
      </c>
      <c r="D2210">
        <v>39</v>
      </c>
      <c r="E2210" t="s">
        <v>6</v>
      </c>
      <c r="F2210" t="s">
        <v>7</v>
      </c>
    </row>
    <row r="2211" spans="1:6" x14ac:dyDescent="0.3">
      <c r="A2211">
        <v>217094352</v>
      </c>
      <c r="B2211" s="1">
        <v>45085</v>
      </c>
      <c r="C2211" s="1">
        <v>45109</v>
      </c>
      <c r="D2211">
        <v>39</v>
      </c>
      <c r="E2211" t="s">
        <v>6</v>
      </c>
      <c r="F2211" t="s">
        <v>7</v>
      </c>
    </row>
    <row r="2212" spans="1:6" x14ac:dyDescent="0.3">
      <c r="A2212">
        <v>206891818</v>
      </c>
      <c r="B2212" s="1">
        <v>45085</v>
      </c>
      <c r="C2212" s="1">
        <v>45105</v>
      </c>
      <c r="D2212">
        <v>39</v>
      </c>
      <c r="E2212" t="s">
        <v>6</v>
      </c>
      <c r="F2212" t="s">
        <v>7</v>
      </c>
    </row>
    <row r="2213" spans="1:6" x14ac:dyDescent="0.3">
      <c r="A2213">
        <v>217084888</v>
      </c>
      <c r="B2213" s="1">
        <v>45085</v>
      </c>
      <c r="C2213" s="1">
        <v>45085</v>
      </c>
      <c r="D2213">
        <v>39</v>
      </c>
      <c r="E2213" t="s">
        <v>6</v>
      </c>
      <c r="F2213" t="s">
        <v>7</v>
      </c>
    </row>
    <row r="2214" spans="1:6" x14ac:dyDescent="0.3">
      <c r="A2214">
        <v>216624401</v>
      </c>
      <c r="B2214" s="1">
        <v>45085</v>
      </c>
      <c r="C2214" s="1">
        <v>45105</v>
      </c>
      <c r="D2214">
        <v>39</v>
      </c>
      <c r="E2214" t="s">
        <v>6</v>
      </c>
      <c r="F2214" t="s">
        <v>7</v>
      </c>
    </row>
    <row r="2215" spans="1:6" x14ac:dyDescent="0.3">
      <c r="A2215">
        <v>216795282</v>
      </c>
      <c r="B2215" s="1">
        <v>45085</v>
      </c>
      <c r="C2215" s="1">
        <v>45130</v>
      </c>
      <c r="D2215">
        <v>39</v>
      </c>
      <c r="E2215" t="s">
        <v>6</v>
      </c>
      <c r="F2215" t="s">
        <v>7</v>
      </c>
    </row>
    <row r="2216" spans="1:6" x14ac:dyDescent="0.3">
      <c r="A2216">
        <v>174646924</v>
      </c>
      <c r="B2216" s="1">
        <v>45086</v>
      </c>
      <c r="D2216">
        <v>39</v>
      </c>
      <c r="E2216" t="s">
        <v>6</v>
      </c>
      <c r="F2216" t="s">
        <v>7</v>
      </c>
    </row>
    <row r="2217" spans="1:6" x14ac:dyDescent="0.3">
      <c r="A2217">
        <v>217123644</v>
      </c>
      <c r="B2217" s="1">
        <v>45086</v>
      </c>
      <c r="D2217">
        <v>39</v>
      </c>
      <c r="E2217" t="s">
        <v>6</v>
      </c>
      <c r="F2217" t="s">
        <v>7</v>
      </c>
    </row>
    <row r="2218" spans="1:6" x14ac:dyDescent="0.3">
      <c r="A2218">
        <v>217104490</v>
      </c>
      <c r="B2218" s="1">
        <v>45086</v>
      </c>
      <c r="D2218">
        <v>39</v>
      </c>
      <c r="E2218" t="s">
        <v>6</v>
      </c>
      <c r="F2218" t="s">
        <v>7</v>
      </c>
    </row>
    <row r="2219" spans="1:6" x14ac:dyDescent="0.3">
      <c r="A2219">
        <v>153349708</v>
      </c>
      <c r="B2219" s="1">
        <v>45086</v>
      </c>
      <c r="D2219">
        <v>39</v>
      </c>
      <c r="E2219" t="s">
        <v>6</v>
      </c>
      <c r="F2219" t="s">
        <v>7</v>
      </c>
    </row>
    <row r="2220" spans="1:6" x14ac:dyDescent="0.3">
      <c r="A2220">
        <v>153876204</v>
      </c>
      <c r="B2220" s="1">
        <v>45086</v>
      </c>
      <c r="C2220" s="1">
        <v>45087</v>
      </c>
      <c r="D2220">
        <v>39</v>
      </c>
      <c r="E2220" t="s">
        <v>6</v>
      </c>
      <c r="F2220" t="s">
        <v>7</v>
      </c>
    </row>
    <row r="2221" spans="1:6" x14ac:dyDescent="0.3">
      <c r="A2221">
        <v>132442956</v>
      </c>
      <c r="B2221" s="1">
        <v>45086</v>
      </c>
      <c r="C2221" s="1">
        <v>45135</v>
      </c>
      <c r="D2221">
        <v>39</v>
      </c>
      <c r="E2221" t="s">
        <v>6</v>
      </c>
      <c r="F2221" t="s">
        <v>7</v>
      </c>
    </row>
    <row r="2222" spans="1:6" x14ac:dyDescent="0.3">
      <c r="A2222">
        <v>130331160</v>
      </c>
      <c r="B2222" s="1">
        <v>45086</v>
      </c>
      <c r="C2222" s="1">
        <v>45109</v>
      </c>
      <c r="D2222">
        <v>39</v>
      </c>
      <c r="E2222" t="s">
        <v>6</v>
      </c>
      <c r="F2222" t="s">
        <v>7</v>
      </c>
    </row>
    <row r="2223" spans="1:6" x14ac:dyDescent="0.3">
      <c r="A2223">
        <v>216225148</v>
      </c>
      <c r="B2223" s="1">
        <v>45086</v>
      </c>
      <c r="C2223" s="1">
        <v>45086</v>
      </c>
      <c r="D2223">
        <v>39</v>
      </c>
      <c r="E2223" t="s">
        <v>6</v>
      </c>
      <c r="F2223" t="s">
        <v>7</v>
      </c>
    </row>
    <row r="2224" spans="1:6" x14ac:dyDescent="0.3">
      <c r="A2224">
        <v>161187748</v>
      </c>
      <c r="B2224" s="1">
        <v>45086</v>
      </c>
      <c r="C2224" s="1">
        <v>45131</v>
      </c>
      <c r="D2224">
        <v>39</v>
      </c>
      <c r="E2224" t="s">
        <v>6</v>
      </c>
      <c r="F2224" t="s">
        <v>7</v>
      </c>
    </row>
    <row r="2225" spans="1:6" x14ac:dyDescent="0.3">
      <c r="A2225">
        <v>217137211</v>
      </c>
      <c r="B2225" s="1">
        <v>45086</v>
      </c>
      <c r="C2225" s="1">
        <v>45123</v>
      </c>
      <c r="D2225">
        <v>39</v>
      </c>
      <c r="E2225" t="s">
        <v>6</v>
      </c>
      <c r="F2225" t="s">
        <v>7</v>
      </c>
    </row>
    <row r="2226" spans="1:6" x14ac:dyDescent="0.3">
      <c r="A2226">
        <v>180796559</v>
      </c>
      <c r="B2226" s="1">
        <v>45086</v>
      </c>
      <c r="C2226" s="1">
        <v>45123</v>
      </c>
      <c r="D2226">
        <v>39</v>
      </c>
      <c r="E2226" t="s">
        <v>6</v>
      </c>
      <c r="F2226" t="s">
        <v>7</v>
      </c>
    </row>
    <row r="2227" spans="1:6" x14ac:dyDescent="0.3">
      <c r="A2227">
        <v>168200039</v>
      </c>
      <c r="B2227" s="1">
        <v>45087</v>
      </c>
      <c r="C2227" s="1">
        <v>45088</v>
      </c>
      <c r="D2227">
        <v>39</v>
      </c>
      <c r="E2227" t="s">
        <v>6</v>
      </c>
      <c r="F2227" t="s">
        <v>7</v>
      </c>
    </row>
    <row r="2228" spans="1:6" x14ac:dyDescent="0.3">
      <c r="A2228">
        <v>217110396</v>
      </c>
      <c r="B2228" s="1">
        <v>45087</v>
      </c>
      <c r="C2228" s="1">
        <v>45101</v>
      </c>
      <c r="D2228">
        <v>39</v>
      </c>
      <c r="E2228" t="s">
        <v>6</v>
      </c>
      <c r="F2228" t="s">
        <v>7</v>
      </c>
    </row>
    <row r="2229" spans="1:6" x14ac:dyDescent="0.3">
      <c r="A2229">
        <v>217159016</v>
      </c>
      <c r="B2229" s="1">
        <v>45087</v>
      </c>
      <c r="C2229" s="1">
        <v>45149</v>
      </c>
      <c r="D2229">
        <v>39</v>
      </c>
      <c r="E2229" t="s">
        <v>6</v>
      </c>
      <c r="F2229" t="s">
        <v>7</v>
      </c>
    </row>
    <row r="2230" spans="1:6" x14ac:dyDescent="0.3">
      <c r="A2230">
        <v>217215106</v>
      </c>
      <c r="B2230" s="1">
        <v>45088</v>
      </c>
      <c r="D2230">
        <v>39</v>
      </c>
      <c r="E2230" t="s">
        <v>6</v>
      </c>
      <c r="F2230" t="s">
        <v>7</v>
      </c>
    </row>
    <row r="2231" spans="1:6" x14ac:dyDescent="0.3">
      <c r="A2231">
        <v>129819604</v>
      </c>
      <c r="B2231" s="1">
        <v>45088</v>
      </c>
      <c r="C2231" s="1">
        <v>45125</v>
      </c>
      <c r="D2231">
        <v>39</v>
      </c>
      <c r="E2231" t="s">
        <v>6</v>
      </c>
      <c r="F2231" t="s">
        <v>7</v>
      </c>
    </row>
    <row r="2232" spans="1:6" x14ac:dyDescent="0.3">
      <c r="A2232">
        <v>217208086</v>
      </c>
      <c r="B2232" s="1">
        <v>45088</v>
      </c>
      <c r="C2232" s="1">
        <v>45133</v>
      </c>
      <c r="D2232">
        <v>39</v>
      </c>
      <c r="E2232" t="s">
        <v>6</v>
      </c>
      <c r="F2232" t="s">
        <v>7</v>
      </c>
    </row>
    <row r="2233" spans="1:6" x14ac:dyDescent="0.3">
      <c r="A2233">
        <v>215534470</v>
      </c>
      <c r="B2233" s="1">
        <v>45088</v>
      </c>
      <c r="C2233" s="1">
        <v>45125</v>
      </c>
      <c r="D2233">
        <v>39</v>
      </c>
      <c r="E2233" t="s">
        <v>6</v>
      </c>
      <c r="F2233" t="s">
        <v>7</v>
      </c>
    </row>
    <row r="2234" spans="1:6" x14ac:dyDescent="0.3">
      <c r="A2234">
        <v>217277033</v>
      </c>
      <c r="B2234" s="1">
        <v>45089</v>
      </c>
      <c r="D2234">
        <v>39</v>
      </c>
      <c r="E2234" t="s">
        <v>6</v>
      </c>
      <c r="F2234" t="s">
        <v>7</v>
      </c>
    </row>
    <row r="2235" spans="1:6" x14ac:dyDescent="0.3">
      <c r="A2235">
        <v>136199071</v>
      </c>
      <c r="B2235" s="1">
        <v>45089</v>
      </c>
      <c r="D2235">
        <v>39</v>
      </c>
      <c r="E2235" t="s">
        <v>6</v>
      </c>
      <c r="F2235" t="s">
        <v>7</v>
      </c>
    </row>
    <row r="2236" spans="1:6" x14ac:dyDescent="0.3">
      <c r="A2236">
        <v>217102618</v>
      </c>
      <c r="B2236" s="1">
        <v>45089</v>
      </c>
      <c r="D2236">
        <v>39</v>
      </c>
      <c r="E2236" t="s">
        <v>6</v>
      </c>
      <c r="F2236" t="s">
        <v>7</v>
      </c>
    </row>
    <row r="2237" spans="1:6" x14ac:dyDescent="0.3">
      <c r="A2237">
        <v>217252136</v>
      </c>
      <c r="B2237" s="1">
        <v>45089</v>
      </c>
      <c r="D2237">
        <v>39</v>
      </c>
      <c r="E2237" t="s">
        <v>6</v>
      </c>
      <c r="F2237" t="s">
        <v>7</v>
      </c>
    </row>
    <row r="2238" spans="1:6" x14ac:dyDescent="0.3">
      <c r="A2238">
        <v>215856743</v>
      </c>
      <c r="B2238" s="1">
        <v>45089</v>
      </c>
      <c r="D2238">
        <v>39</v>
      </c>
      <c r="E2238" t="s">
        <v>6</v>
      </c>
      <c r="F2238" t="s">
        <v>7</v>
      </c>
    </row>
    <row r="2239" spans="1:6" x14ac:dyDescent="0.3">
      <c r="A2239">
        <v>217260184</v>
      </c>
      <c r="B2239" s="1">
        <v>45089</v>
      </c>
      <c r="C2239" s="1">
        <v>45090</v>
      </c>
      <c r="D2239">
        <v>39</v>
      </c>
      <c r="E2239" t="s">
        <v>6</v>
      </c>
      <c r="F2239" t="s">
        <v>8</v>
      </c>
    </row>
    <row r="2240" spans="1:6" x14ac:dyDescent="0.3">
      <c r="A2240">
        <v>140371292</v>
      </c>
      <c r="B2240" s="1">
        <v>45089</v>
      </c>
      <c r="C2240" s="1">
        <v>45117</v>
      </c>
      <c r="D2240">
        <v>39</v>
      </c>
      <c r="E2240" t="s">
        <v>6</v>
      </c>
      <c r="F2240" t="s">
        <v>7</v>
      </c>
    </row>
    <row r="2241" spans="1:6" x14ac:dyDescent="0.3">
      <c r="A2241">
        <v>164903790</v>
      </c>
      <c r="B2241" s="1">
        <v>45089</v>
      </c>
      <c r="C2241" s="1">
        <v>45127</v>
      </c>
      <c r="D2241">
        <v>39</v>
      </c>
      <c r="E2241" t="s">
        <v>6</v>
      </c>
      <c r="F2241" t="s">
        <v>7</v>
      </c>
    </row>
    <row r="2242" spans="1:6" x14ac:dyDescent="0.3">
      <c r="A2242">
        <v>217206158</v>
      </c>
      <c r="B2242" s="1">
        <v>45089</v>
      </c>
      <c r="C2242" s="1">
        <v>45149</v>
      </c>
      <c r="D2242">
        <v>39</v>
      </c>
      <c r="E2242" t="s">
        <v>6</v>
      </c>
      <c r="F2242" t="s">
        <v>7</v>
      </c>
    </row>
    <row r="2243" spans="1:6" x14ac:dyDescent="0.3">
      <c r="A2243">
        <v>215180470</v>
      </c>
      <c r="B2243" s="1">
        <v>45089</v>
      </c>
      <c r="C2243" s="1">
        <v>45144</v>
      </c>
      <c r="D2243">
        <v>39</v>
      </c>
      <c r="E2243" t="s">
        <v>6</v>
      </c>
      <c r="F2243" t="s">
        <v>7</v>
      </c>
    </row>
    <row r="2244" spans="1:6" x14ac:dyDescent="0.3">
      <c r="A2244">
        <v>217246611</v>
      </c>
      <c r="B2244" s="1">
        <v>45089</v>
      </c>
      <c r="C2244" s="1">
        <v>45113</v>
      </c>
      <c r="D2244">
        <v>39</v>
      </c>
      <c r="E2244" t="s">
        <v>6</v>
      </c>
      <c r="F2244" t="s">
        <v>7</v>
      </c>
    </row>
    <row r="2245" spans="1:6" x14ac:dyDescent="0.3">
      <c r="A2245">
        <v>217080066</v>
      </c>
      <c r="B2245" s="1">
        <v>45089</v>
      </c>
      <c r="C2245" s="1">
        <v>45119</v>
      </c>
      <c r="D2245">
        <v>39</v>
      </c>
      <c r="E2245" t="s">
        <v>6</v>
      </c>
      <c r="F2245" t="s">
        <v>7</v>
      </c>
    </row>
    <row r="2246" spans="1:6" x14ac:dyDescent="0.3">
      <c r="A2246">
        <v>214510838</v>
      </c>
      <c r="B2246" s="1">
        <v>45090</v>
      </c>
      <c r="D2246">
        <v>39</v>
      </c>
      <c r="E2246" t="s">
        <v>6</v>
      </c>
      <c r="F2246" t="s">
        <v>7</v>
      </c>
    </row>
    <row r="2247" spans="1:6" x14ac:dyDescent="0.3">
      <c r="A2247">
        <v>217241338</v>
      </c>
      <c r="B2247" s="1">
        <v>45090</v>
      </c>
      <c r="D2247">
        <v>39</v>
      </c>
      <c r="E2247" t="s">
        <v>6</v>
      </c>
      <c r="F2247" t="s">
        <v>7</v>
      </c>
    </row>
    <row r="2248" spans="1:6" x14ac:dyDescent="0.3">
      <c r="A2248">
        <v>215447681</v>
      </c>
      <c r="B2248" s="1">
        <v>45090</v>
      </c>
      <c r="D2248">
        <v>39</v>
      </c>
      <c r="E2248" t="s">
        <v>6</v>
      </c>
      <c r="F2248" t="s">
        <v>7</v>
      </c>
    </row>
    <row r="2249" spans="1:6" x14ac:dyDescent="0.3">
      <c r="A2249">
        <v>214746385</v>
      </c>
      <c r="B2249" s="1">
        <v>45090</v>
      </c>
      <c r="D2249">
        <v>39</v>
      </c>
      <c r="E2249" t="s">
        <v>6</v>
      </c>
      <c r="F2249" t="s">
        <v>7</v>
      </c>
    </row>
    <row r="2250" spans="1:6" x14ac:dyDescent="0.3">
      <c r="A2250">
        <v>217279595</v>
      </c>
      <c r="B2250" s="1">
        <v>45090</v>
      </c>
      <c r="D2250">
        <v>39</v>
      </c>
      <c r="E2250" t="s">
        <v>6</v>
      </c>
      <c r="F2250" t="s">
        <v>7</v>
      </c>
    </row>
    <row r="2251" spans="1:6" x14ac:dyDescent="0.3">
      <c r="A2251">
        <v>138725699</v>
      </c>
      <c r="B2251" s="1">
        <v>45090</v>
      </c>
      <c r="C2251" s="1">
        <v>45091</v>
      </c>
      <c r="D2251">
        <v>39</v>
      </c>
      <c r="E2251" t="s">
        <v>6</v>
      </c>
      <c r="F2251" t="s">
        <v>7</v>
      </c>
    </row>
    <row r="2252" spans="1:6" x14ac:dyDescent="0.3">
      <c r="A2252">
        <v>199464176</v>
      </c>
      <c r="B2252" s="1">
        <v>45090</v>
      </c>
      <c r="C2252" s="1">
        <v>45138</v>
      </c>
      <c r="D2252">
        <v>39</v>
      </c>
      <c r="E2252" t="s">
        <v>6</v>
      </c>
      <c r="F2252" t="s">
        <v>7</v>
      </c>
    </row>
    <row r="2253" spans="1:6" x14ac:dyDescent="0.3">
      <c r="A2253">
        <v>217269788</v>
      </c>
      <c r="B2253" s="1">
        <v>45090</v>
      </c>
      <c r="C2253" s="1">
        <v>45128</v>
      </c>
      <c r="D2253">
        <v>39</v>
      </c>
      <c r="E2253" t="s">
        <v>6</v>
      </c>
      <c r="F2253" t="s">
        <v>7</v>
      </c>
    </row>
    <row r="2254" spans="1:6" x14ac:dyDescent="0.3">
      <c r="A2254">
        <v>217210206</v>
      </c>
      <c r="B2254" s="1">
        <v>45090</v>
      </c>
      <c r="C2254" s="1">
        <v>45112</v>
      </c>
      <c r="D2254">
        <v>39</v>
      </c>
      <c r="E2254" t="s">
        <v>6</v>
      </c>
      <c r="F2254" t="s">
        <v>7</v>
      </c>
    </row>
    <row r="2255" spans="1:6" x14ac:dyDescent="0.3">
      <c r="A2255">
        <v>217276264</v>
      </c>
      <c r="B2255" s="1">
        <v>45091</v>
      </c>
      <c r="D2255">
        <v>39</v>
      </c>
      <c r="E2255" t="s">
        <v>6</v>
      </c>
      <c r="F2255" t="s">
        <v>7</v>
      </c>
    </row>
    <row r="2256" spans="1:6" x14ac:dyDescent="0.3">
      <c r="A2256">
        <v>217242854</v>
      </c>
      <c r="B2256" s="1">
        <v>45091</v>
      </c>
      <c r="D2256">
        <v>39</v>
      </c>
      <c r="E2256" t="s">
        <v>6</v>
      </c>
      <c r="F2256" t="s">
        <v>7</v>
      </c>
    </row>
    <row r="2257" spans="1:6" x14ac:dyDescent="0.3">
      <c r="A2257">
        <v>140062581</v>
      </c>
      <c r="B2257" s="1">
        <v>45091</v>
      </c>
      <c r="C2257" s="1">
        <v>45092</v>
      </c>
      <c r="D2257">
        <v>39</v>
      </c>
      <c r="E2257" t="s">
        <v>6</v>
      </c>
      <c r="F2257" t="s">
        <v>7</v>
      </c>
    </row>
    <row r="2258" spans="1:6" x14ac:dyDescent="0.3">
      <c r="A2258">
        <v>217340338</v>
      </c>
      <c r="B2258" s="1">
        <v>45091</v>
      </c>
      <c r="C2258" s="1">
        <v>45091</v>
      </c>
      <c r="D2258">
        <v>39</v>
      </c>
      <c r="E2258" t="s">
        <v>6</v>
      </c>
      <c r="F2258" t="s">
        <v>8</v>
      </c>
    </row>
    <row r="2259" spans="1:6" x14ac:dyDescent="0.3">
      <c r="A2259">
        <v>157435806</v>
      </c>
      <c r="B2259" s="1">
        <v>45091</v>
      </c>
      <c r="C2259" s="1">
        <v>45121</v>
      </c>
      <c r="D2259">
        <v>39</v>
      </c>
      <c r="E2259" t="s">
        <v>6</v>
      </c>
      <c r="F2259" t="s">
        <v>7</v>
      </c>
    </row>
    <row r="2260" spans="1:6" x14ac:dyDescent="0.3">
      <c r="A2260">
        <v>217358299</v>
      </c>
      <c r="B2260" s="1">
        <v>45091</v>
      </c>
      <c r="C2260" s="1">
        <v>45149</v>
      </c>
      <c r="D2260">
        <v>39</v>
      </c>
      <c r="E2260" t="s">
        <v>6</v>
      </c>
      <c r="F2260" t="s">
        <v>7</v>
      </c>
    </row>
    <row r="2261" spans="1:6" x14ac:dyDescent="0.3">
      <c r="A2261">
        <v>217330046</v>
      </c>
      <c r="B2261" s="1">
        <v>45091</v>
      </c>
      <c r="C2261" s="1">
        <v>45108</v>
      </c>
      <c r="D2261">
        <v>39</v>
      </c>
      <c r="E2261" t="s">
        <v>6</v>
      </c>
      <c r="F2261" t="s">
        <v>7</v>
      </c>
    </row>
    <row r="2262" spans="1:6" x14ac:dyDescent="0.3">
      <c r="A2262">
        <v>216945894</v>
      </c>
      <c r="B2262" s="1">
        <v>45092</v>
      </c>
      <c r="D2262">
        <v>39</v>
      </c>
      <c r="E2262" t="s">
        <v>6</v>
      </c>
      <c r="F2262" t="s">
        <v>7</v>
      </c>
    </row>
    <row r="2263" spans="1:6" x14ac:dyDescent="0.3">
      <c r="A2263">
        <v>150178354</v>
      </c>
      <c r="B2263" s="1">
        <v>45092</v>
      </c>
      <c r="D2263">
        <v>39</v>
      </c>
      <c r="E2263" t="s">
        <v>6</v>
      </c>
      <c r="F2263" t="s">
        <v>7</v>
      </c>
    </row>
    <row r="2264" spans="1:6" x14ac:dyDescent="0.3">
      <c r="A2264">
        <v>153942818</v>
      </c>
      <c r="B2264" s="1">
        <v>45092</v>
      </c>
      <c r="D2264">
        <v>39</v>
      </c>
      <c r="E2264" t="s">
        <v>6</v>
      </c>
      <c r="F2264" t="s">
        <v>7</v>
      </c>
    </row>
    <row r="2265" spans="1:6" x14ac:dyDescent="0.3">
      <c r="A2265">
        <v>150728848</v>
      </c>
      <c r="B2265" s="1">
        <v>45092</v>
      </c>
      <c r="D2265">
        <v>39</v>
      </c>
      <c r="E2265" t="s">
        <v>6</v>
      </c>
      <c r="F2265" t="s">
        <v>7</v>
      </c>
    </row>
    <row r="2266" spans="1:6" x14ac:dyDescent="0.3">
      <c r="A2266">
        <v>138725699</v>
      </c>
      <c r="B2266" s="1">
        <v>45092</v>
      </c>
      <c r="D2266">
        <v>39</v>
      </c>
      <c r="E2266" t="s">
        <v>6</v>
      </c>
      <c r="F2266" t="s">
        <v>7</v>
      </c>
    </row>
    <row r="2267" spans="1:6" x14ac:dyDescent="0.3">
      <c r="A2267">
        <v>217207926</v>
      </c>
      <c r="B2267" s="1">
        <v>45092</v>
      </c>
      <c r="D2267">
        <v>39</v>
      </c>
      <c r="E2267" t="s">
        <v>6</v>
      </c>
      <c r="F2267" t="s">
        <v>7</v>
      </c>
    </row>
    <row r="2268" spans="1:6" x14ac:dyDescent="0.3">
      <c r="A2268">
        <v>217370233</v>
      </c>
      <c r="B2268" s="1">
        <v>45092</v>
      </c>
      <c r="D2268">
        <v>39</v>
      </c>
      <c r="E2268" t="s">
        <v>6</v>
      </c>
      <c r="F2268" t="s">
        <v>7</v>
      </c>
    </row>
    <row r="2269" spans="1:6" x14ac:dyDescent="0.3">
      <c r="A2269">
        <v>205464540</v>
      </c>
      <c r="B2269" s="1">
        <v>45092</v>
      </c>
      <c r="C2269" s="1">
        <v>45129</v>
      </c>
      <c r="D2269">
        <v>39</v>
      </c>
      <c r="E2269" t="s">
        <v>6</v>
      </c>
      <c r="F2269" t="s">
        <v>7</v>
      </c>
    </row>
    <row r="2270" spans="1:6" x14ac:dyDescent="0.3">
      <c r="A2270">
        <v>167403892</v>
      </c>
      <c r="B2270" s="1">
        <v>45092</v>
      </c>
      <c r="C2270" s="1">
        <v>45160</v>
      </c>
      <c r="D2270">
        <v>39</v>
      </c>
      <c r="E2270" t="s">
        <v>6</v>
      </c>
      <c r="F2270" t="s">
        <v>7</v>
      </c>
    </row>
    <row r="2271" spans="1:6" x14ac:dyDescent="0.3">
      <c r="A2271">
        <v>217326821</v>
      </c>
      <c r="B2271" s="1">
        <v>45092</v>
      </c>
      <c r="C2271" s="1">
        <v>45160</v>
      </c>
      <c r="D2271">
        <v>39</v>
      </c>
      <c r="E2271" t="s">
        <v>6</v>
      </c>
      <c r="F2271" t="s">
        <v>7</v>
      </c>
    </row>
    <row r="2272" spans="1:6" x14ac:dyDescent="0.3">
      <c r="A2272">
        <v>214918906</v>
      </c>
      <c r="B2272" s="1">
        <v>45092</v>
      </c>
      <c r="C2272" s="1">
        <v>45129</v>
      </c>
      <c r="D2272">
        <v>39</v>
      </c>
      <c r="E2272" t="s">
        <v>6</v>
      </c>
      <c r="F2272" t="s">
        <v>7</v>
      </c>
    </row>
    <row r="2273" spans="1:6" x14ac:dyDescent="0.3">
      <c r="A2273">
        <v>216983668</v>
      </c>
      <c r="B2273" s="1">
        <v>45092</v>
      </c>
      <c r="C2273" s="1">
        <v>45122</v>
      </c>
      <c r="D2273">
        <v>39</v>
      </c>
      <c r="E2273" t="s">
        <v>6</v>
      </c>
      <c r="F2273" t="s">
        <v>7</v>
      </c>
    </row>
    <row r="2274" spans="1:6" x14ac:dyDescent="0.3">
      <c r="A2274">
        <v>217454204</v>
      </c>
      <c r="B2274" s="1">
        <v>45093</v>
      </c>
      <c r="D2274">
        <v>39</v>
      </c>
      <c r="E2274" t="s">
        <v>6</v>
      </c>
      <c r="F2274" t="s">
        <v>7</v>
      </c>
    </row>
    <row r="2275" spans="1:6" x14ac:dyDescent="0.3">
      <c r="A2275">
        <v>206049284</v>
      </c>
      <c r="B2275" s="1">
        <v>45093</v>
      </c>
      <c r="D2275">
        <v>39</v>
      </c>
      <c r="E2275" t="s">
        <v>6</v>
      </c>
      <c r="F2275" t="s">
        <v>7</v>
      </c>
    </row>
    <row r="2276" spans="1:6" x14ac:dyDescent="0.3">
      <c r="A2276">
        <v>132852439</v>
      </c>
      <c r="B2276" s="1">
        <v>45093</v>
      </c>
      <c r="D2276">
        <v>39</v>
      </c>
      <c r="E2276" t="s">
        <v>6</v>
      </c>
      <c r="F2276" t="s">
        <v>7</v>
      </c>
    </row>
    <row r="2277" spans="1:6" x14ac:dyDescent="0.3">
      <c r="A2277">
        <v>217233198</v>
      </c>
      <c r="B2277" s="1">
        <v>45093</v>
      </c>
      <c r="D2277">
        <v>39</v>
      </c>
      <c r="E2277" t="s">
        <v>6</v>
      </c>
      <c r="F2277" t="s">
        <v>7</v>
      </c>
    </row>
    <row r="2278" spans="1:6" x14ac:dyDescent="0.3">
      <c r="A2278">
        <v>188197564</v>
      </c>
      <c r="B2278" s="1">
        <v>45093</v>
      </c>
      <c r="C2278" s="1">
        <v>45094</v>
      </c>
      <c r="D2278">
        <v>39</v>
      </c>
      <c r="E2278" t="s">
        <v>6</v>
      </c>
      <c r="F2278" t="s">
        <v>7</v>
      </c>
    </row>
    <row r="2279" spans="1:6" x14ac:dyDescent="0.3">
      <c r="A2279">
        <v>146952862</v>
      </c>
      <c r="B2279" s="1">
        <v>45093</v>
      </c>
      <c r="C2279" s="1">
        <v>45119</v>
      </c>
      <c r="D2279">
        <v>39</v>
      </c>
      <c r="E2279" t="s">
        <v>6</v>
      </c>
      <c r="F2279" t="s">
        <v>7</v>
      </c>
    </row>
    <row r="2280" spans="1:6" x14ac:dyDescent="0.3">
      <c r="A2280">
        <v>152846561</v>
      </c>
      <c r="B2280" s="1">
        <v>45093</v>
      </c>
      <c r="C2280" s="1">
        <v>45130</v>
      </c>
      <c r="D2280">
        <v>39</v>
      </c>
      <c r="E2280" t="s">
        <v>6</v>
      </c>
      <c r="F2280" t="s">
        <v>7</v>
      </c>
    </row>
    <row r="2281" spans="1:6" x14ac:dyDescent="0.3">
      <c r="A2281">
        <v>132867770</v>
      </c>
      <c r="B2281" s="1">
        <v>45093</v>
      </c>
      <c r="C2281" s="1">
        <v>45131</v>
      </c>
      <c r="D2281">
        <v>39</v>
      </c>
      <c r="E2281" t="s">
        <v>6</v>
      </c>
      <c r="F2281" t="s">
        <v>7</v>
      </c>
    </row>
    <row r="2282" spans="1:6" x14ac:dyDescent="0.3">
      <c r="A2282">
        <v>206370330</v>
      </c>
      <c r="B2282" s="1">
        <v>45093</v>
      </c>
      <c r="C2282" s="1">
        <v>45153</v>
      </c>
      <c r="D2282">
        <v>39</v>
      </c>
      <c r="E2282" t="s">
        <v>6</v>
      </c>
      <c r="F2282" t="s">
        <v>7</v>
      </c>
    </row>
    <row r="2283" spans="1:6" x14ac:dyDescent="0.3">
      <c r="A2283">
        <v>217438230</v>
      </c>
      <c r="B2283" s="1">
        <v>45093</v>
      </c>
      <c r="C2283" s="1">
        <v>45120</v>
      </c>
      <c r="D2283">
        <v>39</v>
      </c>
      <c r="E2283" t="s">
        <v>6</v>
      </c>
      <c r="F2283" t="s">
        <v>7</v>
      </c>
    </row>
    <row r="2284" spans="1:6" x14ac:dyDescent="0.3">
      <c r="A2284">
        <v>217426939</v>
      </c>
      <c r="B2284" s="1">
        <v>45093</v>
      </c>
      <c r="C2284" s="1">
        <v>45123</v>
      </c>
      <c r="D2284">
        <v>39</v>
      </c>
      <c r="E2284" t="s">
        <v>6</v>
      </c>
      <c r="F2284" t="s">
        <v>7</v>
      </c>
    </row>
    <row r="2285" spans="1:6" x14ac:dyDescent="0.3">
      <c r="A2285">
        <v>205785520</v>
      </c>
      <c r="B2285" s="1">
        <v>45094</v>
      </c>
      <c r="D2285">
        <v>39</v>
      </c>
      <c r="E2285" t="s">
        <v>6</v>
      </c>
      <c r="F2285" t="s">
        <v>7</v>
      </c>
    </row>
    <row r="2286" spans="1:6" x14ac:dyDescent="0.3">
      <c r="A2286">
        <v>154284527</v>
      </c>
      <c r="B2286" s="1">
        <v>45094</v>
      </c>
      <c r="C2286" s="1">
        <v>45131</v>
      </c>
      <c r="D2286">
        <v>39</v>
      </c>
      <c r="E2286" t="s">
        <v>6</v>
      </c>
      <c r="F2286" t="s">
        <v>7</v>
      </c>
    </row>
    <row r="2287" spans="1:6" x14ac:dyDescent="0.3">
      <c r="A2287">
        <v>214105912</v>
      </c>
      <c r="B2287" s="1">
        <v>45094</v>
      </c>
      <c r="C2287" s="1">
        <v>45131</v>
      </c>
      <c r="D2287">
        <v>39</v>
      </c>
      <c r="E2287" t="s">
        <v>6</v>
      </c>
      <c r="F2287" t="s">
        <v>7</v>
      </c>
    </row>
    <row r="2288" spans="1:6" x14ac:dyDescent="0.3">
      <c r="A2288">
        <v>200909190</v>
      </c>
      <c r="B2288" s="1">
        <v>45094</v>
      </c>
      <c r="C2288" s="1">
        <v>45162</v>
      </c>
      <c r="D2288">
        <v>39</v>
      </c>
      <c r="E2288" t="s">
        <v>6</v>
      </c>
      <c r="F2288" t="s">
        <v>7</v>
      </c>
    </row>
    <row r="2289" spans="1:6" x14ac:dyDescent="0.3">
      <c r="A2289">
        <v>151633468</v>
      </c>
      <c r="B2289" s="1">
        <v>45094</v>
      </c>
      <c r="C2289" s="1">
        <v>45139</v>
      </c>
      <c r="D2289">
        <v>39</v>
      </c>
      <c r="E2289" t="s">
        <v>6</v>
      </c>
      <c r="F2289" t="s">
        <v>7</v>
      </c>
    </row>
    <row r="2290" spans="1:6" x14ac:dyDescent="0.3">
      <c r="A2290">
        <v>207010976</v>
      </c>
      <c r="B2290" s="1">
        <v>45094</v>
      </c>
      <c r="C2290" s="1">
        <v>45162</v>
      </c>
      <c r="D2290">
        <v>39</v>
      </c>
      <c r="E2290" t="s">
        <v>6</v>
      </c>
      <c r="F2290" t="s">
        <v>7</v>
      </c>
    </row>
    <row r="2291" spans="1:6" x14ac:dyDescent="0.3">
      <c r="A2291">
        <v>217487776</v>
      </c>
      <c r="B2291" s="1">
        <v>45094</v>
      </c>
      <c r="C2291" s="1">
        <v>45127</v>
      </c>
      <c r="D2291">
        <v>39</v>
      </c>
      <c r="E2291" t="s">
        <v>6</v>
      </c>
      <c r="F2291" t="s">
        <v>7</v>
      </c>
    </row>
    <row r="2292" spans="1:6" x14ac:dyDescent="0.3">
      <c r="A2292">
        <v>217484551</v>
      </c>
      <c r="B2292" s="1">
        <v>45094</v>
      </c>
      <c r="C2292" s="1">
        <v>45131</v>
      </c>
      <c r="D2292">
        <v>39</v>
      </c>
      <c r="E2292" t="s">
        <v>6</v>
      </c>
      <c r="F2292" t="s">
        <v>7</v>
      </c>
    </row>
    <row r="2293" spans="1:6" x14ac:dyDescent="0.3">
      <c r="A2293">
        <v>217498202</v>
      </c>
      <c r="B2293" s="1">
        <v>45095</v>
      </c>
      <c r="D2293">
        <v>39</v>
      </c>
      <c r="E2293" t="s">
        <v>6</v>
      </c>
      <c r="F2293" t="s">
        <v>7</v>
      </c>
    </row>
    <row r="2294" spans="1:6" x14ac:dyDescent="0.3">
      <c r="A2294">
        <v>217234603</v>
      </c>
      <c r="B2294" s="1">
        <v>45095</v>
      </c>
      <c r="D2294">
        <v>39</v>
      </c>
      <c r="E2294" t="s">
        <v>6</v>
      </c>
      <c r="F2294" t="s">
        <v>7</v>
      </c>
    </row>
    <row r="2295" spans="1:6" x14ac:dyDescent="0.3">
      <c r="A2295">
        <v>217264148</v>
      </c>
      <c r="B2295" s="1">
        <v>45095</v>
      </c>
      <c r="D2295">
        <v>39</v>
      </c>
      <c r="E2295" t="s">
        <v>6</v>
      </c>
      <c r="F2295" t="s">
        <v>7</v>
      </c>
    </row>
    <row r="2296" spans="1:6" x14ac:dyDescent="0.3">
      <c r="A2296">
        <v>217513366</v>
      </c>
      <c r="B2296" s="1">
        <v>45095</v>
      </c>
      <c r="D2296">
        <v>39</v>
      </c>
      <c r="E2296" t="s">
        <v>6</v>
      </c>
      <c r="F2296" t="s">
        <v>7</v>
      </c>
    </row>
    <row r="2297" spans="1:6" x14ac:dyDescent="0.3">
      <c r="A2297">
        <v>217503737</v>
      </c>
      <c r="B2297" s="1">
        <v>45095</v>
      </c>
      <c r="D2297">
        <v>39</v>
      </c>
      <c r="E2297" t="s">
        <v>6</v>
      </c>
      <c r="F2297" t="s">
        <v>7</v>
      </c>
    </row>
    <row r="2298" spans="1:6" x14ac:dyDescent="0.3">
      <c r="A2298">
        <v>151540809</v>
      </c>
      <c r="B2298" s="1">
        <v>45095</v>
      </c>
      <c r="D2298">
        <v>39</v>
      </c>
      <c r="E2298" t="s">
        <v>6</v>
      </c>
      <c r="F2298" t="s">
        <v>7</v>
      </c>
    </row>
    <row r="2299" spans="1:6" x14ac:dyDescent="0.3">
      <c r="A2299">
        <v>217526421</v>
      </c>
      <c r="B2299" s="1">
        <v>45095</v>
      </c>
      <c r="C2299" s="1">
        <v>45164</v>
      </c>
      <c r="D2299">
        <v>39</v>
      </c>
      <c r="E2299" t="s">
        <v>6</v>
      </c>
      <c r="F2299" t="s">
        <v>7</v>
      </c>
    </row>
    <row r="2300" spans="1:6" x14ac:dyDescent="0.3">
      <c r="A2300">
        <v>217418580</v>
      </c>
      <c r="B2300" s="1">
        <v>45095</v>
      </c>
      <c r="C2300" s="1">
        <v>45121</v>
      </c>
      <c r="D2300">
        <v>39</v>
      </c>
      <c r="E2300" t="s">
        <v>6</v>
      </c>
      <c r="F2300" t="s">
        <v>7</v>
      </c>
    </row>
    <row r="2301" spans="1:6" x14ac:dyDescent="0.3">
      <c r="A2301">
        <v>217426015</v>
      </c>
      <c r="B2301" s="1">
        <v>45096</v>
      </c>
      <c r="D2301">
        <v>39</v>
      </c>
      <c r="E2301" t="s">
        <v>6</v>
      </c>
      <c r="F2301" t="s">
        <v>7</v>
      </c>
    </row>
    <row r="2302" spans="1:6" x14ac:dyDescent="0.3">
      <c r="A2302">
        <v>217557584</v>
      </c>
      <c r="B2302" s="1">
        <v>45096</v>
      </c>
      <c r="D2302">
        <v>39</v>
      </c>
      <c r="E2302" t="s">
        <v>6</v>
      </c>
      <c r="F2302" t="s">
        <v>7</v>
      </c>
    </row>
    <row r="2303" spans="1:6" x14ac:dyDescent="0.3">
      <c r="A2303">
        <v>217406489</v>
      </c>
      <c r="B2303" s="1">
        <v>45096</v>
      </c>
      <c r="D2303">
        <v>39</v>
      </c>
      <c r="E2303" t="s">
        <v>6</v>
      </c>
      <c r="F2303" t="s">
        <v>7</v>
      </c>
    </row>
    <row r="2304" spans="1:6" x14ac:dyDescent="0.3">
      <c r="A2304">
        <v>217536534</v>
      </c>
      <c r="B2304" s="1">
        <v>45096</v>
      </c>
      <c r="D2304">
        <v>39</v>
      </c>
      <c r="E2304" t="s">
        <v>6</v>
      </c>
      <c r="F2304" t="s">
        <v>7</v>
      </c>
    </row>
    <row r="2305" spans="1:6" x14ac:dyDescent="0.3">
      <c r="A2305">
        <v>217557082</v>
      </c>
      <c r="B2305" s="1">
        <v>45096</v>
      </c>
      <c r="D2305">
        <v>39</v>
      </c>
      <c r="E2305" t="s">
        <v>6</v>
      </c>
      <c r="F2305" t="s">
        <v>7</v>
      </c>
    </row>
    <row r="2306" spans="1:6" x14ac:dyDescent="0.3">
      <c r="A2306">
        <v>176024207</v>
      </c>
      <c r="B2306" s="1">
        <v>45096</v>
      </c>
      <c r="C2306" s="1">
        <v>45145</v>
      </c>
      <c r="D2306">
        <v>39</v>
      </c>
      <c r="E2306" t="s">
        <v>6</v>
      </c>
      <c r="F2306" t="s">
        <v>7</v>
      </c>
    </row>
    <row r="2307" spans="1:6" x14ac:dyDescent="0.3">
      <c r="A2307">
        <v>160598122</v>
      </c>
      <c r="B2307" s="1">
        <v>45096</v>
      </c>
      <c r="C2307" s="1">
        <v>45133</v>
      </c>
      <c r="D2307">
        <v>39</v>
      </c>
      <c r="E2307" t="s">
        <v>6</v>
      </c>
      <c r="F2307" t="s">
        <v>7</v>
      </c>
    </row>
    <row r="2308" spans="1:6" x14ac:dyDescent="0.3">
      <c r="A2308">
        <v>217378430</v>
      </c>
      <c r="B2308" s="1">
        <v>45096</v>
      </c>
      <c r="C2308" s="1">
        <v>45144</v>
      </c>
      <c r="D2308">
        <v>39</v>
      </c>
      <c r="E2308" t="s">
        <v>6</v>
      </c>
      <c r="F2308" t="s">
        <v>7</v>
      </c>
    </row>
    <row r="2309" spans="1:6" x14ac:dyDescent="0.3">
      <c r="A2309">
        <v>193680187</v>
      </c>
      <c r="B2309" s="1">
        <v>45096</v>
      </c>
      <c r="C2309" s="1">
        <v>45097</v>
      </c>
      <c r="D2309">
        <v>39</v>
      </c>
      <c r="E2309" t="s">
        <v>6</v>
      </c>
      <c r="F2309" t="s">
        <v>7</v>
      </c>
    </row>
    <row r="2310" spans="1:6" x14ac:dyDescent="0.3">
      <c r="A2310">
        <v>180424442</v>
      </c>
      <c r="B2310" s="1">
        <v>45096</v>
      </c>
      <c r="C2310" s="1">
        <v>45133</v>
      </c>
      <c r="D2310">
        <v>39</v>
      </c>
      <c r="E2310" t="s">
        <v>6</v>
      </c>
      <c r="F2310" t="s">
        <v>7</v>
      </c>
    </row>
    <row r="2311" spans="1:6" x14ac:dyDescent="0.3">
      <c r="A2311">
        <v>217612796</v>
      </c>
      <c r="B2311" s="1">
        <v>45097</v>
      </c>
      <c r="D2311">
        <v>39</v>
      </c>
      <c r="E2311" t="s">
        <v>6</v>
      </c>
      <c r="F2311" t="s">
        <v>7</v>
      </c>
    </row>
    <row r="2312" spans="1:6" x14ac:dyDescent="0.3">
      <c r="A2312">
        <v>217601263</v>
      </c>
      <c r="B2312" s="1">
        <v>45097</v>
      </c>
      <c r="D2312">
        <v>39</v>
      </c>
      <c r="E2312" t="s">
        <v>6</v>
      </c>
      <c r="F2312" t="s">
        <v>7</v>
      </c>
    </row>
    <row r="2313" spans="1:6" x14ac:dyDescent="0.3">
      <c r="A2313">
        <v>217594148</v>
      </c>
      <c r="B2313" s="1">
        <v>45097</v>
      </c>
      <c r="D2313">
        <v>39</v>
      </c>
      <c r="E2313" t="s">
        <v>6</v>
      </c>
      <c r="F2313" t="s">
        <v>7</v>
      </c>
    </row>
    <row r="2314" spans="1:6" x14ac:dyDescent="0.3">
      <c r="A2314">
        <v>217598396</v>
      </c>
      <c r="B2314" s="1">
        <v>45097</v>
      </c>
      <c r="D2314">
        <v>39</v>
      </c>
      <c r="E2314" t="s">
        <v>6</v>
      </c>
      <c r="F2314" t="s">
        <v>7</v>
      </c>
    </row>
    <row r="2315" spans="1:6" x14ac:dyDescent="0.3">
      <c r="A2315">
        <v>206647130</v>
      </c>
      <c r="B2315" s="1">
        <v>45097</v>
      </c>
      <c r="D2315">
        <v>39</v>
      </c>
      <c r="E2315" t="s">
        <v>6</v>
      </c>
      <c r="F2315" t="s">
        <v>7</v>
      </c>
    </row>
    <row r="2316" spans="1:6" x14ac:dyDescent="0.3">
      <c r="A2316">
        <v>207099222</v>
      </c>
      <c r="B2316" s="1">
        <v>45097</v>
      </c>
      <c r="D2316">
        <v>39</v>
      </c>
      <c r="E2316" t="s">
        <v>6</v>
      </c>
      <c r="F2316" t="s">
        <v>7</v>
      </c>
    </row>
    <row r="2317" spans="1:6" x14ac:dyDescent="0.3">
      <c r="A2317">
        <v>207079318</v>
      </c>
      <c r="B2317" s="1">
        <v>45097</v>
      </c>
      <c r="D2317">
        <v>39</v>
      </c>
      <c r="E2317" t="s">
        <v>6</v>
      </c>
      <c r="F2317" t="s">
        <v>7</v>
      </c>
    </row>
    <row r="2318" spans="1:6" x14ac:dyDescent="0.3">
      <c r="A2318">
        <v>217580362</v>
      </c>
      <c r="B2318" s="1">
        <v>45097</v>
      </c>
      <c r="D2318">
        <v>39</v>
      </c>
      <c r="E2318" t="s">
        <v>6</v>
      </c>
      <c r="F2318" t="s">
        <v>7</v>
      </c>
    </row>
    <row r="2319" spans="1:6" x14ac:dyDescent="0.3">
      <c r="A2319">
        <v>217438678</v>
      </c>
      <c r="B2319" s="1">
        <v>45097</v>
      </c>
      <c r="D2319">
        <v>39</v>
      </c>
      <c r="E2319" t="s">
        <v>6</v>
      </c>
      <c r="F2319" t="s">
        <v>7</v>
      </c>
    </row>
    <row r="2320" spans="1:6" x14ac:dyDescent="0.3">
      <c r="A2320">
        <v>215963364</v>
      </c>
      <c r="B2320" s="1">
        <v>45097</v>
      </c>
      <c r="C2320" s="1">
        <v>45098</v>
      </c>
      <c r="D2320">
        <v>39</v>
      </c>
      <c r="E2320" t="s">
        <v>6</v>
      </c>
      <c r="F2320" t="s">
        <v>7</v>
      </c>
    </row>
    <row r="2321" spans="1:6" x14ac:dyDescent="0.3">
      <c r="A2321">
        <v>153876204</v>
      </c>
      <c r="B2321" s="1">
        <v>45097</v>
      </c>
      <c r="C2321" s="1">
        <v>45130</v>
      </c>
      <c r="D2321">
        <v>39</v>
      </c>
      <c r="E2321" t="s">
        <v>6</v>
      </c>
      <c r="F2321" t="s">
        <v>7</v>
      </c>
    </row>
    <row r="2322" spans="1:6" x14ac:dyDescent="0.3">
      <c r="A2322">
        <v>153828803</v>
      </c>
      <c r="B2322" s="1">
        <v>45097</v>
      </c>
      <c r="C2322" s="1">
        <v>45099</v>
      </c>
      <c r="D2322">
        <v>39</v>
      </c>
      <c r="E2322" t="s">
        <v>6</v>
      </c>
      <c r="F2322" t="s">
        <v>7</v>
      </c>
    </row>
    <row r="2323" spans="1:6" x14ac:dyDescent="0.3">
      <c r="A2323">
        <v>217595865</v>
      </c>
      <c r="B2323" s="1">
        <v>45097</v>
      </c>
      <c r="C2323" s="1">
        <v>45134</v>
      </c>
      <c r="D2323">
        <v>39</v>
      </c>
      <c r="E2323" t="s">
        <v>6</v>
      </c>
      <c r="F2323" t="s">
        <v>7</v>
      </c>
    </row>
    <row r="2324" spans="1:6" x14ac:dyDescent="0.3">
      <c r="A2324">
        <v>216158153</v>
      </c>
      <c r="B2324" s="1">
        <v>45097</v>
      </c>
      <c r="C2324" s="1">
        <v>45131</v>
      </c>
      <c r="D2324">
        <v>39</v>
      </c>
      <c r="E2324" t="s">
        <v>6</v>
      </c>
      <c r="F2324" t="s">
        <v>7</v>
      </c>
    </row>
    <row r="2325" spans="1:6" x14ac:dyDescent="0.3">
      <c r="A2325">
        <v>217548173</v>
      </c>
      <c r="B2325" s="1">
        <v>45097</v>
      </c>
      <c r="C2325" s="1">
        <v>45126</v>
      </c>
      <c r="D2325">
        <v>39</v>
      </c>
      <c r="E2325" t="s">
        <v>6</v>
      </c>
      <c r="F2325" t="s">
        <v>7</v>
      </c>
    </row>
    <row r="2326" spans="1:6" x14ac:dyDescent="0.3">
      <c r="A2326">
        <v>217533118</v>
      </c>
      <c r="B2326" s="1">
        <v>45098</v>
      </c>
      <c r="D2326">
        <v>39</v>
      </c>
      <c r="E2326" t="s">
        <v>6</v>
      </c>
      <c r="F2326" t="s">
        <v>7</v>
      </c>
    </row>
    <row r="2327" spans="1:6" x14ac:dyDescent="0.3">
      <c r="A2327">
        <v>205128906</v>
      </c>
      <c r="B2327" s="1">
        <v>45098</v>
      </c>
      <c r="D2327">
        <v>39</v>
      </c>
      <c r="E2327" t="s">
        <v>6</v>
      </c>
      <c r="F2327" t="s">
        <v>7</v>
      </c>
    </row>
    <row r="2328" spans="1:6" x14ac:dyDescent="0.3">
      <c r="A2328">
        <v>205812132</v>
      </c>
      <c r="B2328" s="1">
        <v>45098</v>
      </c>
      <c r="D2328">
        <v>39</v>
      </c>
      <c r="E2328" t="s">
        <v>6</v>
      </c>
      <c r="F2328" t="s">
        <v>7</v>
      </c>
    </row>
    <row r="2329" spans="1:6" x14ac:dyDescent="0.3">
      <c r="A2329">
        <v>216907554</v>
      </c>
      <c r="B2329" s="1">
        <v>45098</v>
      </c>
      <c r="D2329">
        <v>39</v>
      </c>
      <c r="E2329" t="s">
        <v>6</v>
      </c>
      <c r="F2329" t="s">
        <v>7</v>
      </c>
    </row>
    <row r="2330" spans="1:6" x14ac:dyDescent="0.3">
      <c r="A2330">
        <v>215113542</v>
      </c>
      <c r="B2330" s="1">
        <v>45098</v>
      </c>
      <c r="D2330">
        <v>39</v>
      </c>
      <c r="E2330" t="s">
        <v>6</v>
      </c>
      <c r="F2330" t="s">
        <v>7</v>
      </c>
    </row>
    <row r="2331" spans="1:6" x14ac:dyDescent="0.3">
      <c r="A2331">
        <v>204772797</v>
      </c>
      <c r="B2331" s="1">
        <v>45098</v>
      </c>
      <c r="D2331">
        <v>39</v>
      </c>
      <c r="E2331" t="s">
        <v>6</v>
      </c>
      <c r="F2331" t="s">
        <v>7</v>
      </c>
    </row>
    <row r="2332" spans="1:6" x14ac:dyDescent="0.3">
      <c r="A2332">
        <v>217627630</v>
      </c>
      <c r="B2332" s="1">
        <v>45098</v>
      </c>
      <c r="D2332">
        <v>39</v>
      </c>
      <c r="E2332" t="s">
        <v>6</v>
      </c>
      <c r="F2332" t="s">
        <v>7</v>
      </c>
    </row>
    <row r="2333" spans="1:6" x14ac:dyDescent="0.3">
      <c r="A2333">
        <v>217635272</v>
      </c>
      <c r="B2333" s="1">
        <v>45098</v>
      </c>
      <c r="D2333">
        <v>39</v>
      </c>
      <c r="E2333" t="s">
        <v>6</v>
      </c>
      <c r="F2333" t="s">
        <v>7</v>
      </c>
    </row>
    <row r="2334" spans="1:6" x14ac:dyDescent="0.3">
      <c r="A2334">
        <v>217543308</v>
      </c>
      <c r="B2334" s="1">
        <v>45098</v>
      </c>
      <c r="C2334" s="1">
        <v>45099</v>
      </c>
      <c r="D2334">
        <v>39</v>
      </c>
      <c r="E2334" t="s">
        <v>6</v>
      </c>
      <c r="F2334" t="s">
        <v>7</v>
      </c>
    </row>
    <row r="2335" spans="1:6" x14ac:dyDescent="0.3">
      <c r="A2335">
        <v>217626870</v>
      </c>
      <c r="B2335" s="1">
        <v>45098</v>
      </c>
      <c r="C2335" s="1">
        <v>45099</v>
      </c>
      <c r="D2335">
        <v>39</v>
      </c>
      <c r="E2335" t="s">
        <v>6</v>
      </c>
      <c r="F2335" t="s">
        <v>8</v>
      </c>
    </row>
    <row r="2336" spans="1:6" x14ac:dyDescent="0.3">
      <c r="A2336">
        <v>217246912</v>
      </c>
      <c r="B2336" s="1">
        <v>45098</v>
      </c>
      <c r="C2336" s="1">
        <v>45099</v>
      </c>
      <c r="D2336">
        <v>39</v>
      </c>
      <c r="E2336" t="s">
        <v>6</v>
      </c>
      <c r="F2336" t="s">
        <v>8</v>
      </c>
    </row>
    <row r="2337" spans="1:6" x14ac:dyDescent="0.3">
      <c r="A2337">
        <v>217223132</v>
      </c>
      <c r="B2337" s="1">
        <v>45098</v>
      </c>
      <c r="C2337" s="1">
        <v>45156</v>
      </c>
      <c r="D2337">
        <v>39</v>
      </c>
      <c r="E2337" t="s">
        <v>6</v>
      </c>
      <c r="F2337" t="s">
        <v>7</v>
      </c>
    </row>
    <row r="2338" spans="1:6" x14ac:dyDescent="0.3">
      <c r="A2338">
        <v>217650160</v>
      </c>
      <c r="B2338" s="1">
        <v>45098</v>
      </c>
      <c r="C2338" s="1">
        <v>45148</v>
      </c>
      <c r="D2338">
        <v>39</v>
      </c>
      <c r="E2338" t="s">
        <v>6</v>
      </c>
      <c r="F2338" t="s">
        <v>7</v>
      </c>
    </row>
    <row r="2339" spans="1:6" x14ac:dyDescent="0.3">
      <c r="A2339">
        <v>149856123</v>
      </c>
      <c r="B2339" s="1">
        <v>45098</v>
      </c>
      <c r="C2339" s="1">
        <v>45124</v>
      </c>
      <c r="D2339">
        <v>39</v>
      </c>
      <c r="E2339" t="s">
        <v>6</v>
      </c>
      <c r="F2339" t="s">
        <v>7</v>
      </c>
    </row>
    <row r="2340" spans="1:6" x14ac:dyDescent="0.3">
      <c r="A2340">
        <v>217657148</v>
      </c>
      <c r="B2340" s="1">
        <v>45098</v>
      </c>
      <c r="C2340" s="1">
        <v>45107</v>
      </c>
      <c r="D2340">
        <v>39</v>
      </c>
      <c r="E2340" t="s">
        <v>6</v>
      </c>
      <c r="F2340" t="s">
        <v>7</v>
      </c>
    </row>
    <row r="2341" spans="1:6" x14ac:dyDescent="0.3">
      <c r="A2341">
        <v>217386658</v>
      </c>
      <c r="B2341" s="1">
        <v>45098</v>
      </c>
      <c r="C2341" s="1">
        <v>45132</v>
      </c>
      <c r="D2341">
        <v>39</v>
      </c>
      <c r="E2341" t="s">
        <v>6</v>
      </c>
      <c r="F2341" t="s">
        <v>7</v>
      </c>
    </row>
    <row r="2342" spans="1:6" x14ac:dyDescent="0.3">
      <c r="A2342">
        <v>202563999</v>
      </c>
      <c r="B2342" s="1">
        <v>45099</v>
      </c>
      <c r="D2342">
        <v>39</v>
      </c>
      <c r="E2342" t="s">
        <v>6</v>
      </c>
      <c r="F2342" t="s">
        <v>7</v>
      </c>
    </row>
    <row r="2343" spans="1:6" x14ac:dyDescent="0.3">
      <c r="A2343">
        <v>137195650</v>
      </c>
      <c r="B2343" s="1">
        <v>45099</v>
      </c>
      <c r="D2343">
        <v>39</v>
      </c>
      <c r="E2343" t="s">
        <v>6</v>
      </c>
      <c r="F2343" t="s">
        <v>7</v>
      </c>
    </row>
    <row r="2344" spans="1:6" x14ac:dyDescent="0.3">
      <c r="A2344">
        <v>138372112</v>
      </c>
      <c r="B2344" s="1">
        <v>45099</v>
      </c>
      <c r="D2344">
        <v>39</v>
      </c>
      <c r="E2344" t="s">
        <v>6</v>
      </c>
      <c r="F2344" t="s">
        <v>7</v>
      </c>
    </row>
    <row r="2345" spans="1:6" x14ac:dyDescent="0.3">
      <c r="A2345">
        <v>217692419</v>
      </c>
      <c r="B2345" s="1">
        <v>45099</v>
      </c>
      <c r="D2345">
        <v>39</v>
      </c>
      <c r="E2345" t="s">
        <v>6</v>
      </c>
      <c r="F2345" t="s">
        <v>7</v>
      </c>
    </row>
    <row r="2346" spans="1:6" x14ac:dyDescent="0.3">
      <c r="A2346">
        <v>217610905</v>
      </c>
      <c r="B2346" s="1">
        <v>45099</v>
      </c>
      <c r="D2346">
        <v>39</v>
      </c>
      <c r="E2346" t="s">
        <v>6</v>
      </c>
      <c r="F2346" t="s">
        <v>7</v>
      </c>
    </row>
    <row r="2347" spans="1:6" x14ac:dyDescent="0.3">
      <c r="A2347">
        <v>217618558</v>
      </c>
      <c r="B2347" s="1">
        <v>45099</v>
      </c>
      <c r="D2347">
        <v>39</v>
      </c>
      <c r="E2347" t="s">
        <v>6</v>
      </c>
      <c r="F2347" t="s">
        <v>7</v>
      </c>
    </row>
    <row r="2348" spans="1:6" x14ac:dyDescent="0.3">
      <c r="A2348">
        <v>190490555</v>
      </c>
      <c r="B2348" s="1">
        <v>45099</v>
      </c>
      <c r="D2348">
        <v>39</v>
      </c>
      <c r="E2348" t="s">
        <v>6</v>
      </c>
      <c r="F2348" t="s">
        <v>7</v>
      </c>
    </row>
    <row r="2349" spans="1:6" x14ac:dyDescent="0.3">
      <c r="A2349">
        <v>122169020</v>
      </c>
      <c r="B2349" s="1">
        <v>45099</v>
      </c>
      <c r="C2349" s="1">
        <v>45100</v>
      </c>
      <c r="D2349">
        <v>39</v>
      </c>
      <c r="E2349" t="s">
        <v>6</v>
      </c>
      <c r="F2349" t="s">
        <v>7</v>
      </c>
    </row>
    <row r="2350" spans="1:6" x14ac:dyDescent="0.3">
      <c r="A2350">
        <v>217628239</v>
      </c>
      <c r="B2350" s="1">
        <v>45099</v>
      </c>
      <c r="C2350" s="1">
        <v>45100</v>
      </c>
      <c r="D2350">
        <v>39</v>
      </c>
      <c r="E2350" t="s">
        <v>6</v>
      </c>
      <c r="F2350" t="s">
        <v>8</v>
      </c>
    </row>
    <row r="2351" spans="1:6" x14ac:dyDescent="0.3">
      <c r="A2351">
        <v>148062219</v>
      </c>
      <c r="B2351" s="1">
        <v>45099</v>
      </c>
      <c r="C2351" s="1">
        <v>45126</v>
      </c>
      <c r="D2351">
        <v>39</v>
      </c>
      <c r="E2351" t="s">
        <v>6</v>
      </c>
      <c r="F2351" t="s">
        <v>7</v>
      </c>
    </row>
    <row r="2352" spans="1:6" x14ac:dyDescent="0.3">
      <c r="A2352">
        <v>131505988</v>
      </c>
      <c r="B2352" s="1">
        <v>45099</v>
      </c>
      <c r="C2352" s="1">
        <v>45113</v>
      </c>
      <c r="D2352">
        <v>39</v>
      </c>
      <c r="E2352" t="s">
        <v>6</v>
      </c>
      <c r="F2352" t="s">
        <v>7</v>
      </c>
    </row>
    <row r="2353" spans="1:6" x14ac:dyDescent="0.3">
      <c r="A2353">
        <v>215489398</v>
      </c>
      <c r="B2353" s="1">
        <v>45099</v>
      </c>
      <c r="C2353" s="1">
        <v>45099</v>
      </c>
      <c r="D2353">
        <v>39</v>
      </c>
      <c r="E2353" t="s">
        <v>6</v>
      </c>
      <c r="F2353" t="s">
        <v>7</v>
      </c>
    </row>
    <row r="2354" spans="1:6" x14ac:dyDescent="0.3">
      <c r="A2354">
        <v>195285936</v>
      </c>
      <c r="B2354" s="1">
        <v>45099</v>
      </c>
      <c r="C2354" s="1">
        <v>45156</v>
      </c>
      <c r="D2354">
        <v>39</v>
      </c>
      <c r="E2354" t="s">
        <v>6</v>
      </c>
      <c r="F2354" t="s">
        <v>7</v>
      </c>
    </row>
    <row r="2355" spans="1:6" x14ac:dyDescent="0.3">
      <c r="A2355">
        <v>217725764</v>
      </c>
      <c r="B2355" s="1">
        <v>45099</v>
      </c>
      <c r="C2355" s="1">
        <v>45104</v>
      </c>
      <c r="D2355">
        <v>39</v>
      </c>
      <c r="E2355" t="s">
        <v>6</v>
      </c>
      <c r="F2355" t="s">
        <v>7</v>
      </c>
    </row>
    <row r="2356" spans="1:6" x14ac:dyDescent="0.3">
      <c r="A2356">
        <v>217730944</v>
      </c>
      <c r="B2356" s="1">
        <v>45099</v>
      </c>
      <c r="C2356" s="1">
        <v>45113</v>
      </c>
      <c r="D2356">
        <v>39</v>
      </c>
      <c r="E2356" t="s">
        <v>6</v>
      </c>
      <c r="F2356" t="s">
        <v>7</v>
      </c>
    </row>
    <row r="2357" spans="1:6" x14ac:dyDescent="0.3">
      <c r="A2357">
        <v>205548571</v>
      </c>
      <c r="B2357" s="1">
        <v>45100</v>
      </c>
      <c r="D2357">
        <v>39</v>
      </c>
      <c r="E2357" t="s">
        <v>6</v>
      </c>
      <c r="F2357" t="s">
        <v>7</v>
      </c>
    </row>
    <row r="2358" spans="1:6" x14ac:dyDescent="0.3">
      <c r="A2358">
        <v>188085249</v>
      </c>
      <c r="B2358" s="1">
        <v>45100</v>
      </c>
      <c r="D2358">
        <v>39</v>
      </c>
      <c r="E2358" t="s">
        <v>6</v>
      </c>
      <c r="F2358" t="s">
        <v>7</v>
      </c>
    </row>
    <row r="2359" spans="1:6" x14ac:dyDescent="0.3">
      <c r="A2359">
        <v>206697535</v>
      </c>
      <c r="B2359" s="1">
        <v>45100</v>
      </c>
      <c r="D2359">
        <v>39</v>
      </c>
      <c r="E2359" t="s">
        <v>6</v>
      </c>
      <c r="F2359" t="s">
        <v>7</v>
      </c>
    </row>
    <row r="2360" spans="1:6" x14ac:dyDescent="0.3">
      <c r="A2360">
        <v>152705871</v>
      </c>
      <c r="B2360" s="1">
        <v>45100</v>
      </c>
      <c r="D2360">
        <v>39</v>
      </c>
      <c r="E2360" t="s">
        <v>6</v>
      </c>
      <c r="F2360" t="s">
        <v>7</v>
      </c>
    </row>
    <row r="2361" spans="1:6" x14ac:dyDescent="0.3">
      <c r="A2361">
        <v>216139584</v>
      </c>
      <c r="B2361" s="1">
        <v>45100</v>
      </c>
      <c r="D2361">
        <v>39</v>
      </c>
      <c r="E2361" t="s">
        <v>6</v>
      </c>
      <c r="F2361" t="s">
        <v>7</v>
      </c>
    </row>
    <row r="2362" spans="1:6" x14ac:dyDescent="0.3">
      <c r="A2362">
        <v>127716285</v>
      </c>
      <c r="B2362" s="1">
        <v>45100</v>
      </c>
      <c r="D2362">
        <v>39</v>
      </c>
      <c r="E2362" t="s">
        <v>6</v>
      </c>
      <c r="F2362" t="s">
        <v>7</v>
      </c>
    </row>
    <row r="2363" spans="1:6" x14ac:dyDescent="0.3">
      <c r="A2363">
        <v>138535334</v>
      </c>
      <c r="B2363" s="1">
        <v>45100</v>
      </c>
      <c r="C2363" s="1">
        <v>45161</v>
      </c>
      <c r="D2363">
        <v>39</v>
      </c>
      <c r="E2363" t="s">
        <v>6</v>
      </c>
      <c r="F2363" t="s">
        <v>7</v>
      </c>
    </row>
    <row r="2364" spans="1:6" x14ac:dyDescent="0.3">
      <c r="A2364">
        <v>205869717</v>
      </c>
      <c r="B2364" s="1">
        <v>45100</v>
      </c>
      <c r="C2364" s="1">
        <v>45168</v>
      </c>
      <c r="D2364">
        <v>39</v>
      </c>
      <c r="E2364" t="s">
        <v>6</v>
      </c>
      <c r="F2364" t="s">
        <v>7</v>
      </c>
    </row>
    <row r="2365" spans="1:6" x14ac:dyDescent="0.3">
      <c r="A2365">
        <v>204985013</v>
      </c>
      <c r="B2365" s="1">
        <v>45100</v>
      </c>
      <c r="C2365" s="1">
        <v>45150</v>
      </c>
      <c r="D2365">
        <v>39</v>
      </c>
      <c r="E2365" t="s">
        <v>6</v>
      </c>
      <c r="F2365" t="s">
        <v>7</v>
      </c>
    </row>
    <row r="2366" spans="1:6" x14ac:dyDescent="0.3">
      <c r="A2366">
        <v>217763600</v>
      </c>
      <c r="B2366" s="1">
        <v>45101</v>
      </c>
      <c r="D2366">
        <v>39</v>
      </c>
      <c r="E2366" t="s">
        <v>6</v>
      </c>
      <c r="F2366" t="s">
        <v>7</v>
      </c>
    </row>
    <row r="2367" spans="1:6" x14ac:dyDescent="0.3">
      <c r="A2367">
        <v>217808731</v>
      </c>
      <c r="B2367" s="1">
        <v>45101</v>
      </c>
      <c r="C2367" s="1">
        <v>45102</v>
      </c>
      <c r="D2367">
        <v>39</v>
      </c>
      <c r="E2367" t="s">
        <v>6</v>
      </c>
      <c r="F2367" t="s">
        <v>8</v>
      </c>
    </row>
    <row r="2368" spans="1:6" x14ac:dyDescent="0.3">
      <c r="A2368">
        <v>217822232</v>
      </c>
      <c r="B2368" s="1">
        <v>45101</v>
      </c>
      <c r="C2368" s="1">
        <v>45143</v>
      </c>
      <c r="D2368">
        <v>39</v>
      </c>
      <c r="E2368" t="s">
        <v>6</v>
      </c>
      <c r="F2368" t="s">
        <v>7</v>
      </c>
    </row>
    <row r="2369" spans="1:6" x14ac:dyDescent="0.3">
      <c r="A2369">
        <v>217718093</v>
      </c>
      <c r="B2369" s="1">
        <v>45102</v>
      </c>
      <c r="D2369">
        <v>39</v>
      </c>
      <c r="E2369" t="s">
        <v>6</v>
      </c>
      <c r="F2369" t="s">
        <v>7</v>
      </c>
    </row>
    <row r="2370" spans="1:6" x14ac:dyDescent="0.3">
      <c r="A2370">
        <v>217555660</v>
      </c>
      <c r="B2370" s="1">
        <v>45102</v>
      </c>
      <c r="D2370">
        <v>39</v>
      </c>
      <c r="E2370" t="s">
        <v>6</v>
      </c>
      <c r="F2370" t="s">
        <v>7</v>
      </c>
    </row>
    <row r="2371" spans="1:6" x14ac:dyDescent="0.3">
      <c r="A2371">
        <v>154535908</v>
      </c>
      <c r="B2371" s="1">
        <v>45102</v>
      </c>
      <c r="D2371">
        <v>39</v>
      </c>
      <c r="E2371" t="s">
        <v>6</v>
      </c>
      <c r="F2371" t="s">
        <v>7</v>
      </c>
    </row>
    <row r="2372" spans="1:6" x14ac:dyDescent="0.3">
      <c r="A2372">
        <v>217554744</v>
      </c>
      <c r="B2372" s="1">
        <v>45102</v>
      </c>
      <c r="C2372" s="1">
        <v>45139</v>
      </c>
      <c r="D2372">
        <v>39</v>
      </c>
      <c r="E2372" t="s">
        <v>6</v>
      </c>
      <c r="F2372" t="s">
        <v>7</v>
      </c>
    </row>
    <row r="2373" spans="1:6" x14ac:dyDescent="0.3">
      <c r="A2373">
        <v>217877324</v>
      </c>
      <c r="B2373" s="1">
        <v>45102</v>
      </c>
      <c r="C2373" s="1">
        <v>45102</v>
      </c>
      <c r="D2373">
        <v>39</v>
      </c>
      <c r="E2373" t="s">
        <v>6</v>
      </c>
      <c r="F2373" t="s">
        <v>7</v>
      </c>
    </row>
    <row r="2374" spans="1:6" x14ac:dyDescent="0.3">
      <c r="A2374">
        <v>147765298</v>
      </c>
      <c r="B2374" s="1">
        <v>45103</v>
      </c>
      <c r="D2374">
        <v>39</v>
      </c>
      <c r="E2374" t="s">
        <v>6</v>
      </c>
      <c r="F2374" t="s">
        <v>7</v>
      </c>
    </row>
    <row r="2375" spans="1:6" x14ac:dyDescent="0.3">
      <c r="A2375">
        <v>217901196</v>
      </c>
      <c r="B2375" s="1">
        <v>45103</v>
      </c>
      <c r="D2375">
        <v>39</v>
      </c>
      <c r="E2375" t="s">
        <v>6</v>
      </c>
      <c r="F2375" t="s">
        <v>7</v>
      </c>
    </row>
    <row r="2376" spans="1:6" x14ac:dyDescent="0.3">
      <c r="A2376">
        <v>217266939</v>
      </c>
      <c r="B2376" s="1">
        <v>45103</v>
      </c>
      <c r="D2376">
        <v>39</v>
      </c>
      <c r="E2376" t="s">
        <v>6</v>
      </c>
      <c r="F2376" t="s">
        <v>7</v>
      </c>
    </row>
    <row r="2377" spans="1:6" x14ac:dyDescent="0.3">
      <c r="A2377">
        <v>204908076</v>
      </c>
      <c r="B2377" s="1">
        <v>45103</v>
      </c>
      <c r="D2377">
        <v>39</v>
      </c>
      <c r="E2377" t="s">
        <v>6</v>
      </c>
      <c r="F2377" t="s">
        <v>7</v>
      </c>
    </row>
    <row r="2378" spans="1:6" x14ac:dyDescent="0.3">
      <c r="A2378">
        <v>217698784</v>
      </c>
      <c r="B2378" s="1">
        <v>45103</v>
      </c>
      <c r="D2378">
        <v>39</v>
      </c>
      <c r="E2378" t="s">
        <v>6</v>
      </c>
      <c r="F2378" t="s">
        <v>7</v>
      </c>
    </row>
    <row r="2379" spans="1:6" x14ac:dyDescent="0.3">
      <c r="A2379">
        <v>217909024</v>
      </c>
      <c r="B2379" s="1">
        <v>45103</v>
      </c>
      <c r="D2379">
        <v>39</v>
      </c>
      <c r="E2379" t="s">
        <v>6</v>
      </c>
      <c r="F2379" t="s">
        <v>7</v>
      </c>
    </row>
    <row r="2380" spans="1:6" x14ac:dyDescent="0.3">
      <c r="A2380">
        <v>201498671</v>
      </c>
      <c r="B2380" s="1">
        <v>45103</v>
      </c>
      <c r="D2380">
        <v>39</v>
      </c>
      <c r="E2380" t="s">
        <v>6</v>
      </c>
      <c r="F2380" t="s">
        <v>7</v>
      </c>
    </row>
    <row r="2381" spans="1:6" x14ac:dyDescent="0.3">
      <c r="A2381">
        <v>217902650</v>
      </c>
      <c r="B2381" s="1">
        <v>45103</v>
      </c>
      <c r="D2381">
        <v>39</v>
      </c>
      <c r="E2381" t="s">
        <v>6</v>
      </c>
      <c r="F2381" t="s">
        <v>7</v>
      </c>
    </row>
    <row r="2382" spans="1:6" x14ac:dyDescent="0.3">
      <c r="A2382">
        <v>217896282</v>
      </c>
      <c r="B2382" s="1">
        <v>45103</v>
      </c>
      <c r="D2382">
        <v>39</v>
      </c>
      <c r="E2382" t="s">
        <v>6</v>
      </c>
      <c r="F2382" t="s">
        <v>7</v>
      </c>
    </row>
    <row r="2383" spans="1:6" x14ac:dyDescent="0.3">
      <c r="A2383">
        <v>217337901</v>
      </c>
      <c r="B2383" s="1">
        <v>45103</v>
      </c>
      <c r="D2383">
        <v>39</v>
      </c>
      <c r="E2383" t="s">
        <v>6</v>
      </c>
      <c r="F2383" t="s">
        <v>7</v>
      </c>
    </row>
    <row r="2384" spans="1:6" x14ac:dyDescent="0.3">
      <c r="A2384">
        <v>217477535</v>
      </c>
      <c r="B2384" s="1">
        <v>45103</v>
      </c>
      <c r="D2384">
        <v>39</v>
      </c>
      <c r="E2384" t="s">
        <v>6</v>
      </c>
      <c r="F2384" t="s">
        <v>7</v>
      </c>
    </row>
    <row r="2385" spans="1:6" x14ac:dyDescent="0.3">
      <c r="A2385">
        <v>217885621</v>
      </c>
      <c r="B2385" s="1">
        <v>45103</v>
      </c>
      <c r="D2385">
        <v>39</v>
      </c>
      <c r="E2385" t="s">
        <v>6</v>
      </c>
      <c r="F2385" t="s">
        <v>7</v>
      </c>
    </row>
    <row r="2386" spans="1:6" x14ac:dyDescent="0.3">
      <c r="A2386">
        <v>217714764</v>
      </c>
      <c r="B2386" s="1">
        <v>45103</v>
      </c>
      <c r="D2386">
        <v>39</v>
      </c>
      <c r="E2386" t="s">
        <v>6</v>
      </c>
      <c r="F2386" t="s">
        <v>7</v>
      </c>
    </row>
    <row r="2387" spans="1:6" x14ac:dyDescent="0.3">
      <c r="A2387">
        <v>217335548</v>
      </c>
      <c r="B2387" s="1">
        <v>45103</v>
      </c>
      <c r="C2387" s="1">
        <v>45175</v>
      </c>
      <c r="D2387">
        <v>39</v>
      </c>
      <c r="E2387" t="s">
        <v>6</v>
      </c>
      <c r="F2387" t="s">
        <v>7</v>
      </c>
    </row>
    <row r="2388" spans="1:6" x14ac:dyDescent="0.3">
      <c r="A2388">
        <v>129747676</v>
      </c>
      <c r="B2388" s="1">
        <v>45103</v>
      </c>
      <c r="C2388" s="1">
        <v>45104</v>
      </c>
      <c r="D2388">
        <v>39</v>
      </c>
      <c r="E2388" t="s">
        <v>6</v>
      </c>
      <c r="F2388" t="s">
        <v>7</v>
      </c>
    </row>
    <row r="2389" spans="1:6" x14ac:dyDescent="0.3">
      <c r="A2389">
        <v>217846698</v>
      </c>
      <c r="B2389" s="1">
        <v>45103</v>
      </c>
      <c r="C2389" s="1">
        <v>45104</v>
      </c>
      <c r="D2389">
        <v>39</v>
      </c>
      <c r="E2389" t="s">
        <v>6</v>
      </c>
      <c r="F2389" t="s">
        <v>8</v>
      </c>
    </row>
    <row r="2390" spans="1:6" x14ac:dyDescent="0.3">
      <c r="A2390">
        <v>217965791</v>
      </c>
      <c r="B2390" s="1">
        <v>45104</v>
      </c>
      <c r="D2390">
        <v>39</v>
      </c>
      <c r="E2390" t="s">
        <v>6</v>
      </c>
      <c r="F2390" t="s">
        <v>7</v>
      </c>
    </row>
    <row r="2391" spans="1:6" x14ac:dyDescent="0.3">
      <c r="A2391">
        <v>217851124</v>
      </c>
      <c r="B2391" s="1">
        <v>45104</v>
      </c>
      <c r="D2391">
        <v>39</v>
      </c>
      <c r="E2391" t="s">
        <v>6</v>
      </c>
      <c r="F2391" t="s">
        <v>7</v>
      </c>
    </row>
    <row r="2392" spans="1:6" x14ac:dyDescent="0.3">
      <c r="A2392">
        <v>217861903</v>
      </c>
      <c r="B2392" s="1">
        <v>45104</v>
      </c>
      <c r="D2392">
        <v>39</v>
      </c>
      <c r="E2392" t="s">
        <v>6</v>
      </c>
      <c r="F2392" t="s">
        <v>7</v>
      </c>
    </row>
    <row r="2393" spans="1:6" x14ac:dyDescent="0.3">
      <c r="A2393">
        <v>217660423</v>
      </c>
      <c r="B2393" s="1">
        <v>45104</v>
      </c>
      <c r="D2393">
        <v>39</v>
      </c>
      <c r="E2393" t="s">
        <v>6</v>
      </c>
      <c r="F2393" t="s">
        <v>7</v>
      </c>
    </row>
    <row r="2394" spans="1:6" x14ac:dyDescent="0.3">
      <c r="A2394">
        <v>217814342</v>
      </c>
      <c r="B2394" s="1">
        <v>45104</v>
      </c>
      <c r="D2394">
        <v>39</v>
      </c>
      <c r="E2394" t="s">
        <v>6</v>
      </c>
      <c r="F2394" t="s">
        <v>7</v>
      </c>
    </row>
    <row r="2395" spans="1:6" x14ac:dyDescent="0.3">
      <c r="A2395">
        <v>157548765</v>
      </c>
      <c r="B2395" s="1">
        <v>45104</v>
      </c>
      <c r="C2395" s="1">
        <v>45105</v>
      </c>
      <c r="D2395">
        <v>39</v>
      </c>
      <c r="E2395" t="s">
        <v>6</v>
      </c>
      <c r="F2395" t="s">
        <v>8</v>
      </c>
    </row>
    <row r="2396" spans="1:6" x14ac:dyDescent="0.3">
      <c r="A2396">
        <v>217934288</v>
      </c>
      <c r="B2396" s="1">
        <v>45104</v>
      </c>
      <c r="C2396" s="1">
        <v>45105</v>
      </c>
      <c r="D2396">
        <v>39</v>
      </c>
      <c r="E2396" t="s">
        <v>6</v>
      </c>
      <c r="F2396" t="s">
        <v>8</v>
      </c>
    </row>
    <row r="2397" spans="1:6" x14ac:dyDescent="0.3">
      <c r="A2397">
        <v>217855786</v>
      </c>
      <c r="B2397" s="1">
        <v>45104</v>
      </c>
      <c r="C2397" s="1">
        <v>45105</v>
      </c>
      <c r="D2397">
        <v>39</v>
      </c>
      <c r="E2397" t="s">
        <v>6</v>
      </c>
      <c r="F2397" t="s">
        <v>8</v>
      </c>
    </row>
    <row r="2398" spans="1:6" x14ac:dyDescent="0.3">
      <c r="A2398">
        <v>131753677</v>
      </c>
      <c r="B2398" s="1">
        <v>45104</v>
      </c>
      <c r="C2398" s="1">
        <v>45153</v>
      </c>
      <c r="D2398">
        <v>39</v>
      </c>
      <c r="E2398" t="s">
        <v>6</v>
      </c>
      <c r="F2398" t="s">
        <v>7</v>
      </c>
    </row>
    <row r="2399" spans="1:6" x14ac:dyDescent="0.3">
      <c r="A2399">
        <v>215963364</v>
      </c>
      <c r="B2399" s="1">
        <v>45104</v>
      </c>
      <c r="C2399" s="1">
        <v>45172</v>
      </c>
      <c r="D2399">
        <v>39</v>
      </c>
      <c r="E2399" t="s">
        <v>6</v>
      </c>
      <c r="F2399" t="s">
        <v>7</v>
      </c>
    </row>
    <row r="2400" spans="1:6" x14ac:dyDescent="0.3">
      <c r="A2400">
        <v>217971206</v>
      </c>
      <c r="B2400" s="1">
        <v>45104</v>
      </c>
      <c r="C2400" s="1">
        <v>45125</v>
      </c>
      <c r="D2400">
        <v>39</v>
      </c>
      <c r="E2400" t="s">
        <v>6</v>
      </c>
      <c r="F2400" t="s">
        <v>7</v>
      </c>
    </row>
    <row r="2401" spans="1:6" x14ac:dyDescent="0.3">
      <c r="A2401">
        <v>217943053</v>
      </c>
      <c r="B2401" s="1">
        <v>45104</v>
      </c>
      <c r="C2401" s="1">
        <v>45124</v>
      </c>
      <c r="D2401">
        <v>39</v>
      </c>
      <c r="E2401" t="s">
        <v>6</v>
      </c>
      <c r="F2401" t="s">
        <v>7</v>
      </c>
    </row>
    <row r="2402" spans="1:6" x14ac:dyDescent="0.3">
      <c r="A2402">
        <v>218004764</v>
      </c>
      <c r="B2402" s="1">
        <v>45105</v>
      </c>
      <c r="D2402">
        <v>39</v>
      </c>
      <c r="E2402" t="s">
        <v>6</v>
      </c>
      <c r="F2402" t="s">
        <v>7</v>
      </c>
    </row>
    <row r="2403" spans="1:6" x14ac:dyDescent="0.3">
      <c r="A2403">
        <v>217768772</v>
      </c>
      <c r="B2403" s="1">
        <v>45105</v>
      </c>
      <c r="D2403">
        <v>39</v>
      </c>
      <c r="E2403" t="s">
        <v>6</v>
      </c>
      <c r="F2403" t="s">
        <v>7</v>
      </c>
    </row>
    <row r="2404" spans="1:6" x14ac:dyDescent="0.3">
      <c r="A2404">
        <v>216775344</v>
      </c>
      <c r="B2404" s="1">
        <v>45105</v>
      </c>
      <c r="D2404">
        <v>39</v>
      </c>
      <c r="E2404" t="s">
        <v>6</v>
      </c>
      <c r="F2404" t="s">
        <v>7</v>
      </c>
    </row>
    <row r="2405" spans="1:6" x14ac:dyDescent="0.3">
      <c r="A2405">
        <v>135364787</v>
      </c>
      <c r="B2405" s="1">
        <v>45105</v>
      </c>
      <c r="D2405">
        <v>39</v>
      </c>
      <c r="E2405" t="s">
        <v>6</v>
      </c>
      <c r="F2405" t="s">
        <v>7</v>
      </c>
    </row>
    <row r="2406" spans="1:6" x14ac:dyDescent="0.3">
      <c r="A2406">
        <v>148107179</v>
      </c>
      <c r="B2406" s="1">
        <v>45105</v>
      </c>
      <c r="C2406" s="1">
        <v>45142</v>
      </c>
      <c r="D2406">
        <v>39</v>
      </c>
      <c r="E2406" t="s">
        <v>6</v>
      </c>
      <c r="F2406" t="s">
        <v>7</v>
      </c>
    </row>
    <row r="2407" spans="1:6" x14ac:dyDescent="0.3">
      <c r="A2407">
        <v>215904194</v>
      </c>
      <c r="B2407" s="1">
        <v>45105</v>
      </c>
      <c r="C2407" s="1">
        <v>45129</v>
      </c>
      <c r="D2407">
        <v>39</v>
      </c>
      <c r="E2407" t="s">
        <v>6</v>
      </c>
      <c r="F2407" t="s">
        <v>7</v>
      </c>
    </row>
    <row r="2408" spans="1:6" x14ac:dyDescent="0.3">
      <c r="A2408">
        <v>217988577</v>
      </c>
      <c r="B2408" s="1">
        <v>45105</v>
      </c>
      <c r="C2408" s="1">
        <v>45133</v>
      </c>
      <c r="D2408">
        <v>39</v>
      </c>
      <c r="E2408" t="s">
        <v>6</v>
      </c>
      <c r="F2408" t="s">
        <v>7</v>
      </c>
    </row>
    <row r="2409" spans="1:6" x14ac:dyDescent="0.3">
      <c r="A2409">
        <v>146124679</v>
      </c>
      <c r="B2409" s="1">
        <v>45105</v>
      </c>
      <c r="C2409" s="1">
        <v>45135</v>
      </c>
      <c r="D2409">
        <v>39</v>
      </c>
      <c r="E2409" t="s">
        <v>6</v>
      </c>
      <c r="F2409" t="s">
        <v>7</v>
      </c>
    </row>
    <row r="2410" spans="1:6" x14ac:dyDescent="0.3">
      <c r="A2410">
        <v>217819772</v>
      </c>
      <c r="B2410" s="1">
        <v>45106</v>
      </c>
      <c r="D2410">
        <v>39</v>
      </c>
      <c r="E2410" t="s">
        <v>6</v>
      </c>
      <c r="F2410" t="s">
        <v>7</v>
      </c>
    </row>
    <row r="2411" spans="1:6" x14ac:dyDescent="0.3">
      <c r="A2411">
        <v>217996629</v>
      </c>
      <c r="B2411" s="1">
        <v>45106</v>
      </c>
      <c r="D2411">
        <v>39</v>
      </c>
      <c r="E2411" t="s">
        <v>6</v>
      </c>
      <c r="F2411" t="s">
        <v>7</v>
      </c>
    </row>
    <row r="2412" spans="1:6" x14ac:dyDescent="0.3">
      <c r="A2412">
        <v>152621756</v>
      </c>
      <c r="B2412" s="1">
        <v>45106</v>
      </c>
      <c r="D2412">
        <v>39</v>
      </c>
      <c r="E2412" t="s">
        <v>6</v>
      </c>
      <c r="F2412" t="s">
        <v>7</v>
      </c>
    </row>
    <row r="2413" spans="1:6" x14ac:dyDescent="0.3">
      <c r="A2413">
        <v>218006807</v>
      </c>
      <c r="B2413" s="1">
        <v>45106</v>
      </c>
      <c r="D2413">
        <v>39</v>
      </c>
      <c r="E2413" t="s">
        <v>6</v>
      </c>
      <c r="F2413" t="s">
        <v>7</v>
      </c>
    </row>
    <row r="2414" spans="1:6" x14ac:dyDescent="0.3">
      <c r="A2414">
        <v>218045202</v>
      </c>
      <c r="B2414" s="1">
        <v>45106</v>
      </c>
      <c r="C2414" s="1">
        <v>45167</v>
      </c>
      <c r="D2414">
        <v>39</v>
      </c>
      <c r="E2414" t="s">
        <v>6</v>
      </c>
      <c r="F2414" t="s">
        <v>7</v>
      </c>
    </row>
    <row r="2415" spans="1:6" x14ac:dyDescent="0.3">
      <c r="A2415">
        <v>122215146</v>
      </c>
      <c r="B2415" s="1">
        <v>45106</v>
      </c>
      <c r="C2415" s="1">
        <v>45151</v>
      </c>
      <c r="D2415">
        <v>39</v>
      </c>
      <c r="E2415" t="s">
        <v>6</v>
      </c>
      <c r="F2415" t="s">
        <v>7</v>
      </c>
    </row>
    <row r="2416" spans="1:6" x14ac:dyDescent="0.3">
      <c r="A2416">
        <v>218003864</v>
      </c>
      <c r="B2416" s="1">
        <v>45106</v>
      </c>
      <c r="C2416" s="1">
        <v>45135</v>
      </c>
      <c r="D2416">
        <v>39</v>
      </c>
      <c r="E2416" t="s">
        <v>6</v>
      </c>
      <c r="F2416" t="s">
        <v>7</v>
      </c>
    </row>
    <row r="2417" spans="1:6" x14ac:dyDescent="0.3">
      <c r="A2417">
        <v>218088770</v>
      </c>
      <c r="B2417" s="1">
        <v>45107</v>
      </c>
      <c r="D2417">
        <v>39</v>
      </c>
      <c r="E2417" t="s">
        <v>6</v>
      </c>
      <c r="F2417" t="s">
        <v>7</v>
      </c>
    </row>
    <row r="2418" spans="1:6" x14ac:dyDescent="0.3">
      <c r="A2418">
        <v>217856893</v>
      </c>
      <c r="B2418" s="1">
        <v>45107</v>
      </c>
      <c r="D2418">
        <v>39</v>
      </c>
      <c r="E2418" t="s">
        <v>6</v>
      </c>
      <c r="F2418" t="s">
        <v>7</v>
      </c>
    </row>
    <row r="2419" spans="1:6" x14ac:dyDescent="0.3">
      <c r="A2419">
        <v>156054912</v>
      </c>
      <c r="B2419" s="1">
        <v>45107</v>
      </c>
      <c r="D2419">
        <v>39</v>
      </c>
      <c r="E2419" t="s">
        <v>6</v>
      </c>
      <c r="F2419" t="s">
        <v>7</v>
      </c>
    </row>
    <row r="2420" spans="1:6" x14ac:dyDescent="0.3">
      <c r="A2420">
        <v>218059054</v>
      </c>
      <c r="B2420" s="1">
        <v>45107</v>
      </c>
      <c r="D2420">
        <v>39</v>
      </c>
      <c r="E2420" t="s">
        <v>6</v>
      </c>
      <c r="F2420" t="s">
        <v>7</v>
      </c>
    </row>
    <row r="2421" spans="1:6" x14ac:dyDescent="0.3">
      <c r="A2421">
        <v>218074245</v>
      </c>
      <c r="B2421" s="1">
        <v>45107</v>
      </c>
      <c r="D2421">
        <v>39</v>
      </c>
      <c r="E2421" t="s">
        <v>6</v>
      </c>
      <c r="F2421" t="s">
        <v>7</v>
      </c>
    </row>
    <row r="2422" spans="1:6" x14ac:dyDescent="0.3">
      <c r="A2422">
        <v>204774586</v>
      </c>
      <c r="B2422" s="1">
        <v>45107</v>
      </c>
      <c r="D2422">
        <v>39</v>
      </c>
      <c r="E2422" t="s">
        <v>6</v>
      </c>
      <c r="F2422" t="s">
        <v>7</v>
      </c>
    </row>
    <row r="2423" spans="1:6" x14ac:dyDescent="0.3">
      <c r="A2423">
        <v>215941440</v>
      </c>
      <c r="B2423" s="1">
        <v>45107</v>
      </c>
      <c r="D2423">
        <v>39</v>
      </c>
      <c r="E2423" t="s">
        <v>6</v>
      </c>
      <c r="F2423" t="s">
        <v>7</v>
      </c>
    </row>
    <row r="2424" spans="1:6" x14ac:dyDescent="0.3">
      <c r="A2424">
        <v>205547323</v>
      </c>
      <c r="B2424" s="1">
        <v>45107</v>
      </c>
      <c r="D2424">
        <v>39</v>
      </c>
      <c r="E2424" t="s">
        <v>6</v>
      </c>
      <c r="F2424" t="s">
        <v>8</v>
      </c>
    </row>
    <row r="2425" spans="1:6" x14ac:dyDescent="0.3">
      <c r="A2425">
        <v>140062581</v>
      </c>
      <c r="B2425" s="1">
        <v>45107</v>
      </c>
      <c r="D2425">
        <v>39</v>
      </c>
      <c r="E2425" t="s">
        <v>6</v>
      </c>
      <c r="F2425" t="s">
        <v>7</v>
      </c>
    </row>
    <row r="2426" spans="1:6" x14ac:dyDescent="0.3">
      <c r="A2426">
        <v>217932519</v>
      </c>
      <c r="B2426" s="1">
        <v>45107</v>
      </c>
      <c r="C2426" s="1">
        <v>45108</v>
      </c>
      <c r="D2426">
        <v>39</v>
      </c>
      <c r="E2426" t="s">
        <v>6</v>
      </c>
      <c r="F2426" t="s">
        <v>7</v>
      </c>
    </row>
    <row r="2427" spans="1:6" x14ac:dyDescent="0.3">
      <c r="A2427">
        <v>217982048</v>
      </c>
      <c r="B2427" s="1">
        <v>45107</v>
      </c>
      <c r="C2427" s="1">
        <v>45108</v>
      </c>
      <c r="D2427">
        <v>39</v>
      </c>
      <c r="E2427" t="s">
        <v>6</v>
      </c>
      <c r="F2427" t="s">
        <v>8</v>
      </c>
    </row>
    <row r="2428" spans="1:6" x14ac:dyDescent="0.3">
      <c r="A2428">
        <v>218066467</v>
      </c>
      <c r="B2428" s="1">
        <v>45107</v>
      </c>
      <c r="C2428" s="1">
        <v>45169</v>
      </c>
      <c r="D2428">
        <v>39</v>
      </c>
      <c r="E2428" t="s">
        <v>6</v>
      </c>
      <c r="F2428" t="s">
        <v>7</v>
      </c>
    </row>
    <row r="2429" spans="1:6" x14ac:dyDescent="0.3">
      <c r="A2429">
        <v>218046034</v>
      </c>
      <c r="B2429" s="1">
        <v>45107</v>
      </c>
      <c r="C2429" s="1">
        <v>45175</v>
      </c>
      <c r="D2429">
        <v>39</v>
      </c>
      <c r="E2429" t="s">
        <v>6</v>
      </c>
      <c r="F2429" t="s">
        <v>7</v>
      </c>
    </row>
    <row r="2430" spans="1:6" x14ac:dyDescent="0.3">
      <c r="A2430">
        <v>217697744</v>
      </c>
      <c r="B2430" s="1">
        <v>45107</v>
      </c>
      <c r="C2430" s="1">
        <v>45134</v>
      </c>
      <c r="D2430">
        <v>39</v>
      </c>
      <c r="E2430" t="s">
        <v>6</v>
      </c>
      <c r="F2430" t="s">
        <v>7</v>
      </c>
    </row>
    <row r="2431" spans="1:6" x14ac:dyDescent="0.3">
      <c r="A2431">
        <v>217942738</v>
      </c>
      <c r="B2431" s="1">
        <v>45108</v>
      </c>
      <c r="D2431">
        <v>39</v>
      </c>
      <c r="E2431" t="s">
        <v>6</v>
      </c>
      <c r="F2431" t="s">
        <v>7</v>
      </c>
    </row>
    <row r="2432" spans="1:6" x14ac:dyDescent="0.3">
      <c r="A2432">
        <v>218133628</v>
      </c>
      <c r="B2432" s="1">
        <v>45108</v>
      </c>
      <c r="D2432">
        <v>39</v>
      </c>
      <c r="E2432" t="s">
        <v>6</v>
      </c>
      <c r="F2432" t="s">
        <v>7</v>
      </c>
    </row>
    <row r="2433" spans="1:6" x14ac:dyDescent="0.3">
      <c r="A2433">
        <v>118508852</v>
      </c>
      <c r="B2433" s="1">
        <v>45108</v>
      </c>
      <c r="D2433">
        <v>39</v>
      </c>
      <c r="E2433" t="s">
        <v>6</v>
      </c>
      <c r="F2433" t="s">
        <v>7</v>
      </c>
    </row>
    <row r="2434" spans="1:6" x14ac:dyDescent="0.3">
      <c r="A2434">
        <v>218120267</v>
      </c>
      <c r="B2434" s="1">
        <v>45108</v>
      </c>
      <c r="D2434">
        <v>39</v>
      </c>
      <c r="E2434" t="s">
        <v>6</v>
      </c>
      <c r="F2434" t="s">
        <v>7</v>
      </c>
    </row>
    <row r="2435" spans="1:6" x14ac:dyDescent="0.3">
      <c r="A2435">
        <v>218095541</v>
      </c>
      <c r="B2435" s="1">
        <v>45108</v>
      </c>
      <c r="D2435">
        <v>39</v>
      </c>
      <c r="E2435" t="s">
        <v>6</v>
      </c>
      <c r="F2435" t="s">
        <v>7</v>
      </c>
    </row>
    <row r="2436" spans="1:6" x14ac:dyDescent="0.3">
      <c r="A2436">
        <v>217626801</v>
      </c>
      <c r="B2436" s="1">
        <v>45108</v>
      </c>
      <c r="D2436">
        <v>39</v>
      </c>
      <c r="E2436" t="s">
        <v>6</v>
      </c>
      <c r="F2436" t="s">
        <v>7</v>
      </c>
    </row>
    <row r="2437" spans="1:6" x14ac:dyDescent="0.3">
      <c r="A2437">
        <v>151555660</v>
      </c>
      <c r="B2437" s="1">
        <v>45108</v>
      </c>
      <c r="C2437" s="1">
        <v>45169</v>
      </c>
      <c r="D2437">
        <v>39</v>
      </c>
      <c r="E2437" t="s">
        <v>6</v>
      </c>
      <c r="F2437" t="s">
        <v>7</v>
      </c>
    </row>
    <row r="2438" spans="1:6" x14ac:dyDescent="0.3">
      <c r="A2438">
        <v>217110820</v>
      </c>
      <c r="B2438" s="1">
        <v>45108</v>
      </c>
      <c r="C2438" s="1">
        <v>45142</v>
      </c>
      <c r="D2438">
        <v>39</v>
      </c>
      <c r="E2438" t="s">
        <v>6</v>
      </c>
      <c r="F2438" t="s">
        <v>7</v>
      </c>
    </row>
    <row r="2439" spans="1:6" x14ac:dyDescent="0.3">
      <c r="A2439">
        <v>217932519</v>
      </c>
      <c r="B2439" s="1">
        <v>45108</v>
      </c>
      <c r="C2439" s="1">
        <v>45169</v>
      </c>
      <c r="D2439">
        <v>39</v>
      </c>
      <c r="E2439" t="s">
        <v>6</v>
      </c>
      <c r="F2439" t="s">
        <v>7</v>
      </c>
    </row>
    <row r="2440" spans="1:6" x14ac:dyDescent="0.3">
      <c r="A2440">
        <v>218164848</v>
      </c>
      <c r="B2440" s="1">
        <v>45109</v>
      </c>
      <c r="D2440">
        <v>39</v>
      </c>
      <c r="E2440" t="s">
        <v>6</v>
      </c>
      <c r="F2440" t="s">
        <v>7</v>
      </c>
    </row>
    <row r="2441" spans="1:6" x14ac:dyDescent="0.3">
      <c r="A2441">
        <v>217526484</v>
      </c>
      <c r="B2441" s="1">
        <v>45109</v>
      </c>
      <c r="D2441">
        <v>39</v>
      </c>
      <c r="E2441" t="s">
        <v>6</v>
      </c>
      <c r="F2441" t="s">
        <v>7</v>
      </c>
    </row>
    <row r="2442" spans="1:6" x14ac:dyDescent="0.3">
      <c r="A2442">
        <v>214940948</v>
      </c>
      <c r="B2442" s="1">
        <v>45109</v>
      </c>
      <c r="D2442">
        <v>39</v>
      </c>
      <c r="E2442" t="s">
        <v>6</v>
      </c>
      <c r="F2442" t="s">
        <v>7</v>
      </c>
    </row>
    <row r="2443" spans="1:6" x14ac:dyDescent="0.3">
      <c r="A2443">
        <v>218144586</v>
      </c>
      <c r="B2443" s="1">
        <v>45109</v>
      </c>
      <c r="D2443">
        <v>39</v>
      </c>
      <c r="E2443" t="s">
        <v>6</v>
      </c>
      <c r="F2443" t="s">
        <v>7</v>
      </c>
    </row>
    <row r="2444" spans="1:6" x14ac:dyDescent="0.3">
      <c r="A2444">
        <v>217863596</v>
      </c>
      <c r="B2444" s="1">
        <v>45109</v>
      </c>
      <c r="C2444" s="1">
        <v>45158</v>
      </c>
      <c r="D2444">
        <v>39</v>
      </c>
      <c r="E2444" t="s">
        <v>6</v>
      </c>
      <c r="F2444" t="s">
        <v>7</v>
      </c>
    </row>
    <row r="2445" spans="1:6" x14ac:dyDescent="0.3">
      <c r="A2445">
        <v>218098580</v>
      </c>
      <c r="B2445" s="1">
        <v>45109</v>
      </c>
      <c r="C2445" s="1">
        <v>45168</v>
      </c>
      <c r="D2445">
        <v>39</v>
      </c>
      <c r="E2445" t="s">
        <v>6</v>
      </c>
      <c r="F2445" t="s">
        <v>7</v>
      </c>
    </row>
    <row r="2446" spans="1:6" x14ac:dyDescent="0.3">
      <c r="A2446">
        <v>215602271</v>
      </c>
      <c r="B2446" s="1">
        <v>45109</v>
      </c>
      <c r="C2446" s="1">
        <v>45134</v>
      </c>
      <c r="D2446">
        <v>39</v>
      </c>
      <c r="E2446" t="s">
        <v>6</v>
      </c>
      <c r="F2446" t="s">
        <v>7</v>
      </c>
    </row>
    <row r="2447" spans="1:6" x14ac:dyDescent="0.3">
      <c r="A2447">
        <v>218202086</v>
      </c>
      <c r="B2447" s="1">
        <v>45110</v>
      </c>
      <c r="D2447">
        <v>39</v>
      </c>
      <c r="E2447" t="s">
        <v>6</v>
      </c>
      <c r="F2447" t="s">
        <v>7</v>
      </c>
    </row>
    <row r="2448" spans="1:6" x14ac:dyDescent="0.3">
      <c r="A2448">
        <v>217927897</v>
      </c>
      <c r="B2448" s="1">
        <v>45110</v>
      </c>
      <c r="D2448">
        <v>39</v>
      </c>
      <c r="E2448" t="s">
        <v>6</v>
      </c>
      <c r="F2448" t="s">
        <v>7</v>
      </c>
    </row>
    <row r="2449" spans="1:6" x14ac:dyDescent="0.3">
      <c r="A2449">
        <v>217856402</v>
      </c>
      <c r="B2449" s="1">
        <v>45110</v>
      </c>
      <c r="D2449">
        <v>39</v>
      </c>
      <c r="E2449" t="s">
        <v>6</v>
      </c>
      <c r="F2449" t="s">
        <v>7</v>
      </c>
    </row>
    <row r="2450" spans="1:6" x14ac:dyDescent="0.3">
      <c r="A2450">
        <v>217588559</v>
      </c>
      <c r="B2450" s="1">
        <v>45110</v>
      </c>
      <c r="D2450">
        <v>39</v>
      </c>
      <c r="E2450" t="s">
        <v>6</v>
      </c>
      <c r="F2450" t="s">
        <v>7</v>
      </c>
    </row>
    <row r="2451" spans="1:6" x14ac:dyDescent="0.3">
      <c r="A2451">
        <v>212136438</v>
      </c>
      <c r="B2451" s="1">
        <v>45110</v>
      </c>
      <c r="D2451">
        <v>39</v>
      </c>
      <c r="E2451" t="s">
        <v>6</v>
      </c>
      <c r="F2451" t="s">
        <v>7</v>
      </c>
    </row>
    <row r="2452" spans="1:6" x14ac:dyDescent="0.3">
      <c r="A2452">
        <v>138548670</v>
      </c>
      <c r="B2452" s="1">
        <v>45110</v>
      </c>
      <c r="D2452">
        <v>39</v>
      </c>
      <c r="E2452" t="s">
        <v>6</v>
      </c>
      <c r="F2452" t="s">
        <v>7</v>
      </c>
    </row>
    <row r="2453" spans="1:6" x14ac:dyDescent="0.3">
      <c r="A2453">
        <v>217588559</v>
      </c>
      <c r="B2453" s="1">
        <v>45110</v>
      </c>
      <c r="C2453" s="1">
        <v>45110</v>
      </c>
      <c r="D2453">
        <v>39</v>
      </c>
      <c r="E2453" t="s">
        <v>6</v>
      </c>
      <c r="F2453" t="s">
        <v>7</v>
      </c>
    </row>
    <row r="2454" spans="1:6" x14ac:dyDescent="0.3">
      <c r="A2454">
        <v>171893540</v>
      </c>
      <c r="B2454" s="1">
        <v>45110</v>
      </c>
      <c r="C2454" s="1">
        <v>45158</v>
      </c>
      <c r="D2454">
        <v>39</v>
      </c>
      <c r="E2454" t="s">
        <v>6</v>
      </c>
      <c r="F2454" t="s">
        <v>7</v>
      </c>
    </row>
    <row r="2455" spans="1:6" x14ac:dyDescent="0.3">
      <c r="A2455">
        <v>202412363</v>
      </c>
      <c r="B2455" s="1">
        <v>45110</v>
      </c>
      <c r="C2455" s="1">
        <v>45129</v>
      </c>
      <c r="D2455">
        <v>39</v>
      </c>
      <c r="E2455" t="s">
        <v>6</v>
      </c>
      <c r="F2455" t="s">
        <v>7</v>
      </c>
    </row>
    <row r="2456" spans="1:6" x14ac:dyDescent="0.3">
      <c r="A2456">
        <v>218129311</v>
      </c>
      <c r="B2456" s="1">
        <v>45110</v>
      </c>
      <c r="C2456" s="1">
        <v>45148</v>
      </c>
      <c r="D2456">
        <v>39</v>
      </c>
      <c r="E2456" t="s">
        <v>6</v>
      </c>
      <c r="F2456" t="s">
        <v>7</v>
      </c>
    </row>
    <row r="2457" spans="1:6" x14ac:dyDescent="0.3">
      <c r="A2457">
        <v>218092565</v>
      </c>
      <c r="B2457" s="1">
        <v>45110</v>
      </c>
      <c r="C2457" s="1">
        <v>45148</v>
      </c>
      <c r="D2457">
        <v>39</v>
      </c>
      <c r="E2457" t="s">
        <v>6</v>
      </c>
      <c r="F2457" t="s">
        <v>7</v>
      </c>
    </row>
    <row r="2458" spans="1:6" x14ac:dyDescent="0.3">
      <c r="A2458">
        <v>150436862</v>
      </c>
      <c r="B2458" s="1">
        <v>45111</v>
      </c>
      <c r="D2458">
        <v>39</v>
      </c>
      <c r="E2458" t="s">
        <v>6</v>
      </c>
      <c r="F2458" t="s">
        <v>7</v>
      </c>
    </row>
    <row r="2459" spans="1:6" x14ac:dyDescent="0.3">
      <c r="A2459">
        <v>218211840</v>
      </c>
      <c r="B2459" s="1">
        <v>45111</v>
      </c>
      <c r="D2459">
        <v>39</v>
      </c>
      <c r="E2459" t="s">
        <v>6</v>
      </c>
      <c r="F2459" t="s">
        <v>7</v>
      </c>
    </row>
    <row r="2460" spans="1:6" x14ac:dyDescent="0.3">
      <c r="A2460">
        <v>218235209</v>
      </c>
      <c r="B2460" s="1">
        <v>45111</v>
      </c>
      <c r="D2460">
        <v>39</v>
      </c>
      <c r="E2460" t="s">
        <v>6</v>
      </c>
      <c r="F2460" t="s">
        <v>7</v>
      </c>
    </row>
    <row r="2461" spans="1:6" x14ac:dyDescent="0.3">
      <c r="A2461">
        <v>132631414</v>
      </c>
      <c r="B2461" s="1">
        <v>45111</v>
      </c>
      <c r="D2461">
        <v>39</v>
      </c>
      <c r="E2461" t="s">
        <v>6</v>
      </c>
      <c r="F2461" t="s">
        <v>7</v>
      </c>
    </row>
    <row r="2462" spans="1:6" x14ac:dyDescent="0.3">
      <c r="A2462">
        <v>218254260</v>
      </c>
      <c r="B2462" s="1">
        <v>45111</v>
      </c>
      <c r="D2462">
        <v>39</v>
      </c>
      <c r="E2462" t="s">
        <v>6</v>
      </c>
      <c r="F2462" t="s">
        <v>7</v>
      </c>
    </row>
    <row r="2463" spans="1:6" x14ac:dyDescent="0.3">
      <c r="A2463">
        <v>218095604</v>
      </c>
      <c r="B2463" s="1">
        <v>45111</v>
      </c>
      <c r="D2463">
        <v>39</v>
      </c>
      <c r="E2463" t="s">
        <v>6</v>
      </c>
      <c r="F2463" t="s">
        <v>7</v>
      </c>
    </row>
    <row r="2464" spans="1:6" x14ac:dyDescent="0.3">
      <c r="A2464">
        <v>147845964</v>
      </c>
      <c r="B2464" s="1">
        <v>45111</v>
      </c>
      <c r="C2464" s="1">
        <v>45111</v>
      </c>
      <c r="D2464">
        <v>39</v>
      </c>
      <c r="E2464" t="s">
        <v>6</v>
      </c>
      <c r="F2464" t="s">
        <v>7</v>
      </c>
    </row>
    <row r="2465" spans="1:6" x14ac:dyDescent="0.3">
      <c r="A2465">
        <v>218242871</v>
      </c>
      <c r="B2465" s="1">
        <v>45111</v>
      </c>
      <c r="C2465" s="1">
        <v>45142</v>
      </c>
      <c r="D2465">
        <v>39</v>
      </c>
      <c r="E2465" t="s">
        <v>6</v>
      </c>
      <c r="F2465" t="s">
        <v>7</v>
      </c>
    </row>
    <row r="2466" spans="1:6" x14ac:dyDescent="0.3">
      <c r="A2466">
        <v>218238016</v>
      </c>
      <c r="B2466" s="1">
        <v>45111</v>
      </c>
      <c r="C2466" s="1">
        <v>45172</v>
      </c>
      <c r="D2466">
        <v>39</v>
      </c>
      <c r="E2466" t="s">
        <v>6</v>
      </c>
      <c r="F2466" t="s">
        <v>7</v>
      </c>
    </row>
    <row r="2467" spans="1:6" x14ac:dyDescent="0.3">
      <c r="A2467">
        <v>217387951</v>
      </c>
      <c r="B2467" s="1">
        <v>45111</v>
      </c>
      <c r="C2467" s="1">
        <v>45142</v>
      </c>
      <c r="D2467">
        <v>39</v>
      </c>
      <c r="E2467" t="s">
        <v>6</v>
      </c>
      <c r="F2467" t="s">
        <v>7</v>
      </c>
    </row>
    <row r="2468" spans="1:6" x14ac:dyDescent="0.3">
      <c r="A2468">
        <v>218236754</v>
      </c>
      <c r="B2468" s="1">
        <v>45111</v>
      </c>
      <c r="C2468" s="1">
        <v>45118</v>
      </c>
      <c r="D2468">
        <v>39</v>
      </c>
      <c r="E2468" t="s">
        <v>6</v>
      </c>
      <c r="F2468" t="s">
        <v>7</v>
      </c>
    </row>
    <row r="2469" spans="1:6" x14ac:dyDescent="0.3">
      <c r="A2469">
        <v>218307564</v>
      </c>
      <c r="B2469" s="1">
        <v>45112</v>
      </c>
      <c r="D2469">
        <v>39</v>
      </c>
      <c r="E2469" t="s">
        <v>6</v>
      </c>
      <c r="F2469" t="s">
        <v>7</v>
      </c>
    </row>
    <row r="2470" spans="1:6" x14ac:dyDescent="0.3">
      <c r="A2470">
        <v>150521180</v>
      </c>
      <c r="B2470" s="1">
        <v>45112</v>
      </c>
      <c r="D2470">
        <v>39</v>
      </c>
      <c r="E2470" t="s">
        <v>6</v>
      </c>
      <c r="F2470" t="s">
        <v>7</v>
      </c>
    </row>
    <row r="2471" spans="1:6" x14ac:dyDescent="0.3">
      <c r="A2471">
        <v>135240372</v>
      </c>
      <c r="B2471" s="1">
        <v>45112</v>
      </c>
      <c r="D2471">
        <v>39</v>
      </c>
      <c r="E2471" t="s">
        <v>6</v>
      </c>
      <c r="F2471" t="s">
        <v>7</v>
      </c>
    </row>
    <row r="2472" spans="1:6" x14ac:dyDescent="0.3">
      <c r="A2472">
        <v>218275834</v>
      </c>
      <c r="B2472" s="1">
        <v>45112</v>
      </c>
      <c r="D2472">
        <v>39</v>
      </c>
      <c r="E2472" t="s">
        <v>6</v>
      </c>
      <c r="F2472" t="s">
        <v>7</v>
      </c>
    </row>
    <row r="2473" spans="1:6" x14ac:dyDescent="0.3">
      <c r="A2473">
        <v>218028076</v>
      </c>
      <c r="B2473" s="1">
        <v>45112</v>
      </c>
      <c r="D2473">
        <v>39</v>
      </c>
      <c r="E2473" t="s">
        <v>6</v>
      </c>
      <c r="F2473" t="s">
        <v>7</v>
      </c>
    </row>
    <row r="2474" spans="1:6" x14ac:dyDescent="0.3">
      <c r="A2474">
        <v>164254865</v>
      </c>
      <c r="B2474" s="1">
        <v>45112</v>
      </c>
      <c r="D2474">
        <v>39</v>
      </c>
      <c r="E2474" t="s">
        <v>6</v>
      </c>
      <c r="F2474" t="s">
        <v>7</v>
      </c>
    </row>
    <row r="2475" spans="1:6" x14ac:dyDescent="0.3">
      <c r="A2475">
        <v>218274904</v>
      </c>
      <c r="B2475" s="1">
        <v>45112</v>
      </c>
      <c r="C2475" s="1">
        <v>45113</v>
      </c>
      <c r="D2475">
        <v>39</v>
      </c>
      <c r="E2475" t="s">
        <v>6</v>
      </c>
      <c r="F2475" t="s">
        <v>8</v>
      </c>
    </row>
    <row r="2476" spans="1:6" x14ac:dyDescent="0.3">
      <c r="A2476">
        <v>208473540</v>
      </c>
      <c r="B2476" s="1">
        <v>45112</v>
      </c>
      <c r="C2476" s="1">
        <v>45177</v>
      </c>
      <c r="D2476">
        <v>39</v>
      </c>
      <c r="E2476" t="s">
        <v>6</v>
      </c>
      <c r="F2476" t="s">
        <v>7</v>
      </c>
    </row>
    <row r="2477" spans="1:6" x14ac:dyDescent="0.3">
      <c r="A2477">
        <v>218233516</v>
      </c>
      <c r="B2477" s="1">
        <v>45112</v>
      </c>
      <c r="C2477" s="1">
        <v>45146</v>
      </c>
      <c r="D2477">
        <v>39</v>
      </c>
      <c r="E2477" t="s">
        <v>6</v>
      </c>
      <c r="F2477" t="s">
        <v>7</v>
      </c>
    </row>
    <row r="2478" spans="1:6" x14ac:dyDescent="0.3">
      <c r="A2478">
        <v>218261606</v>
      </c>
      <c r="B2478" s="1">
        <v>45112</v>
      </c>
      <c r="C2478" s="1">
        <v>45155</v>
      </c>
      <c r="D2478">
        <v>39</v>
      </c>
      <c r="E2478" t="s">
        <v>6</v>
      </c>
      <c r="F2478" t="s">
        <v>7</v>
      </c>
    </row>
    <row r="2479" spans="1:6" x14ac:dyDescent="0.3">
      <c r="A2479">
        <v>218289472</v>
      </c>
      <c r="B2479" s="1">
        <v>45112</v>
      </c>
      <c r="C2479" s="1">
        <v>45113</v>
      </c>
      <c r="D2479">
        <v>39</v>
      </c>
      <c r="E2479" t="s">
        <v>6</v>
      </c>
      <c r="F2479" t="s">
        <v>7</v>
      </c>
    </row>
    <row r="2480" spans="1:6" x14ac:dyDescent="0.3">
      <c r="A2480">
        <v>215946425</v>
      </c>
      <c r="B2480" s="1">
        <v>45112</v>
      </c>
      <c r="C2480" s="1">
        <v>45136</v>
      </c>
      <c r="D2480">
        <v>39</v>
      </c>
      <c r="E2480" t="s">
        <v>6</v>
      </c>
      <c r="F2480" t="s">
        <v>7</v>
      </c>
    </row>
    <row r="2481" spans="1:6" x14ac:dyDescent="0.3">
      <c r="A2481">
        <v>218284850</v>
      </c>
      <c r="B2481" s="1">
        <v>45112</v>
      </c>
      <c r="C2481" s="1">
        <v>45136</v>
      </c>
      <c r="D2481">
        <v>39</v>
      </c>
      <c r="E2481" t="s">
        <v>6</v>
      </c>
      <c r="F2481" t="s">
        <v>7</v>
      </c>
    </row>
    <row r="2482" spans="1:6" x14ac:dyDescent="0.3">
      <c r="A2482">
        <v>202151053</v>
      </c>
      <c r="B2482" s="1">
        <v>45113</v>
      </c>
      <c r="D2482">
        <v>39</v>
      </c>
      <c r="E2482" t="s">
        <v>6</v>
      </c>
      <c r="F2482" t="s">
        <v>7</v>
      </c>
    </row>
    <row r="2483" spans="1:6" x14ac:dyDescent="0.3">
      <c r="A2483">
        <v>112301350</v>
      </c>
      <c r="B2483" s="1">
        <v>45113</v>
      </c>
      <c r="D2483">
        <v>39</v>
      </c>
      <c r="E2483" t="s">
        <v>6</v>
      </c>
      <c r="F2483" t="s">
        <v>7</v>
      </c>
    </row>
    <row r="2484" spans="1:6" x14ac:dyDescent="0.3">
      <c r="A2484">
        <v>218300918</v>
      </c>
      <c r="B2484" s="1">
        <v>45113</v>
      </c>
      <c r="D2484">
        <v>39</v>
      </c>
      <c r="E2484" t="s">
        <v>6</v>
      </c>
      <c r="F2484" t="s">
        <v>7</v>
      </c>
    </row>
    <row r="2485" spans="1:6" x14ac:dyDescent="0.3">
      <c r="A2485">
        <v>205452800</v>
      </c>
      <c r="B2485" s="1">
        <v>45113</v>
      </c>
      <c r="D2485">
        <v>39</v>
      </c>
      <c r="E2485" t="s">
        <v>6</v>
      </c>
      <c r="F2485" t="s">
        <v>7</v>
      </c>
    </row>
    <row r="2486" spans="1:6" x14ac:dyDescent="0.3">
      <c r="A2486">
        <v>218278300</v>
      </c>
      <c r="B2486" s="1">
        <v>45113</v>
      </c>
      <c r="D2486">
        <v>39</v>
      </c>
      <c r="E2486" t="s">
        <v>6</v>
      </c>
      <c r="F2486" t="s">
        <v>7</v>
      </c>
    </row>
    <row r="2487" spans="1:6" x14ac:dyDescent="0.3">
      <c r="A2487">
        <v>216920844</v>
      </c>
      <c r="B2487" s="1">
        <v>45113</v>
      </c>
      <c r="D2487">
        <v>39</v>
      </c>
      <c r="E2487" t="s">
        <v>6</v>
      </c>
      <c r="F2487" t="s">
        <v>7</v>
      </c>
    </row>
    <row r="2488" spans="1:6" x14ac:dyDescent="0.3">
      <c r="A2488">
        <v>127100688</v>
      </c>
      <c r="B2488" s="1">
        <v>45113</v>
      </c>
      <c r="C2488" s="1">
        <v>45140</v>
      </c>
      <c r="D2488">
        <v>39</v>
      </c>
      <c r="E2488" t="s">
        <v>6</v>
      </c>
      <c r="F2488" t="s">
        <v>7</v>
      </c>
    </row>
    <row r="2489" spans="1:6" x14ac:dyDescent="0.3">
      <c r="A2489">
        <v>218345379</v>
      </c>
      <c r="B2489" s="1">
        <v>45113</v>
      </c>
      <c r="C2489" s="1">
        <v>45151</v>
      </c>
      <c r="D2489">
        <v>39</v>
      </c>
      <c r="E2489" t="s">
        <v>6</v>
      </c>
      <c r="F2489" t="s">
        <v>7</v>
      </c>
    </row>
    <row r="2490" spans="1:6" x14ac:dyDescent="0.3">
      <c r="A2490">
        <v>183507186</v>
      </c>
      <c r="B2490" s="1">
        <v>45113</v>
      </c>
      <c r="C2490" s="1">
        <v>45144</v>
      </c>
      <c r="D2490">
        <v>39</v>
      </c>
      <c r="E2490" t="s">
        <v>6</v>
      </c>
      <c r="F2490" t="s">
        <v>7</v>
      </c>
    </row>
    <row r="2491" spans="1:6" x14ac:dyDescent="0.3">
      <c r="A2491">
        <v>218133430</v>
      </c>
      <c r="B2491" s="1">
        <v>45114</v>
      </c>
      <c r="D2491">
        <v>39</v>
      </c>
      <c r="E2491" t="s">
        <v>6</v>
      </c>
      <c r="F2491" t="s">
        <v>7</v>
      </c>
    </row>
    <row r="2492" spans="1:6" x14ac:dyDescent="0.3">
      <c r="A2492">
        <v>147813476</v>
      </c>
      <c r="B2492" s="1">
        <v>45114</v>
      </c>
      <c r="D2492">
        <v>39</v>
      </c>
      <c r="E2492" t="s">
        <v>6</v>
      </c>
      <c r="F2492" t="s">
        <v>7</v>
      </c>
    </row>
    <row r="2493" spans="1:6" x14ac:dyDescent="0.3">
      <c r="A2493">
        <v>218375754</v>
      </c>
      <c r="B2493" s="1">
        <v>45114</v>
      </c>
      <c r="D2493">
        <v>39</v>
      </c>
      <c r="E2493" t="s">
        <v>6</v>
      </c>
      <c r="F2493" t="s">
        <v>7</v>
      </c>
    </row>
    <row r="2494" spans="1:6" x14ac:dyDescent="0.3">
      <c r="A2494">
        <v>216000482</v>
      </c>
      <c r="B2494" s="1">
        <v>45114</v>
      </c>
      <c r="D2494">
        <v>39</v>
      </c>
      <c r="E2494" t="s">
        <v>6</v>
      </c>
      <c r="F2494" t="s">
        <v>7</v>
      </c>
    </row>
    <row r="2495" spans="1:6" x14ac:dyDescent="0.3">
      <c r="A2495">
        <v>161549477</v>
      </c>
      <c r="B2495" s="1">
        <v>45114</v>
      </c>
      <c r="D2495">
        <v>39</v>
      </c>
      <c r="E2495" t="s">
        <v>6</v>
      </c>
      <c r="F2495" t="s">
        <v>7</v>
      </c>
    </row>
    <row r="2496" spans="1:6" x14ac:dyDescent="0.3">
      <c r="A2496">
        <v>133444654</v>
      </c>
      <c r="B2496" s="1">
        <v>45114</v>
      </c>
      <c r="C2496" s="1">
        <v>45117</v>
      </c>
      <c r="D2496">
        <v>39</v>
      </c>
      <c r="E2496" t="s">
        <v>6</v>
      </c>
      <c r="F2496" t="s">
        <v>7</v>
      </c>
    </row>
    <row r="2497" spans="1:6" x14ac:dyDescent="0.3">
      <c r="A2497">
        <v>217883594</v>
      </c>
      <c r="B2497" s="1">
        <v>45114</v>
      </c>
      <c r="C2497" s="1">
        <v>45134</v>
      </c>
      <c r="D2497">
        <v>39</v>
      </c>
      <c r="E2497" t="s">
        <v>6</v>
      </c>
      <c r="F2497" t="s">
        <v>7</v>
      </c>
    </row>
    <row r="2498" spans="1:6" x14ac:dyDescent="0.3">
      <c r="A2498">
        <v>197752733</v>
      </c>
      <c r="B2498" s="1">
        <v>45115</v>
      </c>
      <c r="D2498">
        <v>39</v>
      </c>
      <c r="E2498" t="s">
        <v>6</v>
      </c>
      <c r="F2498" t="s">
        <v>7</v>
      </c>
    </row>
    <row r="2499" spans="1:6" x14ac:dyDescent="0.3">
      <c r="A2499">
        <v>175884318</v>
      </c>
      <c r="B2499" s="1">
        <v>45115</v>
      </c>
      <c r="D2499">
        <v>39</v>
      </c>
      <c r="E2499" t="s">
        <v>6</v>
      </c>
      <c r="F2499" t="s">
        <v>7</v>
      </c>
    </row>
    <row r="2500" spans="1:6" x14ac:dyDescent="0.3">
      <c r="A2500">
        <v>218413958</v>
      </c>
      <c r="B2500" s="1">
        <v>45115</v>
      </c>
      <c r="D2500">
        <v>39</v>
      </c>
      <c r="E2500" t="s">
        <v>6</v>
      </c>
      <c r="F2500" t="s">
        <v>7</v>
      </c>
    </row>
    <row r="2501" spans="1:6" x14ac:dyDescent="0.3">
      <c r="A2501">
        <v>218434925</v>
      </c>
      <c r="B2501" s="1">
        <v>45115</v>
      </c>
      <c r="D2501">
        <v>39</v>
      </c>
      <c r="E2501" t="s">
        <v>6</v>
      </c>
      <c r="F2501" t="s">
        <v>7</v>
      </c>
    </row>
    <row r="2502" spans="1:6" x14ac:dyDescent="0.3">
      <c r="A2502">
        <v>156817946</v>
      </c>
      <c r="B2502" s="1">
        <v>45115</v>
      </c>
      <c r="D2502">
        <v>39</v>
      </c>
      <c r="E2502" t="s">
        <v>6</v>
      </c>
      <c r="F2502" t="s">
        <v>7</v>
      </c>
    </row>
    <row r="2503" spans="1:6" x14ac:dyDescent="0.3">
      <c r="A2503">
        <v>218427268</v>
      </c>
      <c r="B2503" s="1">
        <v>45115</v>
      </c>
      <c r="D2503">
        <v>39</v>
      </c>
      <c r="E2503" t="s">
        <v>6</v>
      </c>
      <c r="F2503" t="s">
        <v>7</v>
      </c>
    </row>
    <row r="2504" spans="1:6" x14ac:dyDescent="0.3">
      <c r="A2504">
        <v>208492287</v>
      </c>
      <c r="B2504" s="1">
        <v>45115</v>
      </c>
      <c r="D2504">
        <v>39</v>
      </c>
      <c r="E2504" t="s">
        <v>6</v>
      </c>
      <c r="F2504" t="s">
        <v>7</v>
      </c>
    </row>
    <row r="2505" spans="1:6" x14ac:dyDescent="0.3">
      <c r="A2505">
        <v>217499098</v>
      </c>
      <c r="B2505" s="1">
        <v>45115</v>
      </c>
      <c r="C2505" s="1">
        <v>45116</v>
      </c>
      <c r="D2505">
        <v>39</v>
      </c>
      <c r="E2505" t="s">
        <v>6</v>
      </c>
      <c r="F2505" t="s">
        <v>7</v>
      </c>
    </row>
    <row r="2506" spans="1:6" x14ac:dyDescent="0.3">
      <c r="A2506">
        <v>215723331</v>
      </c>
      <c r="B2506" s="1">
        <v>45115</v>
      </c>
      <c r="C2506" s="1">
        <v>45153</v>
      </c>
      <c r="D2506">
        <v>39</v>
      </c>
      <c r="E2506" t="s">
        <v>6</v>
      </c>
      <c r="F2506" t="s">
        <v>7</v>
      </c>
    </row>
    <row r="2507" spans="1:6" x14ac:dyDescent="0.3">
      <c r="A2507">
        <v>122616074</v>
      </c>
      <c r="B2507" s="1">
        <v>45116</v>
      </c>
      <c r="D2507">
        <v>39</v>
      </c>
      <c r="E2507" t="s">
        <v>6</v>
      </c>
      <c r="F2507" t="s">
        <v>7</v>
      </c>
    </row>
    <row r="2508" spans="1:6" x14ac:dyDescent="0.3">
      <c r="A2508">
        <v>218367490</v>
      </c>
      <c r="B2508" s="1">
        <v>45116</v>
      </c>
      <c r="D2508">
        <v>39</v>
      </c>
      <c r="E2508" t="s">
        <v>6</v>
      </c>
      <c r="F2508" t="s">
        <v>7</v>
      </c>
    </row>
    <row r="2509" spans="1:6" x14ac:dyDescent="0.3">
      <c r="A2509">
        <v>218415420</v>
      </c>
      <c r="B2509" s="1">
        <v>45116</v>
      </c>
      <c r="D2509">
        <v>39</v>
      </c>
      <c r="E2509" t="s">
        <v>6</v>
      </c>
      <c r="F2509" t="s">
        <v>7</v>
      </c>
    </row>
    <row r="2510" spans="1:6" x14ac:dyDescent="0.3">
      <c r="A2510">
        <v>135785962</v>
      </c>
      <c r="B2510" s="1">
        <v>45116</v>
      </c>
      <c r="D2510">
        <v>39</v>
      </c>
      <c r="E2510" t="s">
        <v>6</v>
      </c>
      <c r="F2510" t="s">
        <v>7</v>
      </c>
    </row>
    <row r="2511" spans="1:6" x14ac:dyDescent="0.3">
      <c r="A2511">
        <v>206121650</v>
      </c>
      <c r="B2511" s="1">
        <v>45116</v>
      </c>
      <c r="C2511" s="1">
        <v>45117</v>
      </c>
      <c r="D2511">
        <v>39</v>
      </c>
      <c r="E2511" t="s">
        <v>6</v>
      </c>
      <c r="F2511" t="s">
        <v>7</v>
      </c>
    </row>
    <row r="2512" spans="1:6" x14ac:dyDescent="0.3">
      <c r="A2512">
        <v>218129819</v>
      </c>
      <c r="B2512" s="1">
        <v>45116</v>
      </c>
      <c r="C2512" s="1">
        <v>45141</v>
      </c>
      <c r="D2512">
        <v>39</v>
      </c>
      <c r="E2512" t="s">
        <v>6</v>
      </c>
      <c r="F2512" t="s">
        <v>7</v>
      </c>
    </row>
    <row r="2513" spans="1:6" x14ac:dyDescent="0.3">
      <c r="A2513">
        <v>217766676</v>
      </c>
      <c r="B2513" s="1">
        <v>45116</v>
      </c>
      <c r="C2513" s="1">
        <v>45134</v>
      </c>
      <c r="D2513">
        <v>39</v>
      </c>
      <c r="E2513" t="s">
        <v>6</v>
      </c>
      <c r="F2513" t="s">
        <v>7</v>
      </c>
    </row>
    <row r="2514" spans="1:6" x14ac:dyDescent="0.3">
      <c r="A2514">
        <v>216886336</v>
      </c>
      <c r="B2514" s="1">
        <v>45117</v>
      </c>
      <c r="D2514">
        <v>39</v>
      </c>
      <c r="E2514" t="s">
        <v>6</v>
      </c>
      <c r="F2514" t="s">
        <v>7</v>
      </c>
    </row>
    <row r="2515" spans="1:6" x14ac:dyDescent="0.3">
      <c r="A2515">
        <v>217991032</v>
      </c>
      <c r="B2515" s="1">
        <v>45117</v>
      </c>
      <c r="D2515">
        <v>39</v>
      </c>
      <c r="E2515" t="s">
        <v>6</v>
      </c>
      <c r="F2515" t="s">
        <v>7</v>
      </c>
    </row>
    <row r="2516" spans="1:6" x14ac:dyDescent="0.3">
      <c r="A2516">
        <v>145797162</v>
      </c>
      <c r="B2516" s="1">
        <v>45117</v>
      </c>
      <c r="D2516">
        <v>39</v>
      </c>
      <c r="E2516" t="s">
        <v>6</v>
      </c>
      <c r="F2516" t="s">
        <v>7</v>
      </c>
    </row>
    <row r="2517" spans="1:6" x14ac:dyDescent="0.3">
      <c r="A2517">
        <v>217581606</v>
      </c>
      <c r="B2517" s="1">
        <v>45117</v>
      </c>
      <c r="D2517">
        <v>39</v>
      </c>
      <c r="E2517" t="s">
        <v>6</v>
      </c>
      <c r="F2517" t="s">
        <v>7</v>
      </c>
    </row>
    <row r="2518" spans="1:6" x14ac:dyDescent="0.3">
      <c r="A2518">
        <v>218459038</v>
      </c>
      <c r="B2518" s="1">
        <v>45117</v>
      </c>
      <c r="C2518" s="1">
        <v>45118</v>
      </c>
      <c r="D2518">
        <v>39</v>
      </c>
      <c r="E2518" t="s">
        <v>6</v>
      </c>
      <c r="F2518" t="s">
        <v>7</v>
      </c>
    </row>
    <row r="2519" spans="1:6" x14ac:dyDescent="0.3">
      <c r="A2519">
        <v>218526124</v>
      </c>
      <c r="B2519" s="1">
        <v>45117</v>
      </c>
      <c r="C2519" s="1">
        <v>45118</v>
      </c>
      <c r="D2519">
        <v>39</v>
      </c>
      <c r="E2519" t="s">
        <v>6</v>
      </c>
      <c r="F2519" t="s">
        <v>8</v>
      </c>
    </row>
    <row r="2520" spans="1:6" x14ac:dyDescent="0.3">
      <c r="A2520">
        <v>216335430</v>
      </c>
      <c r="B2520" s="1">
        <v>45117</v>
      </c>
      <c r="C2520" s="1">
        <v>45117</v>
      </c>
      <c r="D2520">
        <v>39</v>
      </c>
      <c r="E2520" t="s">
        <v>6</v>
      </c>
      <c r="F2520" t="s">
        <v>8</v>
      </c>
    </row>
    <row r="2521" spans="1:6" x14ac:dyDescent="0.3">
      <c r="A2521">
        <v>218519862</v>
      </c>
      <c r="B2521" s="1">
        <v>45117</v>
      </c>
      <c r="C2521" s="1">
        <v>45118</v>
      </c>
      <c r="D2521">
        <v>39</v>
      </c>
      <c r="E2521" t="s">
        <v>6</v>
      </c>
      <c r="F2521" t="s">
        <v>8</v>
      </c>
    </row>
    <row r="2522" spans="1:6" x14ac:dyDescent="0.3">
      <c r="A2522">
        <v>218496811</v>
      </c>
      <c r="B2522" s="1">
        <v>45117</v>
      </c>
      <c r="C2522" s="1">
        <v>45117</v>
      </c>
      <c r="D2522">
        <v>39</v>
      </c>
      <c r="E2522" t="s">
        <v>6</v>
      </c>
      <c r="F2522" t="s">
        <v>8</v>
      </c>
    </row>
    <row r="2523" spans="1:6" x14ac:dyDescent="0.3">
      <c r="A2523">
        <v>218490122</v>
      </c>
      <c r="B2523" s="1">
        <v>45117</v>
      </c>
      <c r="C2523" s="1">
        <v>45118</v>
      </c>
      <c r="D2523">
        <v>39</v>
      </c>
      <c r="E2523" t="s">
        <v>6</v>
      </c>
      <c r="F2523" t="s">
        <v>8</v>
      </c>
    </row>
    <row r="2524" spans="1:6" x14ac:dyDescent="0.3">
      <c r="A2524">
        <v>216337502</v>
      </c>
      <c r="B2524" s="1">
        <v>45117</v>
      </c>
      <c r="C2524" s="1">
        <v>45117</v>
      </c>
      <c r="D2524">
        <v>39</v>
      </c>
      <c r="E2524" t="s">
        <v>6</v>
      </c>
      <c r="F2524" t="s">
        <v>8</v>
      </c>
    </row>
    <row r="2525" spans="1:6" x14ac:dyDescent="0.3">
      <c r="A2525">
        <v>143111905</v>
      </c>
      <c r="B2525" s="1">
        <v>45117</v>
      </c>
      <c r="C2525" s="1">
        <v>45155</v>
      </c>
      <c r="D2525">
        <v>39</v>
      </c>
      <c r="E2525" t="s">
        <v>6</v>
      </c>
      <c r="F2525" t="s">
        <v>7</v>
      </c>
    </row>
    <row r="2526" spans="1:6" x14ac:dyDescent="0.3">
      <c r="A2526">
        <v>217709772</v>
      </c>
      <c r="B2526" s="1">
        <v>45117</v>
      </c>
      <c r="C2526" s="1">
        <v>45150</v>
      </c>
      <c r="D2526">
        <v>39</v>
      </c>
      <c r="E2526" t="s">
        <v>6</v>
      </c>
      <c r="F2526" t="s">
        <v>7</v>
      </c>
    </row>
    <row r="2527" spans="1:6" x14ac:dyDescent="0.3">
      <c r="A2527">
        <v>214924190</v>
      </c>
      <c r="B2527" s="1">
        <v>45117</v>
      </c>
      <c r="C2527" s="1">
        <v>45148</v>
      </c>
      <c r="D2527">
        <v>39</v>
      </c>
      <c r="E2527" t="s">
        <v>6</v>
      </c>
      <c r="F2527" t="s">
        <v>7</v>
      </c>
    </row>
    <row r="2528" spans="1:6" x14ac:dyDescent="0.3">
      <c r="A2528">
        <v>217914198</v>
      </c>
      <c r="B2528" s="1">
        <v>45117</v>
      </c>
      <c r="C2528" s="1">
        <v>45137</v>
      </c>
      <c r="D2528">
        <v>39</v>
      </c>
      <c r="E2528" t="s">
        <v>6</v>
      </c>
      <c r="F2528" t="s">
        <v>7</v>
      </c>
    </row>
    <row r="2529" spans="1:6" x14ac:dyDescent="0.3">
      <c r="A2529">
        <v>217773501</v>
      </c>
      <c r="B2529" s="1">
        <v>45117</v>
      </c>
      <c r="C2529" s="1">
        <v>45117</v>
      </c>
      <c r="D2529">
        <v>39</v>
      </c>
      <c r="E2529" t="s">
        <v>6</v>
      </c>
      <c r="F2529" t="s">
        <v>7</v>
      </c>
    </row>
    <row r="2530" spans="1:6" x14ac:dyDescent="0.3">
      <c r="A2530">
        <v>215311765</v>
      </c>
      <c r="B2530" s="1">
        <v>45118</v>
      </c>
      <c r="D2530">
        <v>39</v>
      </c>
      <c r="E2530" t="s">
        <v>6</v>
      </c>
      <c r="F2530" t="s">
        <v>7</v>
      </c>
    </row>
    <row r="2531" spans="1:6" x14ac:dyDescent="0.3">
      <c r="A2531">
        <v>218554220</v>
      </c>
      <c r="B2531" s="1">
        <v>45118</v>
      </c>
      <c r="D2531">
        <v>39</v>
      </c>
      <c r="E2531" t="s">
        <v>6</v>
      </c>
      <c r="F2531" t="s">
        <v>7</v>
      </c>
    </row>
    <row r="2532" spans="1:6" x14ac:dyDescent="0.3">
      <c r="A2532">
        <v>209743418</v>
      </c>
      <c r="B2532" s="1">
        <v>45118</v>
      </c>
      <c r="D2532">
        <v>39</v>
      </c>
      <c r="E2532" t="s">
        <v>6</v>
      </c>
      <c r="F2532" t="s">
        <v>7</v>
      </c>
    </row>
    <row r="2533" spans="1:6" x14ac:dyDescent="0.3">
      <c r="A2533">
        <v>218553244</v>
      </c>
      <c r="B2533" s="1">
        <v>45118</v>
      </c>
      <c r="D2533">
        <v>39</v>
      </c>
      <c r="E2533" t="s">
        <v>6</v>
      </c>
      <c r="F2533" t="s">
        <v>7</v>
      </c>
    </row>
    <row r="2534" spans="1:6" x14ac:dyDescent="0.3">
      <c r="A2534">
        <v>218548492</v>
      </c>
      <c r="B2534" s="1">
        <v>45118</v>
      </c>
      <c r="D2534">
        <v>39</v>
      </c>
      <c r="E2534" t="s">
        <v>6</v>
      </c>
      <c r="F2534" t="s">
        <v>7</v>
      </c>
    </row>
    <row r="2535" spans="1:6" x14ac:dyDescent="0.3">
      <c r="A2535">
        <v>217958138</v>
      </c>
      <c r="B2535" s="1">
        <v>45118</v>
      </c>
      <c r="D2535">
        <v>39</v>
      </c>
      <c r="E2535" t="s">
        <v>6</v>
      </c>
      <c r="F2535" t="s">
        <v>7</v>
      </c>
    </row>
    <row r="2536" spans="1:6" x14ac:dyDescent="0.3">
      <c r="A2536">
        <v>218365623</v>
      </c>
      <c r="B2536" s="1">
        <v>45118</v>
      </c>
      <c r="D2536">
        <v>39</v>
      </c>
      <c r="E2536" t="s">
        <v>6</v>
      </c>
      <c r="F2536" t="s">
        <v>7</v>
      </c>
    </row>
    <row r="2537" spans="1:6" x14ac:dyDescent="0.3">
      <c r="A2537">
        <v>218512642</v>
      </c>
      <c r="B2537" s="1">
        <v>45118</v>
      </c>
      <c r="D2537">
        <v>39</v>
      </c>
      <c r="E2537" t="s">
        <v>6</v>
      </c>
      <c r="F2537" t="s">
        <v>7</v>
      </c>
    </row>
    <row r="2538" spans="1:6" x14ac:dyDescent="0.3">
      <c r="A2538">
        <v>218569099</v>
      </c>
      <c r="B2538" s="1">
        <v>45118</v>
      </c>
      <c r="C2538" s="1">
        <v>45174</v>
      </c>
      <c r="D2538">
        <v>39</v>
      </c>
      <c r="E2538" t="s">
        <v>6</v>
      </c>
      <c r="F2538" t="s">
        <v>7</v>
      </c>
    </row>
    <row r="2539" spans="1:6" x14ac:dyDescent="0.3">
      <c r="A2539">
        <v>218304590</v>
      </c>
      <c r="B2539" s="1">
        <v>45118</v>
      </c>
      <c r="C2539" s="1">
        <v>45168</v>
      </c>
      <c r="D2539">
        <v>39</v>
      </c>
      <c r="E2539" t="s">
        <v>6</v>
      </c>
      <c r="F2539" t="s">
        <v>7</v>
      </c>
    </row>
    <row r="2540" spans="1:6" x14ac:dyDescent="0.3">
      <c r="A2540">
        <v>215390636</v>
      </c>
      <c r="B2540" s="1">
        <v>45118</v>
      </c>
      <c r="C2540" s="1">
        <v>45176</v>
      </c>
      <c r="D2540">
        <v>39</v>
      </c>
      <c r="E2540" t="s">
        <v>6</v>
      </c>
      <c r="F2540" t="s">
        <v>7</v>
      </c>
    </row>
    <row r="2541" spans="1:6" x14ac:dyDescent="0.3">
      <c r="A2541">
        <v>218538760</v>
      </c>
      <c r="B2541" s="1">
        <v>45118</v>
      </c>
      <c r="C2541" s="1">
        <v>45156</v>
      </c>
      <c r="D2541">
        <v>39</v>
      </c>
      <c r="E2541" t="s">
        <v>6</v>
      </c>
      <c r="F2541" t="s">
        <v>7</v>
      </c>
    </row>
    <row r="2542" spans="1:6" x14ac:dyDescent="0.3">
      <c r="A2542">
        <v>218544489</v>
      </c>
      <c r="B2542" s="1">
        <v>45118</v>
      </c>
      <c r="C2542" s="1">
        <v>45149</v>
      </c>
      <c r="D2542">
        <v>39</v>
      </c>
      <c r="E2542" t="s">
        <v>6</v>
      </c>
      <c r="F2542" t="s">
        <v>7</v>
      </c>
    </row>
    <row r="2543" spans="1:6" x14ac:dyDescent="0.3">
      <c r="A2543">
        <v>180161087</v>
      </c>
      <c r="B2543" s="1">
        <v>45118</v>
      </c>
      <c r="C2543" s="1">
        <v>45148</v>
      </c>
      <c r="D2543">
        <v>39</v>
      </c>
      <c r="E2543" t="s">
        <v>6</v>
      </c>
      <c r="F2543" t="s">
        <v>7</v>
      </c>
    </row>
    <row r="2544" spans="1:6" x14ac:dyDescent="0.3">
      <c r="A2544">
        <v>218484551</v>
      </c>
      <c r="B2544" s="1">
        <v>45118</v>
      </c>
      <c r="C2544" s="1">
        <v>45156</v>
      </c>
      <c r="D2544">
        <v>39</v>
      </c>
      <c r="E2544" t="s">
        <v>6</v>
      </c>
      <c r="F2544" t="s">
        <v>7</v>
      </c>
    </row>
    <row r="2545" spans="1:6" x14ac:dyDescent="0.3">
      <c r="A2545">
        <v>218570737</v>
      </c>
      <c r="B2545" s="1">
        <v>45118</v>
      </c>
      <c r="C2545" s="1">
        <v>45119</v>
      </c>
      <c r="D2545">
        <v>39</v>
      </c>
      <c r="E2545" t="s">
        <v>6</v>
      </c>
      <c r="F2545" t="s">
        <v>7</v>
      </c>
    </row>
    <row r="2546" spans="1:6" x14ac:dyDescent="0.3">
      <c r="A2546">
        <v>218526607</v>
      </c>
      <c r="B2546" s="1">
        <v>45119</v>
      </c>
      <c r="D2546">
        <v>39</v>
      </c>
      <c r="E2546" t="s">
        <v>6</v>
      </c>
      <c r="F2546" t="s">
        <v>7</v>
      </c>
    </row>
    <row r="2547" spans="1:6" x14ac:dyDescent="0.3">
      <c r="A2547">
        <v>211011508</v>
      </c>
      <c r="B2547" s="1">
        <v>45119</v>
      </c>
      <c r="D2547">
        <v>39</v>
      </c>
      <c r="E2547" t="s">
        <v>6</v>
      </c>
      <c r="F2547" t="s">
        <v>7</v>
      </c>
    </row>
    <row r="2548" spans="1:6" x14ac:dyDescent="0.3">
      <c r="A2548">
        <v>218610100</v>
      </c>
      <c r="B2548" s="1">
        <v>45119</v>
      </c>
      <c r="D2548">
        <v>39</v>
      </c>
      <c r="E2548" t="s">
        <v>6</v>
      </c>
      <c r="F2548" t="s">
        <v>7</v>
      </c>
    </row>
    <row r="2549" spans="1:6" x14ac:dyDescent="0.3">
      <c r="A2549">
        <v>206055148</v>
      </c>
      <c r="B2549" s="1">
        <v>45119</v>
      </c>
      <c r="D2549">
        <v>39</v>
      </c>
      <c r="E2549" t="s">
        <v>6</v>
      </c>
      <c r="F2549" t="s">
        <v>7</v>
      </c>
    </row>
    <row r="2550" spans="1:6" x14ac:dyDescent="0.3">
      <c r="A2550">
        <v>150509877</v>
      </c>
      <c r="B2550" s="1">
        <v>45119</v>
      </c>
      <c r="D2550">
        <v>39</v>
      </c>
      <c r="E2550" t="s">
        <v>6</v>
      </c>
      <c r="F2550" t="s">
        <v>7</v>
      </c>
    </row>
    <row r="2551" spans="1:6" x14ac:dyDescent="0.3">
      <c r="A2551">
        <v>218498112</v>
      </c>
      <c r="B2551" s="1">
        <v>45119</v>
      </c>
      <c r="D2551">
        <v>39</v>
      </c>
      <c r="E2551" t="s">
        <v>6</v>
      </c>
      <c r="F2551" t="s">
        <v>7</v>
      </c>
    </row>
    <row r="2552" spans="1:6" x14ac:dyDescent="0.3">
      <c r="A2552">
        <v>218624538</v>
      </c>
      <c r="B2552" s="1">
        <v>45119</v>
      </c>
      <c r="C2552" s="1">
        <v>45160</v>
      </c>
      <c r="D2552">
        <v>39</v>
      </c>
      <c r="E2552" t="s">
        <v>6</v>
      </c>
      <c r="F2552" t="s">
        <v>7</v>
      </c>
    </row>
    <row r="2553" spans="1:6" x14ac:dyDescent="0.3">
      <c r="A2553">
        <v>218467300</v>
      </c>
      <c r="B2553" s="1">
        <v>45119</v>
      </c>
      <c r="C2553" s="1">
        <v>45151</v>
      </c>
      <c r="D2553">
        <v>39</v>
      </c>
      <c r="E2553" t="s">
        <v>6</v>
      </c>
      <c r="F2553" t="s">
        <v>7</v>
      </c>
    </row>
    <row r="2554" spans="1:6" x14ac:dyDescent="0.3">
      <c r="A2554">
        <v>218509554</v>
      </c>
      <c r="B2554" s="1">
        <v>45119</v>
      </c>
      <c r="C2554" s="1">
        <v>45129</v>
      </c>
      <c r="D2554">
        <v>39</v>
      </c>
      <c r="E2554" t="s">
        <v>6</v>
      </c>
      <c r="F2554" t="s">
        <v>7</v>
      </c>
    </row>
    <row r="2555" spans="1:6" x14ac:dyDescent="0.3">
      <c r="A2555">
        <v>218257588</v>
      </c>
      <c r="B2555" s="1">
        <v>45120</v>
      </c>
      <c r="D2555">
        <v>39</v>
      </c>
      <c r="E2555" t="s">
        <v>6</v>
      </c>
      <c r="F2555" t="s">
        <v>7</v>
      </c>
    </row>
    <row r="2556" spans="1:6" x14ac:dyDescent="0.3">
      <c r="A2556">
        <v>218114325</v>
      </c>
      <c r="B2556" s="1">
        <v>45120</v>
      </c>
      <c r="D2556">
        <v>39</v>
      </c>
      <c r="E2556" t="s">
        <v>6</v>
      </c>
      <c r="F2556" t="s">
        <v>7</v>
      </c>
    </row>
    <row r="2557" spans="1:6" x14ac:dyDescent="0.3">
      <c r="A2557">
        <v>218325441</v>
      </c>
      <c r="B2557" s="1">
        <v>45120</v>
      </c>
      <c r="D2557">
        <v>39</v>
      </c>
      <c r="E2557" t="s">
        <v>6</v>
      </c>
      <c r="F2557" t="s">
        <v>7</v>
      </c>
    </row>
    <row r="2558" spans="1:6" x14ac:dyDescent="0.3">
      <c r="A2558">
        <v>218235047</v>
      </c>
      <c r="B2558" s="1">
        <v>45120</v>
      </c>
      <c r="D2558">
        <v>39</v>
      </c>
      <c r="E2558" t="s">
        <v>6</v>
      </c>
      <c r="F2558" t="s">
        <v>7</v>
      </c>
    </row>
    <row r="2559" spans="1:6" x14ac:dyDescent="0.3">
      <c r="A2559">
        <v>218598866</v>
      </c>
      <c r="B2559" s="1">
        <v>45120</v>
      </c>
      <c r="D2559">
        <v>39</v>
      </c>
      <c r="E2559" t="s">
        <v>6</v>
      </c>
      <c r="F2559" t="s">
        <v>7</v>
      </c>
    </row>
    <row r="2560" spans="1:6" x14ac:dyDescent="0.3">
      <c r="A2560">
        <v>218644881</v>
      </c>
      <c r="B2560" s="1">
        <v>45120</v>
      </c>
      <c r="C2560" s="1">
        <v>45154</v>
      </c>
      <c r="D2560">
        <v>39</v>
      </c>
      <c r="E2560" t="s">
        <v>6</v>
      </c>
      <c r="F2560" t="s">
        <v>7</v>
      </c>
    </row>
    <row r="2561" spans="1:6" x14ac:dyDescent="0.3">
      <c r="A2561">
        <v>218509727</v>
      </c>
      <c r="B2561" s="1">
        <v>45120</v>
      </c>
      <c r="C2561" s="1">
        <v>45147</v>
      </c>
      <c r="D2561">
        <v>39</v>
      </c>
      <c r="E2561" t="s">
        <v>6</v>
      </c>
      <c r="F2561" t="s">
        <v>7</v>
      </c>
    </row>
    <row r="2562" spans="1:6" x14ac:dyDescent="0.3">
      <c r="A2562">
        <v>150623785</v>
      </c>
      <c r="B2562" s="1">
        <v>45120</v>
      </c>
      <c r="C2562" s="1">
        <v>45152</v>
      </c>
      <c r="D2562">
        <v>39</v>
      </c>
      <c r="E2562" t="s">
        <v>6</v>
      </c>
      <c r="F2562" t="s">
        <v>7</v>
      </c>
    </row>
    <row r="2563" spans="1:6" x14ac:dyDescent="0.3">
      <c r="A2563">
        <v>218586552</v>
      </c>
      <c r="B2563" s="1">
        <v>45120</v>
      </c>
      <c r="C2563" s="1">
        <v>45152</v>
      </c>
      <c r="D2563">
        <v>39</v>
      </c>
      <c r="E2563" t="s">
        <v>6</v>
      </c>
      <c r="F2563" t="s">
        <v>7</v>
      </c>
    </row>
    <row r="2564" spans="1:6" x14ac:dyDescent="0.3">
      <c r="A2564">
        <v>218514844</v>
      </c>
      <c r="B2564" s="1">
        <v>45120</v>
      </c>
      <c r="C2564" s="1">
        <v>45124</v>
      </c>
      <c r="D2564">
        <v>39</v>
      </c>
      <c r="E2564" t="s">
        <v>6</v>
      </c>
      <c r="F2564" t="s">
        <v>7</v>
      </c>
    </row>
    <row r="2565" spans="1:6" x14ac:dyDescent="0.3">
      <c r="A2565">
        <v>218694806</v>
      </c>
      <c r="B2565" s="1">
        <v>45121</v>
      </c>
      <c r="D2565">
        <v>39</v>
      </c>
      <c r="E2565" t="s">
        <v>6</v>
      </c>
      <c r="F2565" t="s">
        <v>7</v>
      </c>
    </row>
    <row r="2566" spans="1:6" x14ac:dyDescent="0.3">
      <c r="A2566">
        <v>218678174</v>
      </c>
      <c r="B2566" s="1">
        <v>45121</v>
      </c>
      <c r="D2566">
        <v>39</v>
      </c>
      <c r="E2566" t="s">
        <v>6</v>
      </c>
      <c r="F2566" t="s">
        <v>7</v>
      </c>
    </row>
    <row r="2567" spans="1:6" x14ac:dyDescent="0.3">
      <c r="A2567">
        <v>218695487</v>
      </c>
      <c r="B2567" s="1">
        <v>45121</v>
      </c>
      <c r="C2567" s="1">
        <v>45177</v>
      </c>
      <c r="D2567">
        <v>39</v>
      </c>
      <c r="E2567" t="s">
        <v>6</v>
      </c>
      <c r="F2567" t="s">
        <v>7</v>
      </c>
    </row>
    <row r="2568" spans="1:6" x14ac:dyDescent="0.3">
      <c r="A2568">
        <v>218678790</v>
      </c>
      <c r="B2568" s="1">
        <v>45121</v>
      </c>
      <c r="C2568" s="1">
        <v>45159</v>
      </c>
      <c r="D2568">
        <v>39</v>
      </c>
      <c r="E2568" t="s">
        <v>6</v>
      </c>
      <c r="F2568" t="s">
        <v>7</v>
      </c>
    </row>
    <row r="2569" spans="1:6" x14ac:dyDescent="0.3">
      <c r="A2569">
        <v>217499098</v>
      </c>
      <c r="B2569" s="1">
        <v>45121</v>
      </c>
      <c r="C2569" s="1">
        <v>45159</v>
      </c>
      <c r="D2569">
        <v>39</v>
      </c>
      <c r="E2569" t="s">
        <v>6</v>
      </c>
      <c r="F2569" t="s">
        <v>7</v>
      </c>
    </row>
    <row r="2570" spans="1:6" x14ac:dyDescent="0.3">
      <c r="A2570">
        <v>217976753</v>
      </c>
      <c r="B2570" s="1">
        <v>45121</v>
      </c>
      <c r="C2570" s="1">
        <v>45159</v>
      </c>
      <c r="D2570">
        <v>39</v>
      </c>
      <c r="E2570" t="s">
        <v>6</v>
      </c>
      <c r="F2570" t="s">
        <v>7</v>
      </c>
    </row>
    <row r="2571" spans="1:6" x14ac:dyDescent="0.3">
      <c r="A2571">
        <v>199359226</v>
      </c>
      <c r="B2571" s="1">
        <v>45121</v>
      </c>
      <c r="C2571" s="1">
        <v>45122</v>
      </c>
      <c r="D2571">
        <v>39</v>
      </c>
      <c r="E2571" t="s">
        <v>6</v>
      </c>
      <c r="F2571" t="s">
        <v>7</v>
      </c>
    </row>
    <row r="2572" spans="1:6" x14ac:dyDescent="0.3">
      <c r="A2572">
        <v>121814098</v>
      </c>
      <c r="B2572" s="1">
        <v>45122</v>
      </c>
      <c r="D2572">
        <v>39</v>
      </c>
      <c r="E2572" t="s">
        <v>6</v>
      </c>
      <c r="F2572" t="s">
        <v>7</v>
      </c>
    </row>
    <row r="2573" spans="1:6" x14ac:dyDescent="0.3">
      <c r="A2573">
        <v>215605718</v>
      </c>
      <c r="B2573" s="1">
        <v>45122</v>
      </c>
      <c r="D2573">
        <v>39</v>
      </c>
      <c r="E2573" t="s">
        <v>6</v>
      </c>
      <c r="F2573" t="s">
        <v>7</v>
      </c>
    </row>
    <row r="2574" spans="1:6" x14ac:dyDescent="0.3">
      <c r="A2574">
        <v>218325705</v>
      </c>
      <c r="B2574" s="1">
        <v>45122</v>
      </c>
      <c r="D2574">
        <v>39</v>
      </c>
      <c r="E2574" t="s">
        <v>6</v>
      </c>
      <c r="F2574" t="s">
        <v>7</v>
      </c>
    </row>
    <row r="2575" spans="1:6" x14ac:dyDescent="0.3">
      <c r="A2575">
        <v>208598253</v>
      </c>
      <c r="B2575" s="1">
        <v>45122</v>
      </c>
      <c r="D2575">
        <v>39</v>
      </c>
      <c r="E2575" t="s">
        <v>6</v>
      </c>
      <c r="F2575" t="s">
        <v>7</v>
      </c>
    </row>
    <row r="2576" spans="1:6" x14ac:dyDescent="0.3">
      <c r="A2576">
        <v>218655628</v>
      </c>
      <c r="B2576" s="1">
        <v>45122</v>
      </c>
      <c r="D2576">
        <v>39</v>
      </c>
      <c r="E2576" t="s">
        <v>6</v>
      </c>
      <c r="F2576" t="s">
        <v>7</v>
      </c>
    </row>
    <row r="2577" spans="1:6" x14ac:dyDescent="0.3">
      <c r="A2577">
        <v>185602413</v>
      </c>
      <c r="B2577" s="1">
        <v>45122</v>
      </c>
      <c r="C2577" s="1">
        <v>45123</v>
      </c>
      <c r="D2577">
        <v>39</v>
      </c>
      <c r="E2577" t="s">
        <v>6</v>
      </c>
      <c r="F2577" t="s">
        <v>7</v>
      </c>
    </row>
    <row r="2578" spans="1:6" x14ac:dyDescent="0.3">
      <c r="A2578">
        <v>154082747</v>
      </c>
      <c r="B2578" s="1">
        <v>45122</v>
      </c>
      <c r="C2578" s="1">
        <v>45130</v>
      </c>
      <c r="D2578">
        <v>39</v>
      </c>
      <c r="E2578" t="s">
        <v>6</v>
      </c>
      <c r="F2578" t="s">
        <v>7</v>
      </c>
    </row>
    <row r="2579" spans="1:6" x14ac:dyDescent="0.3">
      <c r="A2579">
        <v>218017402</v>
      </c>
      <c r="B2579" s="1">
        <v>45122</v>
      </c>
      <c r="C2579" s="1">
        <v>45160</v>
      </c>
      <c r="D2579">
        <v>39</v>
      </c>
      <c r="E2579" t="s">
        <v>6</v>
      </c>
      <c r="F2579" t="s">
        <v>7</v>
      </c>
    </row>
    <row r="2580" spans="1:6" x14ac:dyDescent="0.3">
      <c r="A2580">
        <v>218792880</v>
      </c>
      <c r="B2580" s="1">
        <v>45123</v>
      </c>
      <c r="D2580">
        <v>39</v>
      </c>
      <c r="E2580" t="s">
        <v>6</v>
      </c>
      <c r="F2580" t="s">
        <v>7</v>
      </c>
    </row>
    <row r="2581" spans="1:6" x14ac:dyDescent="0.3">
      <c r="A2581">
        <v>218761808</v>
      </c>
      <c r="B2581" s="1">
        <v>45123</v>
      </c>
      <c r="D2581">
        <v>39</v>
      </c>
      <c r="E2581" t="s">
        <v>6</v>
      </c>
      <c r="F2581" t="s">
        <v>7</v>
      </c>
    </row>
    <row r="2582" spans="1:6" x14ac:dyDescent="0.3">
      <c r="A2582">
        <v>149303812</v>
      </c>
      <c r="B2582" s="1">
        <v>45123</v>
      </c>
      <c r="D2582">
        <v>39</v>
      </c>
      <c r="E2582" t="s">
        <v>6</v>
      </c>
      <c r="F2582" t="s">
        <v>7</v>
      </c>
    </row>
    <row r="2583" spans="1:6" x14ac:dyDescent="0.3">
      <c r="A2583">
        <v>216144261</v>
      </c>
      <c r="B2583" s="1">
        <v>45123</v>
      </c>
      <c r="D2583">
        <v>39</v>
      </c>
      <c r="E2583" t="s">
        <v>6</v>
      </c>
      <c r="F2583" t="s">
        <v>7</v>
      </c>
    </row>
    <row r="2584" spans="1:6" x14ac:dyDescent="0.3">
      <c r="A2584">
        <v>215976742</v>
      </c>
      <c r="B2584" s="1">
        <v>45123</v>
      </c>
      <c r="D2584">
        <v>39</v>
      </c>
      <c r="E2584" t="s">
        <v>6</v>
      </c>
      <c r="F2584" t="s">
        <v>7</v>
      </c>
    </row>
    <row r="2585" spans="1:6" x14ac:dyDescent="0.3">
      <c r="A2585">
        <v>218617631</v>
      </c>
      <c r="B2585" s="1">
        <v>45123</v>
      </c>
      <c r="C2585" s="1">
        <v>45161</v>
      </c>
      <c r="D2585">
        <v>39</v>
      </c>
      <c r="E2585" t="s">
        <v>6</v>
      </c>
      <c r="F2585" t="s">
        <v>7</v>
      </c>
    </row>
    <row r="2586" spans="1:6" x14ac:dyDescent="0.3">
      <c r="A2586">
        <v>218770458</v>
      </c>
      <c r="B2586" s="1">
        <v>45123</v>
      </c>
      <c r="C2586" s="1">
        <v>45141</v>
      </c>
      <c r="D2586">
        <v>39</v>
      </c>
      <c r="E2586" t="s">
        <v>6</v>
      </c>
      <c r="F2586" t="s">
        <v>7</v>
      </c>
    </row>
    <row r="2587" spans="1:6" x14ac:dyDescent="0.3">
      <c r="A2587">
        <v>218720472</v>
      </c>
      <c r="B2587" s="1">
        <v>45123</v>
      </c>
      <c r="C2587" s="1">
        <v>45157</v>
      </c>
      <c r="D2587">
        <v>39</v>
      </c>
      <c r="E2587" t="s">
        <v>6</v>
      </c>
      <c r="F2587" t="s">
        <v>7</v>
      </c>
    </row>
    <row r="2588" spans="1:6" x14ac:dyDescent="0.3">
      <c r="A2588">
        <v>218846909</v>
      </c>
      <c r="B2588" s="1">
        <v>45124</v>
      </c>
      <c r="D2588">
        <v>39</v>
      </c>
      <c r="E2588" t="s">
        <v>6</v>
      </c>
      <c r="F2588" t="s">
        <v>7</v>
      </c>
    </row>
    <row r="2589" spans="1:6" x14ac:dyDescent="0.3">
      <c r="A2589">
        <v>214714278</v>
      </c>
      <c r="B2589" s="1">
        <v>45124</v>
      </c>
      <c r="D2589">
        <v>39</v>
      </c>
      <c r="E2589" t="s">
        <v>6</v>
      </c>
      <c r="F2589" t="s">
        <v>7</v>
      </c>
    </row>
    <row r="2590" spans="1:6" x14ac:dyDescent="0.3">
      <c r="A2590">
        <v>218529158</v>
      </c>
      <c r="B2590" s="1">
        <v>45124</v>
      </c>
      <c r="D2590">
        <v>39</v>
      </c>
      <c r="E2590" t="s">
        <v>6</v>
      </c>
      <c r="F2590" t="s">
        <v>7</v>
      </c>
    </row>
    <row r="2591" spans="1:6" x14ac:dyDescent="0.3">
      <c r="A2591">
        <v>218837719</v>
      </c>
      <c r="B2591" s="1">
        <v>45124</v>
      </c>
      <c r="D2591">
        <v>39</v>
      </c>
      <c r="E2591" t="s">
        <v>6</v>
      </c>
      <c r="F2591" t="s">
        <v>7</v>
      </c>
    </row>
    <row r="2592" spans="1:6" x14ac:dyDescent="0.3">
      <c r="A2592">
        <v>194367477</v>
      </c>
      <c r="B2592" s="1">
        <v>45124</v>
      </c>
      <c r="D2592">
        <v>39</v>
      </c>
      <c r="E2592" t="s">
        <v>6</v>
      </c>
      <c r="F2592" t="s">
        <v>7</v>
      </c>
    </row>
    <row r="2593" spans="1:6" x14ac:dyDescent="0.3">
      <c r="A2593">
        <v>218300066</v>
      </c>
      <c r="B2593" s="1">
        <v>45124</v>
      </c>
      <c r="D2593">
        <v>39</v>
      </c>
      <c r="E2593" t="s">
        <v>6</v>
      </c>
      <c r="F2593" t="s">
        <v>7</v>
      </c>
    </row>
    <row r="2594" spans="1:6" x14ac:dyDescent="0.3">
      <c r="A2594">
        <v>218553583</v>
      </c>
      <c r="B2594" s="1">
        <v>45124</v>
      </c>
      <c r="D2594">
        <v>39</v>
      </c>
      <c r="E2594" t="s">
        <v>6</v>
      </c>
      <c r="F2594" t="s">
        <v>7</v>
      </c>
    </row>
    <row r="2595" spans="1:6" x14ac:dyDescent="0.3">
      <c r="A2595">
        <v>149657162</v>
      </c>
      <c r="B2595" s="1">
        <v>45124</v>
      </c>
      <c r="C2595" s="1">
        <v>45125</v>
      </c>
      <c r="D2595">
        <v>39</v>
      </c>
      <c r="E2595" t="s">
        <v>6</v>
      </c>
      <c r="F2595" t="s">
        <v>7</v>
      </c>
    </row>
    <row r="2596" spans="1:6" x14ac:dyDescent="0.3">
      <c r="A2596">
        <v>125920876</v>
      </c>
      <c r="B2596" s="1">
        <v>45124</v>
      </c>
      <c r="C2596" s="1">
        <v>45162</v>
      </c>
      <c r="D2596">
        <v>39</v>
      </c>
      <c r="E2596" t="s">
        <v>6</v>
      </c>
      <c r="F2596" t="s">
        <v>7</v>
      </c>
    </row>
    <row r="2597" spans="1:6" x14ac:dyDescent="0.3">
      <c r="A2597">
        <v>217403566</v>
      </c>
      <c r="B2597" s="1">
        <v>45124</v>
      </c>
      <c r="C2597" s="1">
        <v>45152</v>
      </c>
      <c r="D2597">
        <v>39</v>
      </c>
      <c r="E2597" t="s">
        <v>6</v>
      </c>
      <c r="F2597" t="s">
        <v>7</v>
      </c>
    </row>
    <row r="2598" spans="1:6" x14ac:dyDescent="0.3">
      <c r="A2598">
        <v>218677370</v>
      </c>
      <c r="B2598" s="1">
        <v>45124</v>
      </c>
      <c r="C2598" s="1">
        <v>45153</v>
      </c>
      <c r="D2598">
        <v>39</v>
      </c>
      <c r="E2598" t="s">
        <v>6</v>
      </c>
      <c r="F2598" t="s">
        <v>7</v>
      </c>
    </row>
    <row r="2599" spans="1:6" x14ac:dyDescent="0.3">
      <c r="A2599">
        <v>218598875</v>
      </c>
      <c r="B2599" s="1">
        <v>45124</v>
      </c>
      <c r="C2599" s="1">
        <v>45162</v>
      </c>
      <c r="D2599">
        <v>39</v>
      </c>
      <c r="E2599" t="s">
        <v>6</v>
      </c>
      <c r="F2599" t="s">
        <v>7</v>
      </c>
    </row>
    <row r="2600" spans="1:6" x14ac:dyDescent="0.3">
      <c r="A2600">
        <v>203116529</v>
      </c>
      <c r="B2600" s="1">
        <v>45124</v>
      </c>
      <c r="C2600" s="1">
        <v>45124</v>
      </c>
      <c r="D2600">
        <v>39</v>
      </c>
      <c r="E2600" t="s">
        <v>6</v>
      </c>
      <c r="F2600" t="s">
        <v>7</v>
      </c>
    </row>
    <row r="2601" spans="1:6" x14ac:dyDescent="0.3">
      <c r="A2601">
        <v>218808831</v>
      </c>
      <c r="B2601" s="1">
        <v>45124</v>
      </c>
      <c r="C2601" s="1">
        <v>45170</v>
      </c>
      <c r="D2601">
        <v>39</v>
      </c>
      <c r="E2601" t="s">
        <v>6</v>
      </c>
      <c r="F2601" t="s">
        <v>7</v>
      </c>
    </row>
    <row r="2602" spans="1:6" x14ac:dyDescent="0.3">
      <c r="A2602">
        <v>218844240</v>
      </c>
      <c r="B2602" s="1">
        <v>45125</v>
      </c>
      <c r="D2602">
        <v>39</v>
      </c>
      <c r="E2602" t="s">
        <v>6</v>
      </c>
      <c r="F2602" t="s">
        <v>7</v>
      </c>
    </row>
    <row r="2603" spans="1:6" x14ac:dyDescent="0.3">
      <c r="A2603">
        <v>218863419</v>
      </c>
      <c r="B2603" s="1">
        <v>45125</v>
      </c>
      <c r="D2603">
        <v>39</v>
      </c>
      <c r="E2603" t="s">
        <v>6</v>
      </c>
      <c r="F2603" t="s">
        <v>7</v>
      </c>
    </row>
    <row r="2604" spans="1:6" x14ac:dyDescent="0.3">
      <c r="A2604">
        <v>218445704</v>
      </c>
      <c r="B2604" s="1">
        <v>45125</v>
      </c>
      <c r="D2604">
        <v>39</v>
      </c>
      <c r="E2604" t="s">
        <v>6</v>
      </c>
      <c r="F2604" t="s">
        <v>7</v>
      </c>
    </row>
    <row r="2605" spans="1:6" x14ac:dyDescent="0.3">
      <c r="A2605">
        <v>149411976</v>
      </c>
      <c r="B2605" s="1">
        <v>45125</v>
      </c>
      <c r="D2605">
        <v>39</v>
      </c>
      <c r="E2605" t="s">
        <v>6</v>
      </c>
      <c r="F2605" t="s">
        <v>7</v>
      </c>
    </row>
    <row r="2606" spans="1:6" x14ac:dyDescent="0.3">
      <c r="A2606">
        <v>218862674</v>
      </c>
      <c r="B2606" s="1">
        <v>45125</v>
      </c>
      <c r="D2606">
        <v>39</v>
      </c>
      <c r="E2606" t="s">
        <v>6</v>
      </c>
      <c r="F2606" t="s">
        <v>7</v>
      </c>
    </row>
    <row r="2607" spans="1:6" x14ac:dyDescent="0.3">
      <c r="A2607">
        <v>218851122</v>
      </c>
      <c r="B2607" s="1">
        <v>45125</v>
      </c>
      <c r="D2607">
        <v>39</v>
      </c>
      <c r="E2607" t="s">
        <v>6</v>
      </c>
      <c r="F2607" t="s">
        <v>7</v>
      </c>
    </row>
    <row r="2608" spans="1:6" x14ac:dyDescent="0.3">
      <c r="A2608">
        <v>153402484</v>
      </c>
      <c r="B2608" s="1">
        <v>45125</v>
      </c>
      <c r="C2608" s="1">
        <v>45170</v>
      </c>
      <c r="D2608">
        <v>39</v>
      </c>
      <c r="E2608" t="s">
        <v>6</v>
      </c>
      <c r="F2608" t="s">
        <v>7</v>
      </c>
    </row>
    <row r="2609" spans="1:6" x14ac:dyDescent="0.3">
      <c r="A2609">
        <v>218848831</v>
      </c>
      <c r="B2609" s="1">
        <v>45125</v>
      </c>
      <c r="C2609" s="1">
        <v>45164</v>
      </c>
      <c r="D2609">
        <v>39</v>
      </c>
      <c r="E2609" t="s">
        <v>6</v>
      </c>
      <c r="F2609" t="s">
        <v>7</v>
      </c>
    </row>
    <row r="2610" spans="1:6" x14ac:dyDescent="0.3">
      <c r="A2610">
        <v>159639128</v>
      </c>
      <c r="B2610" s="1">
        <v>45125</v>
      </c>
      <c r="C2610" s="1">
        <v>45125</v>
      </c>
      <c r="D2610">
        <v>39</v>
      </c>
      <c r="E2610" t="s">
        <v>6</v>
      </c>
      <c r="F2610" t="s">
        <v>7</v>
      </c>
    </row>
    <row r="2611" spans="1:6" x14ac:dyDescent="0.3">
      <c r="A2611">
        <v>214638700</v>
      </c>
      <c r="B2611" s="1">
        <v>45125</v>
      </c>
      <c r="C2611" s="1">
        <v>45126</v>
      </c>
      <c r="D2611">
        <v>39</v>
      </c>
      <c r="E2611" t="s">
        <v>6</v>
      </c>
      <c r="F2611" t="s">
        <v>8</v>
      </c>
    </row>
    <row r="2612" spans="1:6" x14ac:dyDescent="0.3">
      <c r="A2612">
        <v>218850789</v>
      </c>
      <c r="B2612" s="1">
        <v>45125</v>
      </c>
      <c r="C2612" s="1">
        <v>45156</v>
      </c>
      <c r="D2612">
        <v>39</v>
      </c>
      <c r="E2612" t="s">
        <v>6</v>
      </c>
      <c r="F2612" t="s">
        <v>7</v>
      </c>
    </row>
    <row r="2613" spans="1:6" x14ac:dyDescent="0.3">
      <c r="A2613">
        <v>155510287</v>
      </c>
      <c r="B2613" s="1">
        <v>45125</v>
      </c>
      <c r="C2613" s="1">
        <v>45150</v>
      </c>
      <c r="D2613">
        <v>39</v>
      </c>
      <c r="E2613" t="s">
        <v>6</v>
      </c>
      <c r="F2613" t="s">
        <v>7</v>
      </c>
    </row>
    <row r="2614" spans="1:6" x14ac:dyDescent="0.3">
      <c r="A2614">
        <v>218677703</v>
      </c>
      <c r="B2614" s="1">
        <v>45125</v>
      </c>
      <c r="C2614" s="1">
        <v>45131</v>
      </c>
      <c r="D2614">
        <v>39</v>
      </c>
      <c r="E2614" t="s">
        <v>6</v>
      </c>
      <c r="F2614" t="s">
        <v>7</v>
      </c>
    </row>
    <row r="2615" spans="1:6" x14ac:dyDescent="0.3">
      <c r="A2615">
        <v>218878930</v>
      </c>
      <c r="B2615" s="1">
        <v>45125</v>
      </c>
      <c r="C2615" s="1">
        <v>45127</v>
      </c>
      <c r="D2615">
        <v>39</v>
      </c>
      <c r="E2615" t="s">
        <v>6</v>
      </c>
      <c r="F2615" t="s">
        <v>7</v>
      </c>
    </row>
    <row r="2616" spans="1:6" x14ac:dyDescent="0.3">
      <c r="A2616">
        <v>218935022</v>
      </c>
      <c r="B2616" s="1">
        <v>45126</v>
      </c>
      <c r="D2616">
        <v>39</v>
      </c>
      <c r="E2616" t="s">
        <v>6</v>
      </c>
      <c r="F2616" t="s">
        <v>7</v>
      </c>
    </row>
    <row r="2617" spans="1:6" x14ac:dyDescent="0.3">
      <c r="A2617">
        <v>218925198</v>
      </c>
      <c r="B2617" s="1">
        <v>45126</v>
      </c>
      <c r="D2617">
        <v>39</v>
      </c>
      <c r="E2617" t="s">
        <v>6</v>
      </c>
      <c r="F2617" t="s">
        <v>7</v>
      </c>
    </row>
    <row r="2618" spans="1:6" x14ac:dyDescent="0.3">
      <c r="A2618">
        <v>218927120</v>
      </c>
      <c r="B2618" s="1">
        <v>45126</v>
      </c>
      <c r="D2618">
        <v>39</v>
      </c>
      <c r="E2618" t="s">
        <v>6</v>
      </c>
      <c r="F2618" t="s">
        <v>7</v>
      </c>
    </row>
    <row r="2619" spans="1:6" x14ac:dyDescent="0.3">
      <c r="A2619">
        <v>218930176</v>
      </c>
      <c r="B2619" s="1">
        <v>45126</v>
      </c>
      <c r="D2619">
        <v>39</v>
      </c>
      <c r="E2619" t="s">
        <v>6</v>
      </c>
      <c r="F2619" t="s">
        <v>7</v>
      </c>
    </row>
    <row r="2620" spans="1:6" x14ac:dyDescent="0.3">
      <c r="A2620">
        <v>216185482</v>
      </c>
      <c r="B2620" s="1">
        <v>45126</v>
      </c>
      <c r="D2620">
        <v>39</v>
      </c>
      <c r="E2620" t="s">
        <v>6</v>
      </c>
      <c r="F2620" t="s">
        <v>7</v>
      </c>
    </row>
    <row r="2621" spans="1:6" x14ac:dyDescent="0.3">
      <c r="A2621">
        <v>218814342</v>
      </c>
      <c r="B2621" s="1">
        <v>45126</v>
      </c>
      <c r="D2621">
        <v>39</v>
      </c>
      <c r="E2621" t="s">
        <v>6</v>
      </c>
      <c r="F2621" t="s">
        <v>7</v>
      </c>
    </row>
    <row r="2622" spans="1:6" x14ac:dyDescent="0.3">
      <c r="A2622">
        <v>218764310</v>
      </c>
      <c r="B2622" s="1">
        <v>45126</v>
      </c>
      <c r="D2622">
        <v>39</v>
      </c>
      <c r="E2622" t="s">
        <v>6</v>
      </c>
      <c r="F2622" t="s">
        <v>7</v>
      </c>
    </row>
    <row r="2623" spans="1:6" x14ac:dyDescent="0.3">
      <c r="A2623">
        <v>218814328</v>
      </c>
      <c r="B2623" s="1">
        <v>45126</v>
      </c>
      <c r="D2623">
        <v>39</v>
      </c>
      <c r="E2623" t="s">
        <v>6</v>
      </c>
      <c r="F2623" t="s">
        <v>7</v>
      </c>
    </row>
    <row r="2624" spans="1:6" x14ac:dyDescent="0.3">
      <c r="A2624">
        <v>149144586</v>
      </c>
      <c r="B2624" s="1">
        <v>45126</v>
      </c>
      <c r="D2624">
        <v>39</v>
      </c>
      <c r="E2624" t="s">
        <v>6</v>
      </c>
      <c r="F2624" t="s">
        <v>7</v>
      </c>
    </row>
    <row r="2625" spans="1:6" x14ac:dyDescent="0.3">
      <c r="A2625">
        <v>217635511</v>
      </c>
      <c r="B2625" s="1">
        <v>45126</v>
      </c>
      <c r="D2625">
        <v>39</v>
      </c>
      <c r="E2625" t="s">
        <v>6</v>
      </c>
      <c r="F2625" t="s">
        <v>7</v>
      </c>
    </row>
    <row r="2626" spans="1:6" x14ac:dyDescent="0.3">
      <c r="A2626">
        <v>218924256</v>
      </c>
      <c r="B2626" s="1">
        <v>45126</v>
      </c>
      <c r="C2626" s="1">
        <v>45152</v>
      </c>
      <c r="D2626">
        <v>39</v>
      </c>
      <c r="E2626" t="s">
        <v>6</v>
      </c>
      <c r="F2626" t="s">
        <v>7</v>
      </c>
    </row>
    <row r="2627" spans="1:6" x14ac:dyDescent="0.3">
      <c r="A2627">
        <v>218898552</v>
      </c>
      <c r="B2627" s="1">
        <v>45126</v>
      </c>
      <c r="C2627" s="1">
        <v>45155</v>
      </c>
      <c r="D2627">
        <v>39</v>
      </c>
      <c r="E2627" t="s">
        <v>6</v>
      </c>
      <c r="F2627" t="s">
        <v>7</v>
      </c>
    </row>
    <row r="2628" spans="1:6" x14ac:dyDescent="0.3">
      <c r="A2628">
        <v>149657162</v>
      </c>
      <c r="B2628" s="1">
        <v>45126</v>
      </c>
      <c r="C2628" s="1">
        <v>45172</v>
      </c>
      <c r="D2628">
        <v>39</v>
      </c>
      <c r="E2628" t="s">
        <v>6</v>
      </c>
      <c r="F2628" t="s">
        <v>7</v>
      </c>
    </row>
    <row r="2629" spans="1:6" x14ac:dyDescent="0.3">
      <c r="A2629">
        <v>218581958</v>
      </c>
      <c r="B2629" s="1">
        <v>45126</v>
      </c>
      <c r="C2629" s="1">
        <v>45133</v>
      </c>
      <c r="D2629">
        <v>39</v>
      </c>
      <c r="E2629" t="s">
        <v>6</v>
      </c>
      <c r="F2629" t="s">
        <v>7</v>
      </c>
    </row>
    <row r="2630" spans="1:6" x14ac:dyDescent="0.3">
      <c r="A2630">
        <v>214943384</v>
      </c>
      <c r="B2630" s="1">
        <v>45127</v>
      </c>
      <c r="D2630">
        <v>39</v>
      </c>
      <c r="E2630" t="s">
        <v>6</v>
      </c>
      <c r="F2630" t="s">
        <v>7</v>
      </c>
    </row>
    <row r="2631" spans="1:6" x14ac:dyDescent="0.3">
      <c r="A2631">
        <v>147832373</v>
      </c>
      <c r="B2631" s="1">
        <v>45127</v>
      </c>
      <c r="D2631">
        <v>39</v>
      </c>
      <c r="E2631" t="s">
        <v>6</v>
      </c>
      <c r="F2631" t="s">
        <v>7</v>
      </c>
    </row>
    <row r="2632" spans="1:6" x14ac:dyDescent="0.3">
      <c r="A2632">
        <v>204362311</v>
      </c>
      <c r="B2632" s="1">
        <v>45127</v>
      </c>
      <c r="D2632">
        <v>39</v>
      </c>
      <c r="E2632" t="s">
        <v>6</v>
      </c>
      <c r="F2632" t="s">
        <v>7</v>
      </c>
    </row>
    <row r="2633" spans="1:6" x14ac:dyDescent="0.3">
      <c r="A2633">
        <v>217137211</v>
      </c>
      <c r="B2633" s="1">
        <v>45127</v>
      </c>
      <c r="D2633">
        <v>39</v>
      </c>
      <c r="E2633" t="s">
        <v>6</v>
      </c>
      <c r="F2633" t="s">
        <v>7</v>
      </c>
    </row>
    <row r="2634" spans="1:6" x14ac:dyDescent="0.3">
      <c r="A2634">
        <v>218942852</v>
      </c>
      <c r="B2634" s="1">
        <v>45127</v>
      </c>
      <c r="D2634">
        <v>39</v>
      </c>
      <c r="E2634" t="s">
        <v>6</v>
      </c>
      <c r="F2634" t="s">
        <v>7</v>
      </c>
    </row>
    <row r="2635" spans="1:6" x14ac:dyDescent="0.3">
      <c r="A2635">
        <v>218715020</v>
      </c>
      <c r="B2635" s="1">
        <v>45127</v>
      </c>
      <c r="C2635" s="1">
        <v>45174</v>
      </c>
      <c r="D2635">
        <v>39</v>
      </c>
      <c r="E2635" t="s">
        <v>6</v>
      </c>
      <c r="F2635" t="s">
        <v>7</v>
      </c>
    </row>
    <row r="2636" spans="1:6" x14ac:dyDescent="0.3">
      <c r="A2636">
        <v>218701308</v>
      </c>
      <c r="B2636" s="1">
        <v>45127</v>
      </c>
      <c r="C2636" s="1">
        <v>45128</v>
      </c>
      <c r="D2636">
        <v>39</v>
      </c>
      <c r="E2636" t="s">
        <v>6</v>
      </c>
      <c r="F2636" t="s">
        <v>7</v>
      </c>
    </row>
    <row r="2637" spans="1:6" x14ac:dyDescent="0.3">
      <c r="A2637">
        <v>218979443</v>
      </c>
      <c r="B2637" s="1">
        <v>45127</v>
      </c>
      <c r="C2637" s="1">
        <v>45153</v>
      </c>
      <c r="D2637">
        <v>39</v>
      </c>
      <c r="E2637" t="s">
        <v>6</v>
      </c>
      <c r="F2637" t="s">
        <v>7</v>
      </c>
    </row>
    <row r="2638" spans="1:6" x14ac:dyDescent="0.3">
      <c r="A2638">
        <v>218543315</v>
      </c>
      <c r="B2638" s="1">
        <v>45127</v>
      </c>
      <c r="C2638" s="1">
        <v>45173</v>
      </c>
      <c r="D2638">
        <v>39</v>
      </c>
      <c r="E2638" t="s">
        <v>6</v>
      </c>
      <c r="F2638" t="s">
        <v>7</v>
      </c>
    </row>
    <row r="2639" spans="1:6" x14ac:dyDescent="0.3">
      <c r="A2639">
        <v>218281726</v>
      </c>
      <c r="B2639" s="1">
        <v>45128</v>
      </c>
      <c r="D2639">
        <v>39</v>
      </c>
      <c r="E2639" t="s">
        <v>6</v>
      </c>
      <c r="F2639" t="s">
        <v>7</v>
      </c>
    </row>
    <row r="2640" spans="1:6" x14ac:dyDescent="0.3">
      <c r="A2640">
        <v>144972422</v>
      </c>
      <c r="B2640" s="1">
        <v>45128</v>
      </c>
      <c r="D2640">
        <v>39</v>
      </c>
      <c r="E2640" t="s">
        <v>6</v>
      </c>
      <c r="F2640" t="s">
        <v>7</v>
      </c>
    </row>
    <row r="2641" spans="1:6" x14ac:dyDescent="0.3">
      <c r="A2641">
        <v>219017513</v>
      </c>
      <c r="B2641" s="1">
        <v>45128</v>
      </c>
      <c r="D2641">
        <v>39</v>
      </c>
      <c r="E2641" t="s">
        <v>6</v>
      </c>
      <c r="F2641" t="s">
        <v>7</v>
      </c>
    </row>
    <row r="2642" spans="1:6" x14ac:dyDescent="0.3">
      <c r="A2642">
        <v>218096762</v>
      </c>
      <c r="B2642" s="1">
        <v>45128</v>
      </c>
      <c r="D2642">
        <v>39</v>
      </c>
      <c r="E2642" t="s">
        <v>6</v>
      </c>
      <c r="F2642" t="s">
        <v>7</v>
      </c>
    </row>
    <row r="2643" spans="1:6" x14ac:dyDescent="0.3">
      <c r="A2643">
        <v>134289850</v>
      </c>
      <c r="B2643" s="1">
        <v>45128</v>
      </c>
      <c r="D2643">
        <v>39</v>
      </c>
      <c r="E2643" t="s">
        <v>6</v>
      </c>
      <c r="F2643" t="s">
        <v>7</v>
      </c>
    </row>
    <row r="2644" spans="1:6" x14ac:dyDescent="0.3">
      <c r="A2644">
        <v>205210815</v>
      </c>
      <c r="B2644" s="1">
        <v>45128</v>
      </c>
      <c r="C2644" s="1">
        <v>45129</v>
      </c>
      <c r="D2644">
        <v>39</v>
      </c>
      <c r="E2644" t="s">
        <v>6</v>
      </c>
      <c r="F2644" t="s">
        <v>7</v>
      </c>
    </row>
    <row r="2645" spans="1:6" x14ac:dyDescent="0.3">
      <c r="A2645">
        <v>218684970</v>
      </c>
      <c r="B2645" s="1">
        <v>45128</v>
      </c>
      <c r="C2645" s="1">
        <v>45166</v>
      </c>
      <c r="D2645">
        <v>39</v>
      </c>
      <c r="E2645" t="s">
        <v>6</v>
      </c>
      <c r="F2645" t="s">
        <v>7</v>
      </c>
    </row>
    <row r="2646" spans="1:6" x14ac:dyDescent="0.3">
      <c r="A2646">
        <v>219045318</v>
      </c>
      <c r="B2646" s="1">
        <v>45129</v>
      </c>
      <c r="D2646">
        <v>39</v>
      </c>
      <c r="E2646" t="s">
        <v>6</v>
      </c>
      <c r="F2646" t="s">
        <v>7</v>
      </c>
    </row>
    <row r="2647" spans="1:6" x14ac:dyDescent="0.3">
      <c r="A2647">
        <v>218428977</v>
      </c>
      <c r="B2647" s="1">
        <v>45129</v>
      </c>
      <c r="D2647">
        <v>39</v>
      </c>
      <c r="E2647" t="s">
        <v>6</v>
      </c>
      <c r="F2647" t="s">
        <v>7</v>
      </c>
    </row>
    <row r="2648" spans="1:6" x14ac:dyDescent="0.3">
      <c r="A2648">
        <v>156587706</v>
      </c>
      <c r="B2648" s="1">
        <v>45129</v>
      </c>
      <c r="C2648" s="1">
        <v>45130</v>
      </c>
      <c r="D2648">
        <v>39</v>
      </c>
      <c r="E2648" t="s">
        <v>6</v>
      </c>
      <c r="F2648" t="s">
        <v>8</v>
      </c>
    </row>
    <row r="2649" spans="1:6" x14ac:dyDescent="0.3">
      <c r="A2649">
        <v>219034826</v>
      </c>
      <c r="B2649" s="1">
        <v>45129</v>
      </c>
      <c r="C2649" s="1">
        <v>45130</v>
      </c>
      <c r="D2649">
        <v>39</v>
      </c>
      <c r="E2649" t="s">
        <v>6</v>
      </c>
      <c r="F2649" t="s">
        <v>8</v>
      </c>
    </row>
    <row r="2650" spans="1:6" x14ac:dyDescent="0.3">
      <c r="A2650">
        <v>204380751</v>
      </c>
      <c r="B2650" s="1">
        <v>45129</v>
      </c>
      <c r="C2650" s="1">
        <v>45159</v>
      </c>
      <c r="D2650">
        <v>39</v>
      </c>
      <c r="E2650" t="s">
        <v>6</v>
      </c>
      <c r="F2650" t="s">
        <v>7</v>
      </c>
    </row>
    <row r="2651" spans="1:6" x14ac:dyDescent="0.3">
      <c r="A2651">
        <v>215315438</v>
      </c>
      <c r="B2651" s="1">
        <v>45129</v>
      </c>
      <c r="C2651" s="1">
        <v>45160</v>
      </c>
      <c r="D2651">
        <v>39</v>
      </c>
      <c r="E2651" t="s">
        <v>6</v>
      </c>
      <c r="F2651" t="s">
        <v>7</v>
      </c>
    </row>
    <row r="2652" spans="1:6" x14ac:dyDescent="0.3">
      <c r="A2652">
        <v>213774184</v>
      </c>
      <c r="B2652" s="1">
        <v>45129</v>
      </c>
      <c r="C2652" s="1">
        <v>45167</v>
      </c>
      <c r="D2652">
        <v>39</v>
      </c>
      <c r="E2652" t="s">
        <v>6</v>
      </c>
      <c r="F2652" t="s">
        <v>7</v>
      </c>
    </row>
    <row r="2653" spans="1:6" x14ac:dyDescent="0.3">
      <c r="A2653">
        <v>206121650</v>
      </c>
      <c r="B2653" s="1">
        <v>45130</v>
      </c>
      <c r="D2653">
        <v>39</v>
      </c>
      <c r="E2653" t="s">
        <v>6</v>
      </c>
      <c r="F2653" t="s">
        <v>7</v>
      </c>
    </row>
    <row r="2654" spans="1:6" x14ac:dyDescent="0.3">
      <c r="A2654">
        <v>219059958</v>
      </c>
      <c r="B2654" s="1">
        <v>45130</v>
      </c>
      <c r="D2654">
        <v>39</v>
      </c>
      <c r="E2654" t="s">
        <v>6</v>
      </c>
      <c r="F2654" t="s">
        <v>7</v>
      </c>
    </row>
    <row r="2655" spans="1:6" x14ac:dyDescent="0.3">
      <c r="A2655">
        <v>204639997</v>
      </c>
      <c r="B2655" s="1">
        <v>45130</v>
      </c>
      <c r="C2655" s="1">
        <v>45130</v>
      </c>
      <c r="D2655">
        <v>39</v>
      </c>
      <c r="E2655" t="s">
        <v>6</v>
      </c>
      <c r="F2655" t="s">
        <v>7</v>
      </c>
    </row>
    <row r="2656" spans="1:6" x14ac:dyDescent="0.3">
      <c r="A2656">
        <v>201817514</v>
      </c>
      <c r="B2656" s="1">
        <v>45130</v>
      </c>
      <c r="C2656" s="1">
        <v>45160</v>
      </c>
      <c r="D2656">
        <v>39</v>
      </c>
      <c r="E2656" t="s">
        <v>6</v>
      </c>
      <c r="F2656" t="s">
        <v>7</v>
      </c>
    </row>
    <row r="2657" spans="1:6" x14ac:dyDescent="0.3">
      <c r="A2657">
        <v>219065931</v>
      </c>
      <c r="B2657" s="1">
        <v>45130</v>
      </c>
      <c r="C2657" s="1">
        <v>45168</v>
      </c>
      <c r="D2657">
        <v>39</v>
      </c>
      <c r="E2657" t="s">
        <v>6</v>
      </c>
      <c r="F2657" t="s">
        <v>7</v>
      </c>
    </row>
    <row r="2658" spans="1:6" x14ac:dyDescent="0.3">
      <c r="A2658">
        <v>143627373</v>
      </c>
      <c r="B2658" s="1">
        <v>45131</v>
      </c>
      <c r="D2658">
        <v>39</v>
      </c>
      <c r="E2658" t="s">
        <v>6</v>
      </c>
      <c r="F2658" t="s">
        <v>7</v>
      </c>
    </row>
    <row r="2659" spans="1:6" x14ac:dyDescent="0.3">
      <c r="A2659">
        <v>218675428</v>
      </c>
      <c r="B2659" s="1">
        <v>45131</v>
      </c>
      <c r="D2659">
        <v>39</v>
      </c>
      <c r="E2659" t="s">
        <v>6</v>
      </c>
      <c r="F2659" t="s">
        <v>7</v>
      </c>
    </row>
    <row r="2660" spans="1:6" x14ac:dyDescent="0.3">
      <c r="A2660">
        <v>219057820</v>
      </c>
      <c r="B2660" s="1">
        <v>45131</v>
      </c>
      <c r="D2660">
        <v>39</v>
      </c>
      <c r="E2660" t="s">
        <v>6</v>
      </c>
      <c r="F2660" t="s">
        <v>7</v>
      </c>
    </row>
    <row r="2661" spans="1:6" x14ac:dyDescent="0.3">
      <c r="A2661">
        <v>219115854</v>
      </c>
      <c r="B2661" s="1">
        <v>45131</v>
      </c>
      <c r="D2661">
        <v>39</v>
      </c>
      <c r="E2661" t="s">
        <v>6</v>
      </c>
      <c r="F2661" t="s">
        <v>7</v>
      </c>
    </row>
    <row r="2662" spans="1:6" x14ac:dyDescent="0.3">
      <c r="A2662">
        <v>204826054</v>
      </c>
      <c r="B2662" s="1">
        <v>45131</v>
      </c>
      <c r="D2662">
        <v>39</v>
      </c>
      <c r="E2662" t="s">
        <v>6</v>
      </c>
      <c r="F2662" t="s">
        <v>7</v>
      </c>
    </row>
    <row r="2663" spans="1:6" x14ac:dyDescent="0.3">
      <c r="A2663">
        <v>219072554</v>
      </c>
      <c r="B2663" s="1">
        <v>45131</v>
      </c>
      <c r="D2663">
        <v>39</v>
      </c>
      <c r="E2663" t="s">
        <v>6</v>
      </c>
      <c r="F2663" t="s">
        <v>7</v>
      </c>
    </row>
    <row r="2664" spans="1:6" x14ac:dyDescent="0.3">
      <c r="A2664">
        <v>219088631</v>
      </c>
      <c r="B2664" s="1">
        <v>45131</v>
      </c>
      <c r="D2664">
        <v>39</v>
      </c>
      <c r="E2664" t="s">
        <v>6</v>
      </c>
      <c r="F2664" t="s">
        <v>7</v>
      </c>
    </row>
    <row r="2665" spans="1:6" x14ac:dyDescent="0.3">
      <c r="A2665">
        <v>218861750</v>
      </c>
      <c r="B2665" s="1">
        <v>45131</v>
      </c>
      <c r="C2665" s="1">
        <v>45169</v>
      </c>
      <c r="D2665">
        <v>39</v>
      </c>
      <c r="E2665" t="s">
        <v>6</v>
      </c>
      <c r="F2665" t="s">
        <v>7</v>
      </c>
    </row>
    <row r="2666" spans="1:6" x14ac:dyDescent="0.3">
      <c r="A2666">
        <v>217513777</v>
      </c>
      <c r="B2666" s="1">
        <v>45131</v>
      </c>
      <c r="C2666" s="1">
        <v>45140</v>
      </c>
      <c r="D2666">
        <v>39</v>
      </c>
      <c r="E2666" t="s">
        <v>6</v>
      </c>
      <c r="F2666" t="s">
        <v>7</v>
      </c>
    </row>
    <row r="2667" spans="1:6" x14ac:dyDescent="0.3">
      <c r="A2667">
        <v>218805370</v>
      </c>
      <c r="B2667" s="1">
        <v>45131</v>
      </c>
      <c r="C2667" s="1">
        <v>45146</v>
      </c>
      <c r="D2667">
        <v>39</v>
      </c>
      <c r="E2667" t="s">
        <v>6</v>
      </c>
      <c r="F2667" t="s">
        <v>7</v>
      </c>
    </row>
    <row r="2668" spans="1:6" x14ac:dyDescent="0.3">
      <c r="A2668">
        <v>219128709</v>
      </c>
      <c r="B2668" s="1">
        <v>45132</v>
      </c>
      <c r="D2668">
        <v>39</v>
      </c>
      <c r="E2668" t="s">
        <v>6</v>
      </c>
      <c r="F2668" t="s">
        <v>7</v>
      </c>
    </row>
    <row r="2669" spans="1:6" x14ac:dyDescent="0.3">
      <c r="A2669">
        <v>217998036</v>
      </c>
      <c r="B2669" s="1">
        <v>45132</v>
      </c>
      <c r="D2669">
        <v>39</v>
      </c>
      <c r="E2669" t="s">
        <v>6</v>
      </c>
      <c r="F2669" t="s">
        <v>7</v>
      </c>
    </row>
    <row r="2670" spans="1:6" x14ac:dyDescent="0.3">
      <c r="A2670">
        <v>219100886</v>
      </c>
      <c r="B2670" s="1">
        <v>45132</v>
      </c>
      <c r="D2670">
        <v>39</v>
      </c>
      <c r="E2670" t="s">
        <v>6</v>
      </c>
      <c r="F2670" t="s">
        <v>7</v>
      </c>
    </row>
    <row r="2671" spans="1:6" x14ac:dyDescent="0.3">
      <c r="A2671">
        <v>214586480</v>
      </c>
      <c r="B2671" s="1">
        <v>45132</v>
      </c>
      <c r="D2671">
        <v>39</v>
      </c>
      <c r="E2671" t="s">
        <v>6</v>
      </c>
      <c r="F2671" t="s">
        <v>7</v>
      </c>
    </row>
    <row r="2672" spans="1:6" x14ac:dyDescent="0.3">
      <c r="A2672">
        <v>219110064</v>
      </c>
      <c r="B2672" s="1">
        <v>45132</v>
      </c>
      <c r="D2672">
        <v>39</v>
      </c>
      <c r="E2672" t="s">
        <v>6</v>
      </c>
      <c r="F2672" t="s">
        <v>7</v>
      </c>
    </row>
    <row r="2673" spans="1:6" x14ac:dyDescent="0.3">
      <c r="A2673">
        <v>157374056</v>
      </c>
      <c r="B2673" s="1">
        <v>45132</v>
      </c>
      <c r="D2673">
        <v>39</v>
      </c>
      <c r="E2673" t="s">
        <v>6</v>
      </c>
      <c r="F2673" t="s">
        <v>7</v>
      </c>
    </row>
    <row r="2674" spans="1:6" x14ac:dyDescent="0.3">
      <c r="A2674">
        <v>219058076</v>
      </c>
      <c r="B2674" s="1">
        <v>45132</v>
      </c>
      <c r="D2674">
        <v>39</v>
      </c>
      <c r="E2674" t="s">
        <v>6</v>
      </c>
      <c r="F2674" t="s">
        <v>7</v>
      </c>
    </row>
    <row r="2675" spans="1:6" x14ac:dyDescent="0.3">
      <c r="A2675">
        <v>218011483</v>
      </c>
      <c r="B2675" s="1">
        <v>45132</v>
      </c>
      <c r="D2675">
        <v>39</v>
      </c>
      <c r="E2675" t="s">
        <v>6</v>
      </c>
      <c r="F2675" t="s">
        <v>7</v>
      </c>
    </row>
    <row r="2676" spans="1:6" x14ac:dyDescent="0.3">
      <c r="A2676">
        <v>216543186</v>
      </c>
      <c r="B2676" s="1">
        <v>45132</v>
      </c>
      <c r="D2676">
        <v>39</v>
      </c>
      <c r="E2676" t="s">
        <v>6</v>
      </c>
      <c r="F2676" t="s">
        <v>7</v>
      </c>
    </row>
    <row r="2677" spans="1:6" x14ac:dyDescent="0.3">
      <c r="A2677">
        <v>151239214</v>
      </c>
      <c r="B2677" s="1">
        <v>45132</v>
      </c>
      <c r="D2677">
        <v>39</v>
      </c>
      <c r="E2677" t="s">
        <v>6</v>
      </c>
      <c r="F2677" t="s">
        <v>7</v>
      </c>
    </row>
    <row r="2678" spans="1:6" x14ac:dyDescent="0.3">
      <c r="A2678">
        <v>152760748</v>
      </c>
      <c r="B2678" s="1">
        <v>45132</v>
      </c>
      <c r="C2678" s="1">
        <v>45158</v>
      </c>
      <c r="D2678">
        <v>39</v>
      </c>
      <c r="E2678" t="s">
        <v>6</v>
      </c>
      <c r="F2678" t="s">
        <v>7</v>
      </c>
    </row>
    <row r="2679" spans="1:6" x14ac:dyDescent="0.3">
      <c r="A2679">
        <v>182102820</v>
      </c>
      <c r="B2679" s="1">
        <v>45132</v>
      </c>
      <c r="C2679" s="1">
        <v>45170</v>
      </c>
      <c r="D2679">
        <v>39</v>
      </c>
      <c r="E2679" t="s">
        <v>6</v>
      </c>
      <c r="F2679" t="s">
        <v>7</v>
      </c>
    </row>
    <row r="2680" spans="1:6" x14ac:dyDescent="0.3">
      <c r="A2680">
        <v>215005163</v>
      </c>
      <c r="B2680" s="1">
        <v>45132</v>
      </c>
      <c r="C2680" s="1">
        <v>45155</v>
      </c>
      <c r="D2680">
        <v>39</v>
      </c>
      <c r="E2680" t="s">
        <v>6</v>
      </c>
      <c r="F2680" t="s">
        <v>7</v>
      </c>
    </row>
    <row r="2681" spans="1:6" x14ac:dyDescent="0.3">
      <c r="A2681">
        <v>219136846</v>
      </c>
      <c r="B2681" s="1">
        <v>45132</v>
      </c>
      <c r="C2681" s="1">
        <v>45140</v>
      </c>
      <c r="D2681">
        <v>39</v>
      </c>
      <c r="E2681" t="s">
        <v>6</v>
      </c>
      <c r="F2681" t="s">
        <v>7</v>
      </c>
    </row>
    <row r="2682" spans="1:6" x14ac:dyDescent="0.3">
      <c r="A2682">
        <v>218795222</v>
      </c>
      <c r="B2682" s="1">
        <v>45132</v>
      </c>
      <c r="C2682" s="1">
        <v>45161</v>
      </c>
      <c r="D2682">
        <v>39</v>
      </c>
      <c r="E2682" t="s">
        <v>6</v>
      </c>
      <c r="F2682" t="s">
        <v>7</v>
      </c>
    </row>
    <row r="2683" spans="1:6" x14ac:dyDescent="0.3">
      <c r="A2683">
        <v>208706876</v>
      </c>
      <c r="B2683" s="1">
        <v>45132</v>
      </c>
      <c r="C2683" s="1">
        <v>45159</v>
      </c>
      <c r="D2683">
        <v>39</v>
      </c>
      <c r="E2683" t="s">
        <v>6</v>
      </c>
      <c r="F2683" t="s">
        <v>7</v>
      </c>
    </row>
    <row r="2684" spans="1:6" x14ac:dyDescent="0.3">
      <c r="A2684">
        <v>218701308</v>
      </c>
      <c r="B2684" s="1">
        <v>45132</v>
      </c>
      <c r="C2684" s="1">
        <v>45170</v>
      </c>
      <c r="D2684">
        <v>39</v>
      </c>
      <c r="E2684" t="s">
        <v>6</v>
      </c>
      <c r="F2684" t="s">
        <v>7</v>
      </c>
    </row>
    <row r="2685" spans="1:6" x14ac:dyDescent="0.3">
      <c r="A2685">
        <v>219136623</v>
      </c>
      <c r="B2685" s="1">
        <v>45132</v>
      </c>
      <c r="C2685" s="1">
        <v>45170</v>
      </c>
      <c r="D2685">
        <v>39</v>
      </c>
      <c r="E2685" t="s">
        <v>6</v>
      </c>
      <c r="F2685" t="s">
        <v>7</v>
      </c>
    </row>
    <row r="2686" spans="1:6" x14ac:dyDescent="0.3">
      <c r="A2686">
        <v>219153922</v>
      </c>
      <c r="B2686" s="1">
        <v>45133</v>
      </c>
      <c r="D2686">
        <v>39</v>
      </c>
      <c r="E2686" t="s">
        <v>6</v>
      </c>
      <c r="F2686" t="s">
        <v>7</v>
      </c>
    </row>
    <row r="2687" spans="1:6" x14ac:dyDescent="0.3">
      <c r="A2687">
        <v>165529460</v>
      </c>
      <c r="B2687" s="1">
        <v>45133</v>
      </c>
      <c r="D2687">
        <v>39</v>
      </c>
      <c r="E2687" t="s">
        <v>6</v>
      </c>
      <c r="F2687" t="s">
        <v>7</v>
      </c>
    </row>
    <row r="2688" spans="1:6" x14ac:dyDescent="0.3">
      <c r="A2688">
        <v>218715792</v>
      </c>
      <c r="B2688" s="1">
        <v>45133</v>
      </c>
      <c r="D2688">
        <v>39</v>
      </c>
      <c r="E2688" t="s">
        <v>6</v>
      </c>
      <c r="F2688" t="s">
        <v>7</v>
      </c>
    </row>
    <row r="2689" spans="1:6" x14ac:dyDescent="0.3">
      <c r="A2689">
        <v>218985028</v>
      </c>
      <c r="B2689" s="1">
        <v>45133</v>
      </c>
      <c r="D2689">
        <v>39</v>
      </c>
      <c r="E2689" t="s">
        <v>6</v>
      </c>
      <c r="F2689" t="s">
        <v>7</v>
      </c>
    </row>
    <row r="2690" spans="1:6" x14ac:dyDescent="0.3">
      <c r="A2690">
        <v>218986352</v>
      </c>
      <c r="B2690" s="1">
        <v>45133</v>
      </c>
      <c r="D2690">
        <v>39</v>
      </c>
      <c r="E2690" t="s">
        <v>6</v>
      </c>
      <c r="F2690" t="s">
        <v>7</v>
      </c>
    </row>
    <row r="2691" spans="1:6" x14ac:dyDescent="0.3">
      <c r="A2691">
        <v>219152822</v>
      </c>
      <c r="B2691" s="1">
        <v>45133</v>
      </c>
      <c r="C2691" s="1">
        <v>45174</v>
      </c>
      <c r="D2691">
        <v>39</v>
      </c>
      <c r="E2691" t="s">
        <v>6</v>
      </c>
      <c r="F2691" t="s">
        <v>7</v>
      </c>
    </row>
    <row r="2692" spans="1:6" x14ac:dyDescent="0.3">
      <c r="A2692">
        <v>219084587</v>
      </c>
      <c r="B2692" s="1">
        <v>45133</v>
      </c>
      <c r="C2692" s="1">
        <v>45134</v>
      </c>
      <c r="D2692">
        <v>39</v>
      </c>
      <c r="E2692" t="s">
        <v>6</v>
      </c>
      <c r="F2692" t="s">
        <v>8</v>
      </c>
    </row>
    <row r="2693" spans="1:6" x14ac:dyDescent="0.3">
      <c r="A2693">
        <v>219200064</v>
      </c>
      <c r="B2693" s="1">
        <v>45133</v>
      </c>
      <c r="C2693" s="1">
        <v>45171</v>
      </c>
      <c r="D2693">
        <v>39</v>
      </c>
      <c r="E2693" t="s">
        <v>6</v>
      </c>
      <c r="F2693" t="s">
        <v>7</v>
      </c>
    </row>
    <row r="2694" spans="1:6" x14ac:dyDescent="0.3">
      <c r="A2694">
        <v>219224963</v>
      </c>
      <c r="B2694" s="1">
        <v>45134</v>
      </c>
      <c r="D2694">
        <v>39</v>
      </c>
      <c r="E2694" t="s">
        <v>6</v>
      </c>
      <c r="F2694" t="s">
        <v>7</v>
      </c>
    </row>
    <row r="2695" spans="1:6" x14ac:dyDescent="0.3">
      <c r="A2695">
        <v>219172302</v>
      </c>
      <c r="B2695" s="1">
        <v>45134</v>
      </c>
      <c r="D2695">
        <v>39</v>
      </c>
      <c r="E2695" t="s">
        <v>6</v>
      </c>
      <c r="F2695" t="s">
        <v>7</v>
      </c>
    </row>
    <row r="2696" spans="1:6" x14ac:dyDescent="0.3">
      <c r="A2696">
        <v>219244336</v>
      </c>
      <c r="B2696" s="1">
        <v>45134</v>
      </c>
      <c r="D2696">
        <v>39</v>
      </c>
      <c r="E2696" t="s">
        <v>6</v>
      </c>
      <c r="F2696" t="s">
        <v>7</v>
      </c>
    </row>
    <row r="2697" spans="1:6" x14ac:dyDescent="0.3">
      <c r="A2697">
        <v>150342446</v>
      </c>
      <c r="B2697" s="1">
        <v>45134</v>
      </c>
      <c r="D2697">
        <v>39</v>
      </c>
      <c r="E2697" t="s">
        <v>6</v>
      </c>
      <c r="F2697" t="s">
        <v>7</v>
      </c>
    </row>
    <row r="2698" spans="1:6" x14ac:dyDescent="0.3">
      <c r="A2698">
        <v>210432172</v>
      </c>
      <c r="B2698" s="1">
        <v>45134</v>
      </c>
      <c r="D2698">
        <v>39</v>
      </c>
      <c r="E2698" t="s">
        <v>6</v>
      </c>
      <c r="F2698" t="s">
        <v>7</v>
      </c>
    </row>
    <row r="2699" spans="1:6" x14ac:dyDescent="0.3">
      <c r="A2699">
        <v>145614180</v>
      </c>
      <c r="B2699" s="1">
        <v>45134</v>
      </c>
      <c r="D2699">
        <v>39</v>
      </c>
      <c r="E2699" t="s">
        <v>6</v>
      </c>
      <c r="F2699" t="s">
        <v>7</v>
      </c>
    </row>
    <row r="2700" spans="1:6" x14ac:dyDescent="0.3">
      <c r="A2700">
        <v>218318466</v>
      </c>
      <c r="B2700" s="1">
        <v>45134</v>
      </c>
      <c r="D2700">
        <v>39</v>
      </c>
      <c r="E2700" t="s">
        <v>6</v>
      </c>
      <c r="F2700" t="s">
        <v>7</v>
      </c>
    </row>
    <row r="2701" spans="1:6" x14ac:dyDescent="0.3">
      <c r="A2701">
        <v>131984682</v>
      </c>
      <c r="B2701" s="1">
        <v>45134</v>
      </c>
      <c r="D2701">
        <v>39</v>
      </c>
      <c r="E2701" t="s">
        <v>6</v>
      </c>
      <c r="F2701" t="s">
        <v>7</v>
      </c>
    </row>
    <row r="2702" spans="1:6" x14ac:dyDescent="0.3">
      <c r="A2702">
        <v>219243156</v>
      </c>
      <c r="B2702" s="1">
        <v>45134</v>
      </c>
      <c r="C2702" s="1">
        <v>45134</v>
      </c>
      <c r="D2702">
        <v>39</v>
      </c>
      <c r="E2702" t="s">
        <v>6</v>
      </c>
      <c r="F2702" t="s">
        <v>7</v>
      </c>
    </row>
    <row r="2703" spans="1:6" x14ac:dyDescent="0.3">
      <c r="A2703">
        <v>219301778</v>
      </c>
      <c r="B2703" s="1">
        <v>45135</v>
      </c>
      <c r="D2703">
        <v>39</v>
      </c>
      <c r="E2703" t="s">
        <v>6</v>
      </c>
      <c r="F2703" t="s">
        <v>7</v>
      </c>
    </row>
    <row r="2704" spans="1:6" x14ac:dyDescent="0.3">
      <c r="A2704">
        <v>153004062</v>
      </c>
      <c r="B2704" s="1">
        <v>45135</v>
      </c>
      <c r="D2704">
        <v>39</v>
      </c>
      <c r="E2704" t="s">
        <v>6</v>
      </c>
      <c r="F2704" t="s">
        <v>7</v>
      </c>
    </row>
    <row r="2705" spans="1:6" x14ac:dyDescent="0.3">
      <c r="A2705">
        <v>151015350</v>
      </c>
      <c r="B2705" s="1">
        <v>45135</v>
      </c>
      <c r="D2705">
        <v>39</v>
      </c>
      <c r="E2705" t="s">
        <v>6</v>
      </c>
      <c r="F2705" t="s">
        <v>7</v>
      </c>
    </row>
    <row r="2706" spans="1:6" x14ac:dyDescent="0.3">
      <c r="A2706">
        <v>147696294</v>
      </c>
      <c r="B2706" s="1">
        <v>45135</v>
      </c>
      <c r="D2706">
        <v>39</v>
      </c>
      <c r="E2706" t="s">
        <v>6</v>
      </c>
      <c r="F2706" t="s">
        <v>7</v>
      </c>
    </row>
    <row r="2707" spans="1:6" x14ac:dyDescent="0.3">
      <c r="A2707">
        <v>218255956</v>
      </c>
      <c r="B2707" s="1">
        <v>45135</v>
      </c>
      <c r="D2707">
        <v>39</v>
      </c>
      <c r="E2707" t="s">
        <v>6</v>
      </c>
      <c r="F2707" t="s">
        <v>7</v>
      </c>
    </row>
    <row r="2708" spans="1:6" x14ac:dyDescent="0.3">
      <c r="A2708">
        <v>218510841</v>
      </c>
      <c r="B2708" s="1">
        <v>45135</v>
      </c>
      <c r="D2708">
        <v>39</v>
      </c>
      <c r="E2708" t="s">
        <v>6</v>
      </c>
      <c r="F2708" t="s">
        <v>7</v>
      </c>
    </row>
    <row r="2709" spans="1:6" x14ac:dyDescent="0.3">
      <c r="A2709">
        <v>130864124</v>
      </c>
      <c r="B2709" s="1">
        <v>45135</v>
      </c>
      <c r="D2709">
        <v>39</v>
      </c>
      <c r="E2709" t="s">
        <v>6</v>
      </c>
      <c r="F2709" t="s">
        <v>7</v>
      </c>
    </row>
    <row r="2710" spans="1:6" x14ac:dyDescent="0.3">
      <c r="A2710">
        <v>219194059</v>
      </c>
      <c r="B2710" s="1">
        <v>45135</v>
      </c>
      <c r="D2710">
        <v>39</v>
      </c>
      <c r="E2710" t="s">
        <v>6</v>
      </c>
      <c r="F2710" t="s">
        <v>7</v>
      </c>
    </row>
    <row r="2711" spans="1:6" x14ac:dyDescent="0.3">
      <c r="A2711">
        <v>219254134</v>
      </c>
      <c r="B2711" s="1">
        <v>45135</v>
      </c>
      <c r="D2711">
        <v>39</v>
      </c>
      <c r="E2711" t="s">
        <v>6</v>
      </c>
      <c r="F2711" t="s">
        <v>7</v>
      </c>
    </row>
    <row r="2712" spans="1:6" x14ac:dyDescent="0.3">
      <c r="A2712">
        <v>215881016</v>
      </c>
      <c r="B2712" s="1">
        <v>45135</v>
      </c>
      <c r="D2712">
        <v>39</v>
      </c>
      <c r="E2712" t="s">
        <v>6</v>
      </c>
      <c r="F2712" t="s">
        <v>7</v>
      </c>
    </row>
    <row r="2713" spans="1:6" x14ac:dyDescent="0.3">
      <c r="A2713">
        <v>217361520</v>
      </c>
      <c r="B2713" s="1">
        <v>45135</v>
      </c>
      <c r="D2713">
        <v>39</v>
      </c>
      <c r="E2713" t="s">
        <v>6</v>
      </c>
      <c r="F2713" t="s">
        <v>7</v>
      </c>
    </row>
    <row r="2714" spans="1:6" x14ac:dyDescent="0.3">
      <c r="A2714">
        <v>219265654</v>
      </c>
      <c r="B2714" s="1">
        <v>45135</v>
      </c>
      <c r="D2714">
        <v>39</v>
      </c>
      <c r="E2714" t="s">
        <v>6</v>
      </c>
      <c r="F2714" t="s">
        <v>7</v>
      </c>
    </row>
    <row r="2715" spans="1:6" x14ac:dyDescent="0.3">
      <c r="A2715">
        <v>175491846</v>
      </c>
      <c r="B2715" s="1">
        <v>45135</v>
      </c>
      <c r="C2715" s="1">
        <v>45136</v>
      </c>
      <c r="D2715">
        <v>39</v>
      </c>
      <c r="E2715" t="s">
        <v>6</v>
      </c>
      <c r="F2715" t="s">
        <v>7</v>
      </c>
    </row>
    <row r="2716" spans="1:6" x14ac:dyDescent="0.3">
      <c r="A2716">
        <v>212603850</v>
      </c>
      <c r="B2716" s="1">
        <v>45135</v>
      </c>
      <c r="C2716" s="1">
        <v>45164</v>
      </c>
      <c r="D2716">
        <v>39</v>
      </c>
      <c r="E2716" t="s">
        <v>6</v>
      </c>
      <c r="F2716" t="s">
        <v>7</v>
      </c>
    </row>
    <row r="2717" spans="1:6" x14ac:dyDescent="0.3">
      <c r="A2717">
        <v>219307145</v>
      </c>
      <c r="B2717" s="1">
        <v>45136</v>
      </c>
      <c r="D2717">
        <v>39</v>
      </c>
      <c r="E2717" t="s">
        <v>6</v>
      </c>
      <c r="F2717" t="s">
        <v>7</v>
      </c>
    </row>
    <row r="2718" spans="1:6" x14ac:dyDescent="0.3">
      <c r="A2718">
        <v>212937420</v>
      </c>
      <c r="B2718" s="1">
        <v>45136</v>
      </c>
      <c r="C2718" s="1">
        <v>45174</v>
      </c>
      <c r="D2718">
        <v>39</v>
      </c>
      <c r="E2718" t="s">
        <v>6</v>
      </c>
      <c r="F2718" t="s">
        <v>7</v>
      </c>
    </row>
    <row r="2719" spans="1:6" x14ac:dyDescent="0.3">
      <c r="A2719">
        <v>219318511</v>
      </c>
      <c r="B2719" s="1">
        <v>45136</v>
      </c>
      <c r="C2719" s="1">
        <v>45156</v>
      </c>
      <c r="D2719">
        <v>39</v>
      </c>
      <c r="E2719" t="s">
        <v>6</v>
      </c>
      <c r="F2719" t="s">
        <v>7</v>
      </c>
    </row>
    <row r="2720" spans="1:6" x14ac:dyDescent="0.3">
      <c r="A2720">
        <v>218513479</v>
      </c>
      <c r="B2720" s="1">
        <v>45136</v>
      </c>
      <c r="C2720" s="1">
        <v>45163</v>
      </c>
      <c r="D2720">
        <v>39</v>
      </c>
      <c r="E2720" t="s">
        <v>6</v>
      </c>
      <c r="F2720" t="s">
        <v>7</v>
      </c>
    </row>
    <row r="2721" spans="1:6" x14ac:dyDescent="0.3">
      <c r="A2721">
        <v>219301764</v>
      </c>
      <c r="B2721" s="1">
        <v>45136</v>
      </c>
      <c r="C2721" s="1">
        <v>45165</v>
      </c>
      <c r="D2721">
        <v>39</v>
      </c>
      <c r="E2721" t="s">
        <v>6</v>
      </c>
      <c r="F2721" t="s">
        <v>7</v>
      </c>
    </row>
    <row r="2722" spans="1:6" x14ac:dyDescent="0.3">
      <c r="A2722">
        <v>125038257</v>
      </c>
      <c r="B2722" s="1">
        <v>45137</v>
      </c>
      <c r="D2722">
        <v>39</v>
      </c>
      <c r="E2722" t="s">
        <v>6</v>
      </c>
      <c r="F2722" t="s">
        <v>7</v>
      </c>
    </row>
    <row r="2723" spans="1:6" x14ac:dyDescent="0.3">
      <c r="A2723">
        <v>217813451</v>
      </c>
      <c r="B2723" s="1">
        <v>45137</v>
      </c>
      <c r="D2723">
        <v>39</v>
      </c>
      <c r="E2723" t="s">
        <v>6</v>
      </c>
      <c r="F2723" t="s">
        <v>7</v>
      </c>
    </row>
    <row r="2724" spans="1:6" x14ac:dyDescent="0.3">
      <c r="A2724">
        <v>162859352</v>
      </c>
      <c r="B2724" s="1">
        <v>45137</v>
      </c>
      <c r="C2724" s="1">
        <v>45138</v>
      </c>
      <c r="D2724">
        <v>39</v>
      </c>
      <c r="E2724" t="s">
        <v>6</v>
      </c>
      <c r="F2724" t="s">
        <v>8</v>
      </c>
    </row>
    <row r="2725" spans="1:6" x14ac:dyDescent="0.3">
      <c r="A2725">
        <v>146923161</v>
      </c>
      <c r="B2725" s="1">
        <v>45137</v>
      </c>
      <c r="C2725" s="1">
        <v>45175</v>
      </c>
      <c r="D2725">
        <v>39</v>
      </c>
      <c r="E2725" t="s">
        <v>6</v>
      </c>
      <c r="F2725" t="s">
        <v>7</v>
      </c>
    </row>
    <row r="2726" spans="1:6" x14ac:dyDescent="0.3">
      <c r="A2726">
        <v>206699284</v>
      </c>
      <c r="B2726" s="1">
        <v>45137</v>
      </c>
      <c r="C2726" s="1">
        <v>45166</v>
      </c>
      <c r="D2726">
        <v>39</v>
      </c>
      <c r="E2726" t="s">
        <v>6</v>
      </c>
      <c r="F2726" t="s">
        <v>7</v>
      </c>
    </row>
    <row r="2727" spans="1:6" x14ac:dyDescent="0.3">
      <c r="A2727">
        <v>219330169</v>
      </c>
      <c r="B2727" s="1">
        <v>45137</v>
      </c>
      <c r="C2727" s="1">
        <v>45166</v>
      </c>
      <c r="D2727">
        <v>39</v>
      </c>
      <c r="E2727" t="s">
        <v>6</v>
      </c>
      <c r="F2727" t="s">
        <v>7</v>
      </c>
    </row>
    <row r="2728" spans="1:6" x14ac:dyDescent="0.3">
      <c r="A2728">
        <v>219404710</v>
      </c>
      <c r="B2728" s="1">
        <v>45138</v>
      </c>
      <c r="D2728">
        <v>39</v>
      </c>
      <c r="E2728" t="s">
        <v>6</v>
      </c>
      <c r="F2728" t="s">
        <v>7</v>
      </c>
    </row>
    <row r="2729" spans="1:6" x14ac:dyDescent="0.3">
      <c r="A2729">
        <v>219402896</v>
      </c>
      <c r="B2729" s="1">
        <v>45138</v>
      </c>
      <c r="D2729">
        <v>39</v>
      </c>
      <c r="E2729" t="s">
        <v>6</v>
      </c>
      <c r="F2729" t="s">
        <v>7</v>
      </c>
    </row>
    <row r="2730" spans="1:6" x14ac:dyDescent="0.3">
      <c r="A2730">
        <v>214129448</v>
      </c>
      <c r="B2730" s="1">
        <v>45138</v>
      </c>
      <c r="D2730">
        <v>39</v>
      </c>
      <c r="E2730" t="s">
        <v>6</v>
      </c>
      <c r="F2730" t="s">
        <v>7</v>
      </c>
    </row>
    <row r="2731" spans="1:6" x14ac:dyDescent="0.3">
      <c r="A2731">
        <v>219218929</v>
      </c>
      <c r="B2731" s="1">
        <v>45138</v>
      </c>
      <c r="D2731">
        <v>39</v>
      </c>
      <c r="E2731" t="s">
        <v>6</v>
      </c>
      <c r="F2731" t="s">
        <v>7</v>
      </c>
    </row>
    <row r="2732" spans="1:6" x14ac:dyDescent="0.3">
      <c r="A2732">
        <v>219385880</v>
      </c>
      <c r="B2732" s="1">
        <v>45138</v>
      </c>
      <c r="D2732">
        <v>39</v>
      </c>
      <c r="E2732" t="s">
        <v>6</v>
      </c>
      <c r="F2732" t="s">
        <v>7</v>
      </c>
    </row>
    <row r="2733" spans="1:6" x14ac:dyDescent="0.3">
      <c r="A2733">
        <v>219368039</v>
      </c>
      <c r="B2733" s="1">
        <v>45138</v>
      </c>
      <c r="D2733">
        <v>39</v>
      </c>
      <c r="E2733" t="s">
        <v>6</v>
      </c>
      <c r="F2733" t="s">
        <v>7</v>
      </c>
    </row>
    <row r="2734" spans="1:6" x14ac:dyDescent="0.3">
      <c r="A2734">
        <v>219328313</v>
      </c>
      <c r="B2734" s="1">
        <v>45138</v>
      </c>
      <c r="D2734">
        <v>39</v>
      </c>
      <c r="E2734" t="s">
        <v>6</v>
      </c>
      <c r="F2734" t="s">
        <v>7</v>
      </c>
    </row>
    <row r="2735" spans="1:6" x14ac:dyDescent="0.3">
      <c r="A2735">
        <v>219185386</v>
      </c>
      <c r="B2735" s="1">
        <v>45138</v>
      </c>
      <c r="C2735" s="1">
        <v>45139</v>
      </c>
      <c r="D2735">
        <v>39</v>
      </c>
      <c r="E2735" t="s">
        <v>6</v>
      </c>
      <c r="F2735" t="s">
        <v>8</v>
      </c>
    </row>
    <row r="2736" spans="1:6" x14ac:dyDescent="0.3">
      <c r="A2736">
        <v>183712256</v>
      </c>
      <c r="B2736" s="1">
        <v>45138</v>
      </c>
      <c r="C2736" s="1">
        <v>45146</v>
      </c>
      <c r="D2736">
        <v>39</v>
      </c>
      <c r="E2736" t="s">
        <v>6</v>
      </c>
      <c r="F2736" t="s">
        <v>7</v>
      </c>
    </row>
    <row r="2737" spans="1:6" x14ac:dyDescent="0.3">
      <c r="A2737">
        <v>217624207</v>
      </c>
      <c r="B2737" s="1">
        <v>45139</v>
      </c>
      <c r="D2737">
        <v>39</v>
      </c>
      <c r="E2737" t="s">
        <v>6</v>
      </c>
      <c r="F2737" t="s">
        <v>7</v>
      </c>
    </row>
    <row r="2738" spans="1:6" x14ac:dyDescent="0.3">
      <c r="A2738">
        <v>218938921</v>
      </c>
      <c r="B2738" s="1">
        <v>45139</v>
      </c>
      <c r="D2738">
        <v>39</v>
      </c>
      <c r="E2738" t="s">
        <v>6</v>
      </c>
      <c r="F2738" t="s">
        <v>7</v>
      </c>
    </row>
    <row r="2739" spans="1:6" x14ac:dyDescent="0.3">
      <c r="A2739">
        <v>147145693</v>
      </c>
      <c r="B2739" s="1">
        <v>45139</v>
      </c>
      <c r="D2739">
        <v>39</v>
      </c>
      <c r="E2739" t="s">
        <v>6</v>
      </c>
      <c r="F2739" t="s">
        <v>7</v>
      </c>
    </row>
    <row r="2740" spans="1:6" x14ac:dyDescent="0.3">
      <c r="A2740">
        <v>218459038</v>
      </c>
      <c r="B2740" s="1">
        <v>45139</v>
      </c>
      <c r="D2740">
        <v>39</v>
      </c>
      <c r="E2740" t="s">
        <v>6</v>
      </c>
      <c r="F2740" t="s">
        <v>7</v>
      </c>
    </row>
    <row r="2741" spans="1:6" x14ac:dyDescent="0.3">
      <c r="A2741">
        <v>219395734</v>
      </c>
      <c r="B2741" s="1">
        <v>45139</v>
      </c>
      <c r="D2741">
        <v>39</v>
      </c>
      <c r="E2741" t="s">
        <v>6</v>
      </c>
      <c r="F2741" t="s">
        <v>7</v>
      </c>
    </row>
    <row r="2742" spans="1:6" x14ac:dyDescent="0.3">
      <c r="A2742">
        <v>219413956</v>
      </c>
      <c r="B2742" s="1">
        <v>45139</v>
      </c>
      <c r="D2742">
        <v>39</v>
      </c>
      <c r="E2742" t="s">
        <v>6</v>
      </c>
      <c r="F2742" t="s">
        <v>7</v>
      </c>
    </row>
    <row r="2743" spans="1:6" x14ac:dyDescent="0.3">
      <c r="A2743">
        <v>218562434</v>
      </c>
      <c r="B2743" s="1">
        <v>45139</v>
      </c>
      <c r="C2743" s="1">
        <v>45170</v>
      </c>
      <c r="D2743">
        <v>39</v>
      </c>
      <c r="E2743" t="s">
        <v>6</v>
      </c>
      <c r="F2743" t="s">
        <v>7</v>
      </c>
    </row>
    <row r="2744" spans="1:6" x14ac:dyDescent="0.3">
      <c r="A2744">
        <v>135521927</v>
      </c>
      <c r="B2744" s="1">
        <v>45139</v>
      </c>
      <c r="C2744" s="1">
        <v>45171</v>
      </c>
      <c r="D2744">
        <v>39</v>
      </c>
      <c r="E2744" t="s">
        <v>6</v>
      </c>
      <c r="F2744" t="s">
        <v>7</v>
      </c>
    </row>
    <row r="2745" spans="1:6" x14ac:dyDescent="0.3">
      <c r="A2745">
        <v>157035378</v>
      </c>
      <c r="B2745" s="1">
        <v>45139</v>
      </c>
      <c r="C2745" s="1">
        <v>45169</v>
      </c>
      <c r="D2745">
        <v>39</v>
      </c>
      <c r="E2745" t="s">
        <v>6</v>
      </c>
      <c r="F2745" t="s">
        <v>7</v>
      </c>
    </row>
    <row r="2746" spans="1:6" x14ac:dyDescent="0.3">
      <c r="A2746">
        <v>219382434</v>
      </c>
      <c r="B2746" s="1">
        <v>45139</v>
      </c>
      <c r="C2746" s="1">
        <v>45169</v>
      </c>
      <c r="D2746">
        <v>39</v>
      </c>
      <c r="E2746" t="s">
        <v>6</v>
      </c>
      <c r="F2746" t="s">
        <v>7</v>
      </c>
    </row>
    <row r="2747" spans="1:6" x14ac:dyDescent="0.3">
      <c r="A2747">
        <v>208762353</v>
      </c>
      <c r="B2747" s="1">
        <v>45140</v>
      </c>
      <c r="D2747">
        <v>39</v>
      </c>
      <c r="E2747" t="s">
        <v>6</v>
      </c>
      <c r="F2747" t="s">
        <v>7</v>
      </c>
    </row>
    <row r="2748" spans="1:6" x14ac:dyDescent="0.3">
      <c r="A2748">
        <v>218346336</v>
      </c>
      <c r="B2748" s="1">
        <v>45140</v>
      </c>
      <c r="D2748">
        <v>39</v>
      </c>
      <c r="E2748" t="s">
        <v>6</v>
      </c>
      <c r="F2748" t="s">
        <v>7</v>
      </c>
    </row>
    <row r="2749" spans="1:6" x14ac:dyDescent="0.3">
      <c r="A2749">
        <v>219226230</v>
      </c>
      <c r="B2749" s="1">
        <v>45140</v>
      </c>
      <c r="D2749">
        <v>39</v>
      </c>
      <c r="E2749" t="s">
        <v>6</v>
      </c>
      <c r="F2749" t="s">
        <v>7</v>
      </c>
    </row>
    <row r="2750" spans="1:6" x14ac:dyDescent="0.3">
      <c r="A2750">
        <v>219369515</v>
      </c>
      <c r="B2750" s="1">
        <v>45140</v>
      </c>
      <c r="D2750">
        <v>39</v>
      </c>
      <c r="E2750" t="s">
        <v>6</v>
      </c>
      <c r="F2750" t="s">
        <v>7</v>
      </c>
    </row>
    <row r="2751" spans="1:6" x14ac:dyDescent="0.3">
      <c r="A2751">
        <v>204947361</v>
      </c>
      <c r="B2751" s="1">
        <v>45140</v>
      </c>
      <c r="D2751">
        <v>39</v>
      </c>
      <c r="E2751" t="s">
        <v>6</v>
      </c>
      <c r="F2751" t="s">
        <v>7</v>
      </c>
    </row>
    <row r="2752" spans="1:6" x14ac:dyDescent="0.3">
      <c r="A2752">
        <v>212977568</v>
      </c>
      <c r="B2752" s="1">
        <v>45140</v>
      </c>
      <c r="D2752">
        <v>39</v>
      </c>
      <c r="E2752" t="s">
        <v>6</v>
      </c>
      <c r="F2752" t="s">
        <v>7</v>
      </c>
    </row>
    <row r="2753" spans="1:6" x14ac:dyDescent="0.3">
      <c r="A2753">
        <v>217981717</v>
      </c>
      <c r="B2753" s="1">
        <v>45140</v>
      </c>
      <c r="D2753">
        <v>39</v>
      </c>
      <c r="E2753" t="s">
        <v>6</v>
      </c>
      <c r="F2753" t="s">
        <v>7</v>
      </c>
    </row>
    <row r="2754" spans="1:6" x14ac:dyDescent="0.3">
      <c r="A2754">
        <v>219459089</v>
      </c>
      <c r="B2754" s="1">
        <v>45140</v>
      </c>
      <c r="D2754">
        <v>39</v>
      </c>
      <c r="E2754" t="s">
        <v>6</v>
      </c>
      <c r="F2754" t="s">
        <v>7</v>
      </c>
    </row>
    <row r="2755" spans="1:6" x14ac:dyDescent="0.3">
      <c r="A2755">
        <v>193483420</v>
      </c>
      <c r="B2755" s="1">
        <v>45140</v>
      </c>
      <c r="D2755">
        <v>39</v>
      </c>
      <c r="E2755" t="s">
        <v>6</v>
      </c>
      <c r="F2755" t="s">
        <v>7</v>
      </c>
    </row>
    <row r="2756" spans="1:6" x14ac:dyDescent="0.3">
      <c r="A2756">
        <v>219496362</v>
      </c>
      <c r="B2756" s="1">
        <v>45140</v>
      </c>
      <c r="C2756" s="1">
        <v>45173</v>
      </c>
      <c r="D2756">
        <v>39</v>
      </c>
      <c r="E2756" t="s">
        <v>6</v>
      </c>
      <c r="F2756" t="s">
        <v>7</v>
      </c>
    </row>
    <row r="2757" spans="1:6" x14ac:dyDescent="0.3">
      <c r="A2757">
        <v>219398902</v>
      </c>
      <c r="B2757" s="1">
        <v>45140</v>
      </c>
      <c r="C2757" s="1">
        <v>45174</v>
      </c>
      <c r="D2757">
        <v>39</v>
      </c>
      <c r="E2757" t="s">
        <v>6</v>
      </c>
      <c r="F2757" t="s">
        <v>7</v>
      </c>
    </row>
    <row r="2758" spans="1:6" x14ac:dyDescent="0.3">
      <c r="A2758">
        <v>219497152</v>
      </c>
      <c r="B2758" s="1">
        <v>45140</v>
      </c>
      <c r="C2758" s="1">
        <v>45161</v>
      </c>
      <c r="D2758">
        <v>39</v>
      </c>
      <c r="E2758" t="s">
        <v>6</v>
      </c>
      <c r="F2758" t="s">
        <v>7</v>
      </c>
    </row>
    <row r="2759" spans="1:6" x14ac:dyDescent="0.3">
      <c r="A2759">
        <v>188426619</v>
      </c>
      <c r="B2759" s="1">
        <v>45140</v>
      </c>
      <c r="C2759" s="1">
        <v>45170</v>
      </c>
      <c r="D2759">
        <v>39</v>
      </c>
      <c r="E2759" t="s">
        <v>6</v>
      </c>
      <c r="F2759" t="s">
        <v>7</v>
      </c>
    </row>
    <row r="2760" spans="1:6" x14ac:dyDescent="0.3">
      <c r="A2760">
        <v>219470485</v>
      </c>
      <c r="B2760" s="1">
        <v>45140</v>
      </c>
      <c r="C2760" s="1">
        <v>45154</v>
      </c>
      <c r="D2760">
        <v>39</v>
      </c>
      <c r="E2760" t="s">
        <v>6</v>
      </c>
      <c r="F2760" t="s">
        <v>7</v>
      </c>
    </row>
    <row r="2761" spans="1:6" x14ac:dyDescent="0.3">
      <c r="A2761">
        <v>219460783</v>
      </c>
      <c r="B2761" s="1">
        <v>45140</v>
      </c>
      <c r="C2761" s="1">
        <v>45166</v>
      </c>
      <c r="D2761">
        <v>39</v>
      </c>
      <c r="E2761" t="s">
        <v>6</v>
      </c>
      <c r="F2761" t="s">
        <v>7</v>
      </c>
    </row>
    <row r="2762" spans="1:6" x14ac:dyDescent="0.3">
      <c r="A2762">
        <v>219512722</v>
      </c>
      <c r="B2762" s="1">
        <v>45141</v>
      </c>
      <c r="D2762">
        <v>39</v>
      </c>
      <c r="E2762" t="s">
        <v>6</v>
      </c>
      <c r="F2762" t="s">
        <v>7</v>
      </c>
    </row>
    <row r="2763" spans="1:6" x14ac:dyDescent="0.3">
      <c r="A2763">
        <v>199393176</v>
      </c>
      <c r="B2763" s="1">
        <v>45141</v>
      </c>
      <c r="D2763">
        <v>39</v>
      </c>
      <c r="E2763" t="s">
        <v>6</v>
      </c>
      <c r="F2763" t="s">
        <v>7</v>
      </c>
    </row>
    <row r="2764" spans="1:6" x14ac:dyDescent="0.3">
      <c r="A2764">
        <v>217368686</v>
      </c>
      <c r="B2764" s="1">
        <v>45141</v>
      </c>
      <c r="D2764">
        <v>39</v>
      </c>
      <c r="E2764" t="s">
        <v>6</v>
      </c>
      <c r="F2764" t="s">
        <v>7</v>
      </c>
    </row>
    <row r="2765" spans="1:6" x14ac:dyDescent="0.3">
      <c r="A2765">
        <v>218247056</v>
      </c>
      <c r="B2765" s="1">
        <v>45141</v>
      </c>
      <c r="D2765">
        <v>39</v>
      </c>
      <c r="E2765" t="s">
        <v>6</v>
      </c>
      <c r="F2765" t="s">
        <v>7</v>
      </c>
    </row>
    <row r="2766" spans="1:6" x14ac:dyDescent="0.3">
      <c r="A2766">
        <v>219439239</v>
      </c>
      <c r="B2766" s="1">
        <v>45141</v>
      </c>
      <c r="D2766">
        <v>39</v>
      </c>
      <c r="E2766" t="s">
        <v>6</v>
      </c>
      <c r="F2766" t="s">
        <v>7</v>
      </c>
    </row>
    <row r="2767" spans="1:6" x14ac:dyDescent="0.3">
      <c r="A2767">
        <v>188206991</v>
      </c>
      <c r="B2767" s="1">
        <v>45141</v>
      </c>
      <c r="D2767">
        <v>39</v>
      </c>
      <c r="E2767" t="s">
        <v>6</v>
      </c>
      <c r="F2767" t="s">
        <v>7</v>
      </c>
    </row>
    <row r="2768" spans="1:6" x14ac:dyDescent="0.3">
      <c r="A2768">
        <v>206470657</v>
      </c>
      <c r="B2768" s="1">
        <v>45141</v>
      </c>
      <c r="D2768">
        <v>39</v>
      </c>
      <c r="E2768" t="s">
        <v>6</v>
      </c>
      <c r="F2768" t="s">
        <v>7</v>
      </c>
    </row>
    <row r="2769" spans="1:6" x14ac:dyDescent="0.3">
      <c r="A2769">
        <v>218706730</v>
      </c>
      <c r="B2769" s="1">
        <v>45141</v>
      </c>
      <c r="D2769">
        <v>39</v>
      </c>
      <c r="E2769" t="s">
        <v>6</v>
      </c>
      <c r="F2769" t="s">
        <v>7</v>
      </c>
    </row>
    <row r="2770" spans="1:6" x14ac:dyDescent="0.3">
      <c r="A2770">
        <v>219512680</v>
      </c>
      <c r="B2770" s="1">
        <v>45141</v>
      </c>
      <c r="D2770">
        <v>39</v>
      </c>
      <c r="E2770" t="s">
        <v>6</v>
      </c>
      <c r="F2770" t="s">
        <v>7</v>
      </c>
    </row>
    <row r="2771" spans="1:6" x14ac:dyDescent="0.3">
      <c r="A2771">
        <v>125335731</v>
      </c>
      <c r="B2771" s="1">
        <v>45141</v>
      </c>
      <c r="D2771">
        <v>39</v>
      </c>
      <c r="E2771" t="s">
        <v>6</v>
      </c>
      <c r="F2771" t="s">
        <v>7</v>
      </c>
    </row>
    <row r="2772" spans="1:6" x14ac:dyDescent="0.3">
      <c r="A2772">
        <v>160598122</v>
      </c>
      <c r="B2772" s="1">
        <v>45141</v>
      </c>
      <c r="D2772">
        <v>39</v>
      </c>
      <c r="E2772" t="s">
        <v>6</v>
      </c>
      <c r="F2772" t="s">
        <v>7</v>
      </c>
    </row>
    <row r="2773" spans="1:6" x14ac:dyDescent="0.3">
      <c r="A2773">
        <v>218414156</v>
      </c>
      <c r="B2773" s="1">
        <v>45141</v>
      </c>
      <c r="D2773">
        <v>39</v>
      </c>
      <c r="E2773" t="s">
        <v>6</v>
      </c>
      <c r="F2773" t="s">
        <v>7</v>
      </c>
    </row>
    <row r="2774" spans="1:6" x14ac:dyDescent="0.3">
      <c r="A2774">
        <v>206455504</v>
      </c>
      <c r="B2774" s="1">
        <v>45141</v>
      </c>
      <c r="C2774" s="1">
        <v>45170</v>
      </c>
      <c r="D2774">
        <v>39</v>
      </c>
      <c r="E2774" t="s">
        <v>6</v>
      </c>
      <c r="F2774" t="s">
        <v>7</v>
      </c>
    </row>
    <row r="2775" spans="1:6" x14ac:dyDescent="0.3">
      <c r="A2775">
        <v>202589094</v>
      </c>
      <c r="B2775" s="1">
        <v>45141</v>
      </c>
      <c r="C2775" s="1">
        <v>45172</v>
      </c>
      <c r="D2775">
        <v>39</v>
      </c>
      <c r="E2775" t="s">
        <v>6</v>
      </c>
      <c r="F2775" t="s">
        <v>7</v>
      </c>
    </row>
    <row r="2776" spans="1:6" x14ac:dyDescent="0.3">
      <c r="A2776">
        <v>129747676</v>
      </c>
      <c r="B2776" s="1">
        <v>45141</v>
      </c>
      <c r="C2776" s="1">
        <v>45175</v>
      </c>
      <c r="D2776">
        <v>39</v>
      </c>
      <c r="E2776" t="s">
        <v>6</v>
      </c>
      <c r="F2776" t="s">
        <v>7</v>
      </c>
    </row>
    <row r="2777" spans="1:6" x14ac:dyDescent="0.3">
      <c r="A2777">
        <v>219511614</v>
      </c>
      <c r="B2777" s="1">
        <v>45141</v>
      </c>
      <c r="C2777" s="1">
        <v>45170</v>
      </c>
      <c r="D2777">
        <v>39</v>
      </c>
      <c r="E2777" t="s">
        <v>6</v>
      </c>
      <c r="F2777" t="s">
        <v>7</v>
      </c>
    </row>
    <row r="2778" spans="1:6" x14ac:dyDescent="0.3">
      <c r="A2778">
        <v>219491158</v>
      </c>
      <c r="B2778" s="1">
        <v>45142</v>
      </c>
      <c r="D2778">
        <v>39</v>
      </c>
      <c r="E2778" t="s">
        <v>6</v>
      </c>
      <c r="F2778" t="s">
        <v>7</v>
      </c>
    </row>
    <row r="2779" spans="1:6" x14ac:dyDescent="0.3">
      <c r="A2779">
        <v>218790626</v>
      </c>
      <c r="B2779" s="1">
        <v>45142</v>
      </c>
      <c r="D2779">
        <v>39</v>
      </c>
      <c r="E2779" t="s">
        <v>6</v>
      </c>
      <c r="F2779" t="s">
        <v>7</v>
      </c>
    </row>
    <row r="2780" spans="1:6" x14ac:dyDescent="0.3">
      <c r="A2780">
        <v>219476808</v>
      </c>
      <c r="B2780" s="1">
        <v>45142</v>
      </c>
      <c r="D2780">
        <v>39</v>
      </c>
      <c r="E2780" t="s">
        <v>6</v>
      </c>
      <c r="F2780" t="s">
        <v>7</v>
      </c>
    </row>
    <row r="2781" spans="1:6" x14ac:dyDescent="0.3">
      <c r="A2781">
        <v>218585706</v>
      </c>
      <c r="B2781" s="1">
        <v>45142</v>
      </c>
      <c r="D2781">
        <v>39</v>
      </c>
      <c r="E2781" t="s">
        <v>6</v>
      </c>
      <c r="F2781" t="s">
        <v>7</v>
      </c>
    </row>
    <row r="2782" spans="1:6" x14ac:dyDescent="0.3">
      <c r="A2782">
        <v>219316901</v>
      </c>
      <c r="B2782" s="1">
        <v>45142</v>
      </c>
      <c r="D2782">
        <v>39</v>
      </c>
      <c r="E2782" t="s">
        <v>6</v>
      </c>
      <c r="F2782" t="s">
        <v>7</v>
      </c>
    </row>
    <row r="2783" spans="1:6" x14ac:dyDescent="0.3">
      <c r="A2783">
        <v>217724278</v>
      </c>
      <c r="B2783" s="1">
        <v>45142</v>
      </c>
      <c r="D2783">
        <v>39</v>
      </c>
      <c r="E2783" t="s">
        <v>6</v>
      </c>
      <c r="F2783" t="s">
        <v>7</v>
      </c>
    </row>
    <row r="2784" spans="1:6" x14ac:dyDescent="0.3">
      <c r="A2784">
        <v>155869412</v>
      </c>
      <c r="B2784" s="1">
        <v>45142</v>
      </c>
      <c r="D2784">
        <v>39</v>
      </c>
      <c r="E2784" t="s">
        <v>6</v>
      </c>
      <c r="F2784" t="s">
        <v>7</v>
      </c>
    </row>
    <row r="2785" spans="1:6" x14ac:dyDescent="0.3">
      <c r="A2785">
        <v>164535832</v>
      </c>
      <c r="B2785" s="1">
        <v>45142</v>
      </c>
      <c r="D2785">
        <v>39</v>
      </c>
      <c r="E2785" t="s">
        <v>6</v>
      </c>
      <c r="F2785" t="s">
        <v>7</v>
      </c>
    </row>
    <row r="2786" spans="1:6" x14ac:dyDescent="0.3">
      <c r="A2786">
        <v>219388064</v>
      </c>
      <c r="B2786" s="1">
        <v>45142</v>
      </c>
      <c r="D2786">
        <v>39</v>
      </c>
      <c r="E2786" t="s">
        <v>6</v>
      </c>
      <c r="F2786" t="s">
        <v>7</v>
      </c>
    </row>
    <row r="2787" spans="1:6" x14ac:dyDescent="0.3">
      <c r="A2787">
        <v>218884048</v>
      </c>
      <c r="B2787" s="1">
        <v>45142</v>
      </c>
      <c r="C2787" s="1">
        <v>45160</v>
      </c>
      <c r="D2787">
        <v>39</v>
      </c>
      <c r="E2787" t="s">
        <v>6</v>
      </c>
      <c r="F2787" t="s">
        <v>7</v>
      </c>
    </row>
    <row r="2788" spans="1:6" x14ac:dyDescent="0.3">
      <c r="A2788">
        <v>219603078</v>
      </c>
      <c r="B2788" s="1">
        <v>45143</v>
      </c>
      <c r="D2788">
        <v>39</v>
      </c>
      <c r="E2788" t="s">
        <v>6</v>
      </c>
      <c r="F2788" t="s">
        <v>7</v>
      </c>
    </row>
    <row r="2789" spans="1:6" x14ac:dyDescent="0.3">
      <c r="A2789">
        <v>219146842</v>
      </c>
      <c r="B2789" s="1">
        <v>45143</v>
      </c>
      <c r="D2789">
        <v>39</v>
      </c>
      <c r="E2789" t="s">
        <v>6</v>
      </c>
      <c r="F2789" t="s">
        <v>7</v>
      </c>
    </row>
    <row r="2790" spans="1:6" x14ac:dyDescent="0.3">
      <c r="A2790">
        <v>206676416</v>
      </c>
      <c r="B2790" s="1">
        <v>45143</v>
      </c>
      <c r="D2790">
        <v>39</v>
      </c>
      <c r="E2790" t="s">
        <v>6</v>
      </c>
      <c r="F2790" t="s">
        <v>7</v>
      </c>
    </row>
    <row r="2791" spans="1:6" x14ac:dyDescent="0.3">
      <c r="A2791">
        <v>219615770</v>
      </c>
      <c r="B2791" s="1">
        <v>45143</v>
      </c>
      <c r="D2791">
        <v>39</v>
      </c>
      <c r="E2791" t="s">
        <v>6</v>
      </c>
      <c r="F2791" t="s">
        <v>7</v>
      </c>
    </row>
    <row r="2792" spans="1:6" x14ac:dyDescent="0.3">
      <c r="A2792">
        <v>219630379</v>
      </c>
      <c r="B2792" s="1">
        <v>45144</v>
      </c>
      <c r="D2792">
        <v>39</v>
      </c>
      <c r="E2792" t="s">
        <v>6</v>
      </c>
      <c r="F2792" t="s">
        <v>7</v>
      </c>
    </row>
    <row r="2793" spans="1:6" x14ac:dyDescent="0.3">
      <c r="A2793">
        <v>145096572</v>
      </c>
      <c r="B2793" s="1">
        <v>45144</v>
      </c>
      <c r="D2793">
        <v>39</v>
      </c>
      <c r="E2793" t="s">
        <v>6</v>
      </c>
      <c r="F2793" t="s">
        <v>7</v>
      </c>
    </row>
    <row r="2794" spans="1:6" x14ac:dyDescent="0.3">
      <c r="A2794">
        <v>144005898</v>
      </c>
      <c r="B2794" s="1">
        <v>45144</v>
      </c>
      <c r="D2794">
        <v>39</v>
      </c>
      <c r="E2794" t="s">
        <v>6</v>
      </c>
      <c r="F2794" t="s">
        <v>7</v>
      </c>
    </row>
    <row r="2795" spans="1:6" x14ac:dyDescent="0.3">
      <c r="A2795">
        <v>215189020</v>
      </c>
      <c r="B2795" s="1">
        <v>45144</v>
      </c>
      <c r="D2795">
        <v>39</v>
      </c>
      <c r="E2795" t="s">
        <v>6</v>
      </c>
      <c r="F2795" t="s">
        <v>7</v>
      </c>
    </row>
    <row r="2796" spans="1:6" x14ac:dyDescent="0.3">
      <c r="A2796">
        <v>188354637</v>
      </c>
      <c r="B2796" s="1">
        <v>45144</v>
      </c>
      <c r="C2796" s="1">
        <v>45158</v>
      </c>
      <c r="D2796">
        <v>39</v>
      </c>
      <c r="E2796" t="s">
        <v>6</v>
      </c>
      <c r="F2796" t="s">
        <v>7</v>
      </c>
    </row>
    <row r="2797" spans="1:6" x14ac:dyDescent="0.3">
      <c r="A2797">
        <v>219668475</v>
      </c>
      <c r="B2797" s="1">
        <v>45145</v>
      </c>
      <c r="D2797">
        <v>39</v>
      </c>
      <c r="E2797" t="s">
        <v>6</v>
      </c>
      <c r="F2797" t="s">
        <v>7</v>
      </c>
    </row>
    <row r="2798" spans="1:6" x14ac:dyDescent="0.3">
      <c r="A2798">
        <v>219495361</v>
      </c>
      <c r="B2798" s="1">
        <v>45145</v>
      </c>
      <c r="D2798">
        <v>39</v>
      </c>
      <c r="E2798" t="s">
        <v>6</v>
      </c>
      <c r="F2798" t="s">
        <v>7</v>
      </c>
    </row>
    <row r="2799" spans="1:6" x14ac:dyDescent="0.3">
      <c r="A2799">
        <v>219672587</v>
      </c>
      <c r="B2799" s="1">
        <v>45145</v>
      </c>
      <c r="D2799">
        <v>39</v>
      </c>
      <c r="E2799" t="s">
        <v>6</v>
      </c>
      <c r="F2799" t="s">
        <v>7</v>
      </c>
    </row>
    <row r="2800" spans="1:6" x14ac:dyDescent="0.3">
      <c r="A2800">
        <v>218556897</v>
      </c>
      <c r="B2800" s="1">
        <v>45145</v>
      </c>
      <c r="C2800" s="1">
        <v>45146</v>
      </c>
      <c r="D2800">
        <v>39</v>
      </c>
      <c r="E2800" t="s">
        <v>6</v>
      </c>
      <c r="F2800" t="s">
        <v>7</v>
      </c>
    </row>
    <row r="2801" spans="1:6" x14ac:dyDescent="0.3">
      <c r="A2801">
        <v>219467082</v>
      </c>
      <c r="B2801" s="1">
        <v>45145</v>
      </c>
      <c r="C2801" s="1">
        <v>45153</v>
      </c>
      <c r="D2801">
        <v>39</v>
      </c>
      <c r="E2801" t="s">
        <v>6</v>
      </c>
      <c r="F2801" t="s">
        <v>7</v>
      </c>
    </row>
    <row r="2802" spans="1:6" x14ac:dyDescent="0.3">
      <c r="A2802">
        <v>139353407</v>
      </c>
      <c r="B2802" s="1">
        <v>45146</v>
      </c>
      <c r="D2802">
        <v>39</v>
      </c>
      <c r="E2802" t="s">
        <v>6</v>
      </c>
      <c r="F2802" t="s">
        <v>7</v>
      </c>
    </row>
    <row r="2803" spans="1:6" x14ac:dyDescent="0.3">
      <c r="A2803">
        <v>219734945</v>
      </c>
      <c r="B2803" s="1">
        <v>45146</v>
      </c>
      <c r="D2803">
        <v>39</v>
      </c>
      <c r="E2803" t="s">
        <v>6</v>
      </c>
      <c r="F2803" t="s">
        <v>7</v>
      </c>
    </row>
    <row r="2804" spans="1:6" x14ac:dyDescent="0.3">
      <c r="A2804">
        <v>219735949</v>
      </c>
      <c r="B2804" s="1">
        <v>45146</v>
      </c>
      <c r="D2804">
        <v>39</v>
      </c>
      <c r="E2804" t="s">
        <v>6</v>
      </c>
      <c r="F2804" t="s">
        <v>7</v>
      </c>
    </row>
    <row r="2805" spans="1:6" x14ac:dyDescent="0.3">
      <c r="A2805">
        <v>219688361</v>
      </c>
      <c r="B2805" s="1">
        <v>45146</v>
      </c>
      <c r="D2805">
        <v>39</v>
      </c>
      <c r="E2805" t="s">
        <v>6</v>
      </c>
      <c r="F2805" t="s">
        <v>7</v>
      </c>
    </row>
    <row r="2806" spans="1:6" x14ac:dyDescent="0.3">
      <c r="A2806">
        <v>219447968</v>
      </c>
      <c r="B2806" s="1">
        <v>45146</v>
      </c>
      <c r="D2806">
        <v>39</v>
      </c>
      <c r="E2806" t="s">
        <v>6</v>
      </c>
      <c r="F2806" t="s">
        <v>7</v>
      </c>
    </row>
    <row r="2807" spans="1:6" x14ac:dyDescent="0.3">
      <c r="A2807">
        <v>219583682</v>
      </c>
      <c r="B2807" s="1">
        <v>45146</v>
      </c>
      <c r="D2807">
        <v>39</v>
      </c>
      <c r="E2807" t="s">
        <v>6</v>
      </c>
      <c r="F2807" t="s">
        <v>7</v>
      </c>
    </row>
    <row r="2808" spans="1:6" x14ac:dyDescent="0.3">
      <c r="A2808">
        <v>217638566</v>
      </c>
      <c r="B2808" s="1">
        <v>45146</v>
      </c>
      <c r="D2808">
        <v>39</v>
      </c>
      <c r="E2808" t="s">
        <v>6</v>
      </c>
      <c r="F2808" t="s">
        <v>7</v>
      </c>
    </row>
    <row r="2809" spans="1:6" x14ac:dyDescent="0.3">
      <c r="A2809">
        <v>219716268</v>
      </c>
      <c r="B2809" s="1">
        <v>45146</v>
      </c>
      <c r="D2809">
        <v>39</v>
      </c>
      <c r="E2809" t="s">
        <v>6</v>
      </c>
      <c r="F2809" t="s">
        <v>7</v>
      </c>
    </row>
    <row r="2810" spans="1:6" x14ac:dyDescent="0.3">
      <c r="A2810">
        <v>219713718</v>
      </c>
      <c r="B2810" s="1">
        <v>45146</v>
      </c>
      <c r="D2810">
        <v>39</v>
      </c>
      <c r="E2810" t="s">
        <v>6</v>
      </c>
      <c r="F2810" t="s">
        <v>7</v>
      </c>
    </row>
    <row r="2811" spans="1:6" x14ac:dyDescent="0.3">
      <c r="A2811">
        <v>219707178</v>
      </c>
      <c r="B2811" s="1">
        <v>45146</v>
      </c>
      <c r="D2811">
        <v>39</v>
      </c>
      <c r="E2811" t="s">
        <v>6</v>
      </c>
      <c r="F2811" t="s">
        <v>7</v>
      </c>
    </row>
    <row r="2812" spans="1:6" x14ac:dyDescent="0.3">
      <c r="A2812">
        <v>219747148</v>
      </c>
      <c r="B2812" s="1">
        <v>45146</v>
      </c>
      <c r="C2812" s="1">
        <v>45146</v>
      </c>
      <c r="D2812">
        <v>39</v>
      </c>
      <c r="E2812" t="s">
        <v>6</v>
      </c>
      <c r="F2812" t="s">
        <v>7</v>
      </c>
    </row>
    <row r="2813" spans="1:6" x14ac:dyDescent="0.3">
      <c r="A2813">
        <v>219710700</v>
      </c>
      <c r="B2813" s="1">
        <v>45146</v>
      </c>
      <c r="C2813" s="1">
        <v>45155</v>
      </c>
      <c r="D2813">
        <v>39</v>
      </c>
      <c r="E2813" t="s">
        <v>6</v>
      </c>
      <c r="F2813" t="s">
        <v>7</v>
      </c>
    </row>
    <row r="2814" spans="1:6" x14ac:dyDescent="0.3">
      <c r="A2814">
        <v>160883429</v>
      </c>
      <c r="B2814" s="1">
        <v>45147</v>
      </c>
      <c r="D2814">
        <v>39</v>
      </c>
      <c r="E2814" t="s">
        <v>6</v>
      </c>
      <c r="F2814" t="s">
        <v>7</v>
      </c>
    </row>
    <row r="2815" spans="1:6" x14ac:dyDescent="0.3">
      <c r="A2815">
        <v>218556897</v>
      </c>
      <c r="B2815" s="1">
        <v>45147</v>
      </c>
      <c r="D2815">
        <v>39</v>
      </c>
      <c r="E2815" t="s">
        <v>6</v>
      </c>
      <c r="F2815" t="s">
        <v>7</v>
      </c>
    </row>
    <row r="2816" spans="1:6" x14ac:dyDescent="0.3">
      <c r="A2816">
        <v>219779586</v>
      </c>
      <c r="B2816" s="1">
        <v>45147</v>
      </c>
      <c r="D2816">
        <v>39</v>
      </c>
      <c r="E2816" t="s">
        <v>6</v>
      </c>
      <c r="F2816" t="s">
        <v>7</v>
      </c>
    </row>
    <row r="2817" spans="1:6" x14ac:dyDescent="0.3">
      <c r="A2817">
        <v>219437804</v>
      </c>
      <c r="B2817" s="1">
        <v>45147</v>
      </c>
      <c r="D2817">
        <v>39</v>
      </c>
      <c r="E2817" t="s">
        <v>6</v>
      </c>
      <c r="F2817" t="s">
        <v>7</v>
      </c>
    </row>
    <row r="2818" spans="1:6" x14ac:dyDescent="0.3">
      <c r="A2818">
        <v>206402783</v>
      </c>
      <c r="B2818" s="1">
        <v>45147</v>
      </c>
      <c r="D2818">
        <v>39</v>
      </c>
      <c r="E2818" t="s">
        <v>6</v>
      </c>
      <c r="F2818" t="s">
        <v>7</v>
      </c>
    </row>
    <row r="2819" spans="1:6" x14ac:dyDescent="0.3">
      <c r="A2819">
        <v>178419414</v>
      </c>
      <c r="B2819" s="1">
        <v>45147</v>
      </c>
      <c r="D2819">
        <v>39</v>
      </c>
      <c r="E2819" t="s">
        <v>6</v>
      </c>
      <c r="F2819" t="s">
        <v>7</v>
      </c>
    </row>
    <row r="2820" spans="1:6" x14ac:dyDescent="0.3">
      <c r="A2820">
        <v>219719416</v>
      </c>
      <c r="B2820" s="1">
        <v>45147</v>
      </c>
      <c r="D2820">
        <v>39</v>
      </c>
      <c r="E2820" t="s">
        <v>6</v>
      </c>
      <c r="F2820" t="s">
        <v>7</v>
      </c>
    </row>
    <row r="2821" spans="1:6" x14ac:dyDescent="0.3">
      <c r="A2821">
        <v>156558244</v>
      </c>
      <c r="B2821" s="1">
        <v>45147</v>
      </c>
      <c r="D2821">
        <v>39</v>
      </c>
      <c r="E2821" t="s">
        <v>6</v>
      </c>
      <c r="F2821" t="s">
        <v>7</v>
      </c>
    </row>
    <row r="2822" spans="1:6" x14ac:dyDescent="0.3">
      <c r="A2822">
        <v>215602271</v>
      </c>
      <c r="B2822" s="1">
        <v>45147</v>
      </c>
      <c r="C2822" s="1">
        <v>45153</v>
      </c>
      <c r="D2822">
        <v>39</v>
      </c>
      <c r="E2822" t="s">
        <v>6</v>
      </c>
      <c r="F2822" t="s">
        <v>7</v>
      </c>
    </row>
    <row r="2823" spans="1:6" x14ac:dyDescent="0.3">
      <c r="A2823">
        <v>219761422</v>
      </c>
      <c r="B2823" s="1">
        <v>45147</v>
      </c>
      <c r="C2823" s="1">
        <v>45152</v>
      </c>
      <c r="D2823">
        <v>39</v>
      </c>
      <c r="E2823" t="s">
        <v>6</v>
      </c>
      <c r="F2823" t="s">
        <v>7</v>
      </c>
    </row>
    <row r="2824" spans="1:6" x14ac:dyDescent="0.3">
      <c r="A2824">
        <v>218594597</v>
      </c>
      <c r="B2824" s="1">
        <v>45147</v>
      </c>
      <c r="C2824" s="1">
        <v>45147</v>
      </c>
      <c r="D2824">
        <v>39</v>
      </c>
      <c r="E2824" t="s">
        <v>6</v>
      </c>
      <c r="F2824" t="s">
        <v>8</v>
      </c>
    </row>
    <row r="2825" spans="1:6" x14ac:dyDescent="0.3">
      <c r="A2825">
        <v>219734107</v>
      </c>
      <c r="B2825" s="1">
        <v>45148</v>
      </c>
      <c r="D2825">
        <v>39</v>
      </c>
      <c r="E2825" t="s">
        <v>6</v>
      </c>
      <c r="F2825" t="s">
        <v>7</v>
      </c>
    </row>
    <row r="2826" spans="1:6" x14ac:dyDescent="0.3">
      <c r="A2826">
        <v>219836911</v>
      </c>
      <c r="B2826" s="1">
        <v>45148</v>
      </c>
      <c r="D2826">
        <v>39</v>
      </c>
      <c r="E2826" t="s">
        <v>6</v>
      </c>
      <c r="F2826" t="s">
        <v>7</v>
      </c>
    </row>
    <row r="2827" spans="1:6" x14ac:dyDescent="0.3">
      <c r="A2827">
        <v>215179190</v>
      </c>
      <c r="B2827" s="1">
        <v>45148</v>
      </c>
      <c r="D2827">
        <v>39</v>
      </c>
      <c r="E2827" t="s">
        <v>6</v>
      </c>
      <c r="F2827" t="s">
        <v>7</v>
      </c>
    </row>
    <row r="2828" spans="1:6" x14ac:dyDescent="0.3">
      <c r="A2828">
        <v>219817702</v>
      </c>
      <c r="B2828" s="1">
        <v>45148</v>
      </c>
      <c r="D2828">
        <v>39</v>
      </c>
      <c r="E2828" t="s">
        <v>6</v>
      </c>
      <c r="F2828" t="s">
        <v>7</v>
      </c>
    </row>
    <row r="2829" spans="1:6" x14ac:dyDescent="0.3">
      <c r="A2829">
        <v>150065982</v>
      </c>
      <c r="B2829" s="1">
        <v>45148</v>
      </c>
      <c r="C2829" s="1">
        <v>45149</v>
      </c>
      <c r="D2829">
        <v>39</v>
      </c>
      <c r="E2829" t="s">
        <v>6</v>
      </c>
      <c r="F2829" t="s">
        <v>7</v>
      </c>
    </row>
    <row r="2830" spans="1:6" x14ac:dyDescent="0.3">
      <c r="A2830">
        <v>219891350</v>
      </c>
      <c r="B2830" s="1">
        <v>45149</v>
      </c>
      <c r="D2830">
        <v>39</v>
      </c>
      <c r="E2830" t="s">
        <v>6</v>
      </c>
      <c r="F2830" t="s">
        <v>7</v>
      </c>
    </row>
    <row r="2831" spans="1:6" x14ac:dyDescent="0.3">
      <c r="A2831">
        <v>205210815</v>
      </c>
      <c r="B2831" s="1">
        <v>45149</v>
      </c>
      <c r="D2831">
        <v>39</v>
      </c>
      <c r="E2831" t="s">
        <v>6</v>
      </c>
      <c r="F2831" t="s">
        <v>7</v>
      </c>
    </row>
    <row r="2832" spans="1:6" x14ac:dyDescent="0.3">
      <c r="A2832">
        <v>219744473</v>
      </c>
      <c r="B2832" s="1">
        <v>45149</v>
      </c>
      <c r="D2832">
        <v>39</v>
      </c>
      <c r="E2832" t="s">
        <v>6</v>
      </c>
      <c r="F2832" t="s">
        <v>7</v>
      </c>
    </row>
    <row r="2833" spans="1:6" x14ac:dyDescent="0.3">
      <c r="A2833">
        <v>219851822</v>
      </c>
      <c r="B2833" s="1">
        <v>45149</v>
      </c>
      <c r="D2833">
        <v>39</v>
      </c>
      <c r="E2833" t="s">
        <v>6</v>
      </c>
      <c r="F2833" t="s">
        <v>7</v>
      </c>
    </row>
    <row r="2834" spans="1:6" x14ac:dyDescent="0.3">
      <c r="A2834">
        <v>150779000</v>
      </c>
      <c r="B2834" s="1">
        <v>45149</v>
      </c>
      <c r="C2834" s="1">
        <v>45175</v>
      </c>
      <c r="D2834">
        <v>39</v>
      </c>
      <c r="E2834" t="s">
        <v>6</v>
      </c>
      <c r="F2834" t="s">
        <v>7</v>
      </c>
    </row>
    <row r="2835" spans="1:6" x14ac:dyDescent="0.3">
      <c r="A2835">
        <v>219876215</v>
      </c>
      <c r="B2835" s="1">
        <v>45149</v>
      </c>
      <c r="C2835" s="1">
        <v>45150</v>
      </c>
      <c r="D2835">
        <v>39</v>
      </c>
      <c r="E2835" t="s">
        <v>6</v>
      </c>
      <c r="F2835" t="s">
        <v>7</v>
      </c>
    </row>
    <row r="2836" spans="1:6" x14ac:dyDescent="0.3">
      <c r="A2836">
        <v>151633468</v>
      </c>
      <c r="B2836" s="1">
        <v>45149</v>
      </c>
      <c r="C2836" s="1">
        <v>45150</v>
      </c>
      <c r="D2836">
        <v>39</v>
      </c>
      <c r="E2836" t="s">
        <v>6</v>
      </c>
      <c r="F2836" t="s">
        <v>7</v>
      </c>
    </row>
    <row r="2837" spans="1:6" x14ac:dyDescent="0.3">
      <c r="A2837">
        <v>219834528</v>
      </c>
      <c r="B2837" s="1">
        <v>45149</v>
      </c>
      <c r="C2837" s="1">
        <v>45150</v>
      </c>
      <c r="D2837">
        <v>39</v>
      </c>
      <c r="E2837" t="s">
        <v>6</v>
      </c>
      <c r="F2837" t="s">
        <v>8</v>
      </c>
    </row>
    <row r="2838" spans="1:6" x14ac:dyDescent="0.3">
      <c r="A2838">
        <v>202844600</v>
      </c>
      <c r="B2838" s="1">
        <v>45149</v>
      </c>
      <c r="C2838" s="1">
        <v>45150</v>
      </c>
      <c r="D2838">
        <v>39</v>
      </c>
      <c r="E2838" t="s">
        <v>6</v>
      </c>
      <c r="F2838" t="s">
        <v>8</v>
      </c>
    </row>
    <row r="2839" spans="1:6" x14ac:dyDescent="0.3">
      <c r="A2839">
        <v>158093021</v>
      </c>
      <c r="B2839" s="1">
        <v>45150</v>
      </c>
      <c r="D2839">
        <v>39</v>
      </c>
      <c r="E2839" t="s">
        <v>6</v>
      </c>
      <c r="F2839" t="s">
        <v>7</v>
      </c>
    </row>
    <row r="2840" spans="1:6" x14ac:dyDescent="0.3">
      <c r="A2840">
        <v>203366396</v>
      </c>
      <c r="B2840" s="1">
        <v>45150</v>
      </c>
      <c r="C2840" s="1">
        <v>45154</v>
      </c>
      <c r="D2840">
        <v>39</v>
      </c>
      <c r="E2840" t="s">
        <v>6</v>
      </c>
      <c r="F2840" t="s">
        <v>7</v>
      </c>
    </row>
    <row r="2841" spans="1:6" x14ac:dyDescent="0.3">
      <c r="A2841">
        <v>210694562</v>
      </c>
      <c r="B2841" s="1">
        <v>45150</v>
      </c>
      <c r="C2841" s="1">
        <v>45171</v>
      </c>
      <c r="D2841">
        <v>39</v>
      </c>
      <c r="E2841" t="s">
        <v>6</v>
      </c>
      <c r="F2841" t="s">
        <v>7</v>
      </c>
    </row>
    <row r="2842" spans="1:6" x14ac:dyDescent="0.3">
      <c r="A2842">
        <v>188347490</v>
      </c>
      <c r="B2842" s="1">
        <v>45151</v>
      </c>
      <c r="D2842">
        <v>39</v>
      </c>
      <c r="E2842" t="s">
        <v>6</v>
      </c>
      <c r="F2842" t="s">
        <v>7</v>
      </c>
    </row>
    <row r="2843" spans="1:6" x14ac:dyDescent="0.3">
      <c r="A2843">
        <v>219947831</v>
      </c>
      <c r="B2843" s="1">
        <v>45151</v>
      </c>
      <c r="D2843">
        <v>39</v>
      </c>
      <c r="E2843" t="s">
        <v>6</v>
      </c>
      <c r="F2843" t="s">
        <v>7</v>
      </c>
    </row>
    <row r="2844" spans="1:6" x14ac:dyDescent="0.3">
      <c r="A2844">
        <v>214775412</v>
      </c>
      <c r="B2844" s="1">
        <v>45151</v>
      </c>
      <c r="D2844">
        <v>39</v>
      </c>
      <c r="E2844" t="s">
        <v>6</v>
      </c>
      <c r="F2844" t="s">
        <v>7</v>
      </c>
    </row>
    <row r="2845" spans="1:6" x14ac:dyDescent="0.3">
      <c r="A2845">
        <v>134753801</v>
      </c>
      <c r="B2845" s="1">
        <v>45151</v>
      </c>
      <c r="D2845">
        <v>39</v>
      </c>
      <c r="E2845" t="s">
        <v>6</v>
      </c>
      <c r="F2845" t="s">
        <v>7</v>
      </c>
    </row>
    <row r="2846" spans="1:6" x14ac:dyDescent="0.3">
      <c r="A2846">
        <v>182584521</v>
      </c>
      <c r="B2846" s="1">
        <v>45151</v>
      </c>
      <c r="D2846">
        <v>39</v>
      </c>
      <c r="E2846" t="s">
        <v>6</v>
      </c>
      <c r="F2846" t="s">
        <v>7</v>
      </c>
    </row>
    <row r="2847" spans="1:6" x14ac:dyDescent="0.3">
      <c r="A2847">
        <v>219955434</v>
      </c>
      <c r="B2847" s="1">
        <v>45151</v>
      </c>
      <c r="D2847">
        <v>39</v>
      </c>
      <c r="E2847" t="s">
        <v>6</v>
      </c>
      <c r="F2847" t="s">
        <v>7</v>
      </c>
    </row>
    <row r="2848" spans="1:6" x14ac:dyDescent="0.3">
      <c r="A2848">
        <v>219951440</v>
      </c>
      <c r="B2848" s="1">
        <v>45151</v>
      </c>
      <c r="D2848">
        <v>39</v>
      </c>
      <c r="E2848" t="s">
        <v>6</v>
      </c>
      <c r="F2848" t="s">
        <v>7</v>
      </c>
    </row>
    <row r="2849" spans="1:6" x14ac:dyDescent="0.3">
      <c r="A2849">
        <v>219808428</v>
      </c>
      <c r="B2849" s="1">
        <v>45151</v>
      </c>
      <c r="C2849" s="1">
        <v>45170</v>
      </c>
      <c r="D2849">
        <v>39</v>
      </c>
      <c r="E2849" t="s">
        <v>6</v>
      </c>
      <c r="F2849" t="s">
        <v>7</v>
      </c>
    </row>
    <row r="2850" spans="1:6" x14ac:dyDescent="0.3">
      <c r="A2850">
        <v>191034251</v>
      </c>
      <c r="B2850" s="1">
        <v>45152</v>
      </c>
      <c r="D2850">
        <v>39</v>
      </c>
      <c r="E2850" t="s">
        <v>6</v>
      </c>
      <c r="F2850" t="s">
        <v>7</v>
      </c>
    </row>
    <row r="2851" spans="1:6" x14ac:dyDescent="0.3">
      <c r="A2851">
        <v>220023196</v>
      </c>
      <c r="B2851" s="1">
        <v>45152</v>
      </c>
      <c r="D2851">
        <v>39</v>
      </c>
      <c r="E2851" t="s">
        <v>6</v>
      </c>
      <c r="F2851" t="s">
        <v>7</v>
      </c>
    </row>
    <row r="2852" spans="1:6" x14ac:dyDescent="0.3">
      <c r="A2852">
        <v>220028812</v>
      </c>
      <c r="B2852" s="1">
        <v>45152</v>
      </c>
      <c r="D2852">
        <v>39</v>
      </c>
      <c r="E2852" t="s">
        <v>6</v>
      </c>
      <c r="F2852" t="s">
        <v>7</v>
      </c>
    </row>
    <row r="2853" spans="1:6" x14ac:dyDescent="0.3">
      <c r="A2853">
        <v>195988242</v>
      </c>
      <c r="B2853" s="1">
        <v>45152</v>
      </c>
      <c r="D2853">
        <v>39</v>
      </c>
      <c r="E2853" t="s">
        <v>6</v>
      </c>
      <c r="F2853" t="s">
        <v>7</v>
      </c>
    </row>
    <row r="2854" spans="1:6" x14ac:dyDescent="0.3">
      <c r="A2854">
        <v>151633468</v>
      </c>
      <c r="B2854" s="1">
        <v>45152</v>
      </c>
      <c r="D2854">
        <v>39</v>
      </c>
      <c r="E2854" t="s">
        <v>6</v>
      </c>
      <c r="F2854" t="s">
        <v>7</v>
      </c>
    </row>
    <row r="2855" spans="1:6" x14ac:dyDescent="0.3">
      <c r="A2855">
        <v>220012044</v>
      </c>
      <c r="B2855" s="1">
        <v>45152</v>
      </c>
      <c r="D2855">
        <v>39</v>
      </c>
      <c r="E2855" t="s">
        <v>6</v>
      </c>
      <c r="F2855" t="s">
        <v>7</v>
      </c>
    </row>
    <row r="2856" spans="1:6" x14ac:dyDescent="0.3">
      <c r="A2856">
        <v>219981231</v>
      </c>
      <c r="B2856" s="1">
        <v>45152</v>
      </c>
      <c r="D2856">
        <v>39</v>
      </c>
      <c r="E2856" t="s">
        <v>6</v>
      </c>
      <c r="F2856" t="s">
        <v>7</v>
      </c>
    </row>
    <row r="2857" spans="1:6" x14ac:dyDescent="0.3">
      <c r="A2857">
        <v>169692209</v>
      </c>
      <c r="B2857" s="1">
        <v>45152</v>
      </c>
      <c r="D2857">
        <v>39</v>
      </c>
      <c r="E2857" t="s">
        <v>6</v>
      </c>
      <c r="F2857" t="s">
        <v>7</v>
      </c>
    </row>
    <row r="2858" spans="1:6" x14ac:dyDescent="0.3">
      <c r="A2858">
        <v>116156335</v>
      </c>
      <c r="B2858" s="1">
        <v>45152</v>
      </c>
      <c r="D2858">
        <v>39</v>
      </c>
      <c r="E2858" t="s">
        <v>6</v>
      </c>
      <c r="F2858" t="s">
        <v>7</v>
      </c>
    </row>
    <row r="2859" spans="1:6" x14ac:dyDescent="0.3">
      <c r="A2859">
        <v>153393340</v>
      </c>
      <c r="B2859" s="1">
        <v>45152</v>
      </c>
      <c r="D2859">
        <v>39</v>
      </c>
      <c r="E2859" t="s">
        <v>6</v>
      </c>
      <c r="F2859" t="s">
        <v>7</v>
      </c>
    </row>
    <row r="2860" spans="1:6" x14ac:dyDescent="0.3">
      <c r="A2860">
        <v>219974920</v>
      </c>
      <c r="B2860" s="1">
        <v>45152</v>
      </c>
      <c r="D2860">
        <v>39</v>
      </c>
      <c r="E2860" t="s">
        <v>6</v>
      </c>
      <c r="F2860" t="s">
        <v>7</v>
      </c>
    </row>
    <row r="2861" spans="1:6" x14ac:dyDescent="0.3">
      <c r="A2861">
        <v>121253113</v>
      </c>
      <c r="B2861" s="1">
        <v>45152</v>
      </c>
      <c r="C2861" s="1">
        <v>45154</v>
      </c>
      <c r="D2861">
        <v>39</v>
      </c>
      <c r="E2861" t="s">
        <v>6</v>
      </c>
      <c r="F2861" t="s">
        <v>7</v>
      </c>
    </row>
    <row r="2862" spans="1:6" x14ac:dyDescent="0.3">
      <c r="A2862">
        <v>219690296</v>
      </c>
      <c r="B2862" s="1">
        <v>45153</v>
      </c>
      <c r="D2862">
        <v>39</v>
      </c>
      <c r="E2862" t="s">
        <v>6</v>
      </c>
      <c r="F2862" t="s">
        <v>7</v>
      </c>
    </row>
    <row r="2863" spans="1:6" x14ac:dyDescent="0.3">
      <c r="A2863">
        <v>187268085</v>
      </c>
      <c r="B2863" s="1">
        <v>45153</v>
      </c>
      <c r="D2863">
        <v>39</v>
      </c>
      <c r="E2863" t="s">
        <v>6</v>
      </c>
      <c r="F2863" t="s">
        <v>7</v>
      </c>
    </row>
    <row r="2864" spans="1:6" x14ac:dyDescent="0.3">
      <c r="A2864">
        <v>150623785</v>
      </c>
      <c r="B2864" s="1">
        <v>45153</v>
      </c>
      <c r="D2864">
        <v>39</v>
      </c>
      <c r="E2864" t="s">
        <v>6</v>
      </c>
      <c r="F2864" t="s">
        <v>7</v>
      </c>
    </row>
    <row r="2865" spans="1:6" x14ac:dyDescent="0.3">
      <c r="A2865">
        <v>220056524</v>
      </c>
      <c r="B2865" s="1">
        <v>45153</v>
      </c>
      <c r="C2865" s="1">
        <v>45154</v>
      </c>
      <c r="D2865">
        <v>39</v>
      </c>
      <c r="E2865" t="s">
        <v>6</v>
      </c>
      <c r="F2865" t="s">
        <v>8</v>
      </c>
    </row>
    <row r="2866" spans="1:6" x14ac:dyDescent="0.3">
      <c r="A2866">
        <v>208188866</v>
      </c>
      <c r="B2866" s="1">
        <v>45154</v>
      </c>
      <c r="D2866">
        <v>39</v>
      </c>
      <c r="E2866" t="s">
        <v>6</v>
      </c>
      <c r="F2866" t="s">
        <v>7</v>
      </c>
    </row>
    <row r="2867" spans="1:6" x14ac:dyDescent="0.3">
      <c r="A2867">
        <v>219081046</v>
      </c>
      <c r="B2867" s="1">
        <v>45154</v>
      </c>
      <c r="D2867">
        <v>39</v>
      </c>
      <c r="E2867" t="s">
        <v>6</v>
      </c>
      <c r="F2867" t="s">
        <v>7</v>
      </c>
    </row>
    <row r="2868" spans="1:6" x14ac:dyDescent="0.3">
      <c r="A2868">
        <v>219569143</v>
      </c>
      <c r="B2868" s="1">
        <v>45154</v>
      </c>
      <c r="D2868">
        <v>39</v>
      </c>
      <c r="E2868" t="s">
        <v>6</v>
      </c>
      <c r="F2868" t="s">
        <v>7</v>
      </c>
    </row>
    <row r="2869" spans="1:6" x14ac:dyDescent="0.3">
      <c r="A2869">
        <v>219653068</v>
      </c>
      <c r="B2869" s="1">
        <v>45154</v>
      </c>
      <c r="D2869">
        <v>39</v>
      </c>
      <c r="E2869" t="s">
        <v>6</v>
      </c>
      <c r="F2869" t="s">
        <v>7</v>
      </c>
    </row>
    <row r="2870" spans="1:6" x14ac:dyDescent="0.3">
      <c r="A2870">
        <v>220120740</v>
      </c>
      <c r="B2870" s="1">
        <v>45154</v>
      </c>
      <c r="D2870">
        <v>39</v>
      </c>
      <c r="E2870" t="s">
        <v>6</v>
      </c>
      <c r="F2870" t="s">
        <v>7</v>
      </c>
    </row>
    <row r="2871" spans="1:6" x14ac:dyDescent="0.3">
      <c r="A2871">
        <v>186200901</v>
      </c>
      <c r="B2871" s="1">
        <v>45154</v>
      </c>
      <c r="D2871">
        <v>39</v>
      </c>
      <c r="E2871" t="s">
        <v>6</v>
      </c>
      <c r="F2871" t="s">
        <v>7</v>
      </c>
    </row>
    <row r="2872" spans="1:6" x14ac:dyDescent="0.3">
      <c r="A2872">
        <v>220116966</v>
      </c>
      <c r="B2872" s="1">
        <v>45154</v>
      </c>
      <c r="D2872">
        <v>39</v>
      </c>
      <c r="E2872" t="s">
        <v>6</v>
      </c>
      <c r="F2872" t="s">
        <v>7</v>
      </c>
    </row>
    <row r="2873" spans="1:6" x14ac:dyDescent="0.3">
      <c r="A2873">
        <v>219876215</v>
      </c>
      <c r="B2873" s="1">
        <v>45154</v>
      </c>
      <c r="D2873">
        <v>39</v>
      </c>
      <c r="E2873" t="s">
        <v>6</v>
      </c>
      <c r="F2873" t="s">
        <v>7</v>
      </c>
    </row>
    <row r="2874" spans="1:6" x14ac:dyDescent="0.3">
      <c r="A2874">
        <v>219996796</v>
      </c>
      <c r="B2874" s="1">
        <v>45154</v>
      </c>
      <c r="D2874">
        <v>39</v>
      </c>
      <c r="E2874" t="s">
        <v>6</v>
      </c>
      <c r="F2874" t="s">
        <v>7</v>
      </c>
    </row>
    <row r="2875" spans="1:6" x14ac:dyDescent="0.3">
      <c r="A2875">
        <v>218296652</v>
      </c>
      <c r="B2875" s="1">
        <v>45154</v>
      </c>
      <c r="D2875">
        <v>39</v>
      </c>
      <c r="E2875" t="s">
        <v>6</v>
      </c>
      <c r="F2875" t="s">
        <v>7</v>
      </c>
    </row>
    <row r="2876" spans="1:6" x14ac:dyDescent="0.3">
      <c r="A2876">
        <v>188748372</v>
      </c>
      <c r="B2876" s="1">
        <v>45154</v>
      </c>
      <c r="D2876">
        <v>39</v>
      </c>
      <c r="E2876" t="s">
        <v>6</v>
      </c>
      <c r="F2876" t="s">
        <v>7</v>
      </c>
    </row>
    <row r="2877" spans="1:6" x14ac:dyDescent="0.3">
      <c r="A2877">
        <v>220080560</v>
      </c>
      <c r="B2877" s="1">
        <v>45154</v>
      </c>
      <c r="D2877">
        <v>39</v>
      </c>
      <c r="E2877" t="s">
        <v>6</v>
      </c>
      <c r="F2877" t="s">
        <v>7</v>
      </c>
    </row>
    <row r="2878" spans="1:6" x14ac:dyDescent="0.3">
      <c r="A2878">
        <v>219899496</v>
      </c>
      <c r="B2878" s="1">
        <v>45155</v>
      </c>
      <c r="D2878">
        <v>39</v>
      </c>
      <c r="E2878" t="s">
        <v>6</v>
      </c>
      <c r="F2878" t="s">
        <v>7</v>
      </c>
    </row>
    <row r="2879" spans="1:6" x14ac:dyDescent="0.3">
      <c r="A2879">
        <v>219000322</v>
      </c>
      <c r="B2879" s="1">
        <v>45155</v>
      </c>
      <c r="D2879">
        <v>39</v>
      </c>
      <c r="E2879" t="s">
        <v>6</v>
      </c>
      <c r="F2879" t="s">
        <v>7</v>
      </c>
    </row>
    <row r="2880" spans="1:6" x14ac:dyDescent="0.3">
      <c r="A2880">
        <v>220181992</v>
      </c>
      <c r="B2880" s="1">
        <v>45155</v>
      </c>
      <c r="D2880">
        <v>39</v>
      </c>
      <c r="E2880" t="s">
        <v>6</v>
      </c>
      <c r="F2880" t="s">
        <v>7</v>
      </c>
    </row>
    <row r="2881" spans="1:6" x14ac:dyDescent="0.3">
      <c r="A2881">
        <v>220196419</v>
      </c>
      <c r="B2881" s="1">
        <v>45155</v>
      </c>
      <c r="D2881">
        <v>39</v>
      </c>
      <c r="E2881" t="s">
        <v>6</v>
      </c>
      <c r="F2881" t="s">
        <v>7</v>
      </c>
    </row>
    <row r="2882" spans="1:6" x14ac:dyDescent="0.3">
      <c r="A2882">
        <v>220155197</v>
      </c>
      <c r="B2882" s="1">
        <v>45155</v>
      </c>
      <c r="D2882">
        <v>39</v>
      </c>
      <c r="E2882" t="s">
        <v>6</v>
      </c>
      <c r="F2882" t="s">
        <v>7</v>
      </c>
    </row>
    <row r="2883" spans="1:6" x14ac:dyDescent="0.3">
      <c r="A2883">
        <v>220144619</v>
      </c>
      <c r="B2883" s="1">
        <v>45155</v>
      </c>
      <c r="D2883">
        <v>39</v>
      </c>
      <c r="E2883" t="s">
        <v>6</v>
      </c>
      <c r="F2883" t="s">
        <v>7</v>
      </c>
    </row>
    <row r="2884" spans="1:6" x14ac:dyDescent="0.3">
      <c r="A2884">
        <v>220184550</v>
      </c>
      <c r="B2884" s="1">
        <v>45155</v>
      </c>
      <c r="D2884">
        <v>39</v>
      </c>
      <c r="E2884" t="s">
        <v>6</v>
      </c>
      <c r="F2884" t="s">
        <v>7</v>
      </c>
    </row>
    <row r="2885" spans="1:6" x14ac:dyDescent="0.3">
      <c r="A2885">
        <v>152209352</v>
      </c>
      <c r="B2885" s="1">
        <v>45155</v>
      </c>
      <c r="D2885">
        <v>39</v>
      </c>
      <c r="E2885" t="s">
        <v>6</v>
      </c>
      <c r="F2885" t="s">
        <v>7</v>
      </c>
    </row>
    <row r="2886" spans="1:6" x14ac:dyDescent="0.3">
      <c r="A2886">
        <v>146952862</v>
      </c>
      <c r="B2886" s="1">
        <v>45155</v>
      </c>
      <c r="D2886">
        <v>39</v>
      </c>
      <c r="E2886" t="s">
        <v>6</v>
      </c>
      <c r="F2886" t="s">
        <v>7</v>
      </c>
    </row>
    <row r="2887" spans="1:6" x14ac:dyDescent="0.3">
      <c r="A2887">
        <v>220178530</v>
      </c>
      <c r="B2887" s="1">
        <v>45155</v>
      </c>
      <c r="D2887">
        <v>39</v>
      </c>
      <c r="E2887" t="s">
        <v>6</v>
      </c>
      <c r="F2887" t="s">
        <v>7</v>
      </c>
    </row>
    <row r="2888" spans="1:6" x14ac:dyDescent="0.3">
      <c r="A2888">
        <v>219498470</v>
      </c>
      <c r="B2888" s="1">
        <v>45155</v>
      </c>
      <c r="D2888">
        <v>39</v>
      </c>
      <c r="E2888" t="s">
        <v>6</v>
      </c>
      <c r="F2888" t="s">
        <v>7</v>
      </c>
    </row>
    <row r="2889" spans="1:6" x14ac:dyDescent="0.3">
      <c r="A2889">
        <v>216622895</v>
      </c>
      <c r="B2889" s="1">
        <v>45155</v>
      </c>
      <c r="D2889">
        <v>39</v>
      </c>
      <c r="E2889" t="s">
        <v>6</v>
      </c>
      <c r="F2889" t="s">
        <v>7</v>
      </c>
    </row>
    <row r="2890" spans="1:6" x14ac:dyDescent="0.3">
      <c r="A2890">
        <v>153705354</v>
      </c>
      <c r="B2890" s="1">
        <v>45155</v>
      </c>
      <c r="C2890" s="1">
        <v>45155</v>
      </c>
      <c r="D2890">
        <v>39</v>
      </c>
      <c r="E2890" t="s">
        <v>6</v>
      </c>
      <c r="F2890" t="s">
        <v>7</v>
      </c>
    </row>
    <row r="2891" spans="1:6" x14ac:dyDescent="0.3">
      <c r="A2891">
        <v>219280628</v>
      </c>
      <c r="B2891" s="1">
        <v>45155</v>
      </c>
      <c r="C2891" s="1">
        <v>45156</v>
      </c>
      <c r="D2891">
        <v>39</v>
      </c>
      <c r="E2891" t="s">
        <v>6</v>
      </c>
      <c r="F2891" t="s">
        <v>8</v>
      </c>
    </row>
    <row r="2892" spans="1:6" x14ac:dyDescent="0.3">
      <c r="A2892">
        <v>220171290</v>
      </c>
      <c r="B2892" s="1">
        <v>45156</v>
      </c>
      <c r="D2892">
        <v>39</v>
      </c>
      <c r="E2892" t="s">
        <v>6</v>
      </c>
      <c r="F2892" t="s">
        <v>7</v>
      </c>
    </row>
    <row r="2893" spans="1:6" x14ac:dyDescent="0.3">
      <c r="A2893">
        <v>219553060</v>
      </c>
      <c r="B2893" s="1">
        <v>45156</v>
      </c>
      <c r="D2893">
        <v>39</v>
      </c>
      <c r="E2893" t="s">
        <v>6</v>
      </c>
      <c r="F2893" t="s">
        <v>7</v>
      </c>
    </row>
    <row r="2894" spans="1:6" x14ac:dyDescent="0.3">
      <c r="A2894">
        <v>220244827</v>
      </c>
      <c r="B2894" s="1">
        <v>45156</v>
      </c>
      <c r="D2894">
        <v>39</v>
      </c>
      <c r="E2894" t="s">
        <v>6</v>
      </c>
      <c r="F2894" t="s">
        <v>7</v>
      </c>
    </row>
    <row r="2895" spans="1:6" x14ac:dyDescent="0.3">
      <c r="A2895">
        <v>219612883</v>
      </c>
      <c r="B2895" s="1">
        <v>45156</v>
      </c>
      <c r="D2895">
        <v>39</v>
      </c>
      <c r="E2895" t="s">
        <v>6</v>
      </c>
      <c r="F2895" t="s">
        <v>7</v>
      </c>
    </row>
    <row r="2896" spans="1:6" x14ac:dyDescent="0.3">
      <c r="A2896">
        <v>217914279</v>
      </c>
      <c r="B2896" s="1">
        <v>45156</v>
      </c>
      <c r="D2896">
        <v>39</v>
      </c>
      <c r="E2896" t="s">
        <v>6</v>
      </c>
      <c r="F2896" t="s">
        <v>7</v>
      </c>
    </row>
    <row r="2897" spans="1:6" x14ac:dyDescent="0.3">
      <c r="A2897">
        <v>220171851</v>
      </c>
      <c r="B2897" s="1">
        <v>45156</v>
      </c>
      <c r="D2897">
        <v>39</v>
      </c>
      <c r="E2897" t="s">
        <v>6</v>
      </c>
      <c r="F2897" t="s">
        <v>7</v>
      </c>
    </row>
    <row r="2898" spans="1:6" x14ac:dyDescent="0.3">
      <c r="A2898">
        <v>217543308</v>
      </c>
      <c r="B2898" s="1">
        <v>45156</v>
      </c>
      <c r="D2898">
        <v>39</v>
      </c>
      <c r="E2898" t="s">
        <v>6</v>
      </c>
      <c r="F2898" t="s">
        <v>7</v>
      </c>
    </row>
    <row r="2899" spans="1:6" x14ac:dyDescent="0.3">
      <c r="A2899">
        <v>157008330</v>
      </c>
      <c r="B2899" s="1">
        <v>45156</v>
      </c>
      <c r="C2899" s="1">
        <v>45156</v>
      </c>
      <c r="D2899">
        <v>39</v>
      </c>
      <c r="E2899" t="s">
        <v>6</v>
      </c>
      <c r="F2899" t="s">
        <v>7</v>
      </c>
    </row>
    <row r="2900" spans="1:6" x14ac:dyDescent="0.3">
      <c r="A2900">
        <v>206063908</v>
      </c>
      <c r="B2900" s="1">
        <v>45156</v>
      </c>
      <c r="C2900" s="1">
        <v>45176</v>
      </c>
      <c r="D2900">
        <v>39</v>
      </c>
      <c r="E2900" t="s">
        <v>6</v>
      </c>
      <c r="F2900" t="s">
        <v>7</v>
      </c>
    </row>
    <row r="2901" spans="1:6" x14ac:dyDescent="0.3">
      <c r="A2901">
        <v>220182716</v>
      </c>
      <c r="B2901" s="1">
        <v>45156</v>
      </c>
      <c r="C2901" s="1">
        <v>45157</v>
      </c>
      <c r="D2901">
        <v>39</v>
      </c>
      <c r="E2901" t="s">
        <v>6</v>
      </c>
      <c r="F2901" t="s">
        <v>8</v>
      </c>
    </row>
    <row r="2902" spans="1:6" x14ac:dyDescent="0.3">
      <c r="A2902">
        <v>202103959</v>
      </c>
      <c r="B2902" s="1">
        <v>45157</v>
      </c>
      <c r="D2902">
        <v>39</v>
      </c>
      <c r="E2902" t="s">
        <v>6</v>
      </c>
      <c r="F2902" t="s">
        <v>7</v>
      </c>
    </row>
    <row r="2903" spans="1:6" x14ac:dyDescent="0.3">
      <c r="A2903">
        <v>218757796</v>
      </c>
      <c r="B2903" s="1">
        <v>45157</v>
      </c>
      <c r="D2903">
        <v>39</v>
      </c>
      <c r="E2903" t="s">
        <v>6</v>
      </c>
      <c r="F2903" t="s">
        <v>7</v>
      </c>
    </row>
    <row r="2904" spans="1:6" x14ac:dyDescent="0.3">
      <c r="A2904">
        <v>220272556</v>
      </c>
      <c r="B2904" s="1">
        <v>45157</v>
      </c>
      <c r="D2904">
        <v>39</v>
      </c>
      <c r="E2904" t="s">
        <v>6</v>
      </c>
      <c r="F2904" t="s">
        <v>7</v>
      </c>
    </row>
    <row r="2905" spans="1:6" x14ac:dyDescent="0.3">
      <c r="A2905">
        <v>219493644</v>
      </c>
      <c r="B2905" s="1">
        <v>45157</v>
      </c>
      <c r="D2905">
        <v>39</v>
      </c>
      <c r="E2905" t="s">
        <v>6</v>
      </c>
      <c r="F2905" t="s">
        <v>7</v>
      </c>
    </row>
    <row r="2906" spans="1:6" x14ac:dyDescent="0.3">
      <c r="A2906">
        <v>148996798</v>
      </c>
      <c r="B2906" s="1">
        <v>45157</v>
      </c>
      <c r="D2906">
        <v>39</v>
      </c>
      <c r="E2906" t="s">
        <v>6</v>
      </c>
      <c r="F2906" t="s">
        <v>7</v>
      </c>
    </row>
    <row r="2907" spans="1:6" x14ac:dyDescent="0.3">
      <c r="A2907">
        <v>218947678</v>
      </c>
      <c r="B2907" s="1">
        <v>45157</v>
      </c>
      <c r="D2907">
        <v>39</v>
      </c>
      <c r="E2907" t="s">
        <v>6</v>
      </c>
      <c r="F2907" t="s">
        <v>7</v>
      </c>
    </row>
    <row r="2908" spans="1:6" x14ac:dyDescent="0.3">
      <c r="A2908">
        <v>119465934</v>
      </c>
      <c r="B2908" s="1">
        <v>45157</v>
      </c>
      <c r="D2908">
        <v>39</v>
      </c>
      <c r="E2908" t="s">
        <v>6</v>
      </c>
      <c r="F2908" t="s">
        <v>7</v>
      </c>
    </row>
    <row r="2909" spans="1:6" x14ac:dyDescent="0.3">
      <c r="A2909">
        <v>219195061</v>
      </c>
      <c r="B2909" s="1">
        <v>45157</v>
      </c>
      <c r="D2909">
        <v>39</v>
      </c>
      <c r="E2909" t="s">
        <v>6</v>
      </c>
      <c r="F2909" t="s">
        <v>7</v>
      </c>
    </row>
    <row r="2910" spans="1:6" x14ac:dyDescent="0.3">
      <c r="A2910">
        <v>219637590</v>
      </c>
      <c r="B2910" s="1">
        <v>45157</v>
      </c>
      <c r="C2910" s="1">
        <v>45163</v>
      </c>
      <c r="D2910">
        <v>39</v>
      </c>
      <c r="E2910" t="s">
        <v>6</v>
      </c>
      <c r="F2910" t="s">
        <v>7</v>
      </c>
    </row>
    <row r="2911" spans="1:6" x14ac:dyDescent="0.3">
      <c r="A2911">
        <v>218878930</v>
      </c>
      <c r="B2911" s="1">
        <v>45158</v>
      </c>
      <c r="D2911">
        <v>39</v>
      </c>
      <c r="E2911" t="s">
        <v>6</v>
      </c>
      <c r="F2911" t="s">
        <v>7</v>
      </c>
    </row>
    <row r="2912" spans="1:6" x14ac:dyDescent="0.3">
      <c r="A2912">
        <v>134622358</v>
      </c>
      <c r="B2912" s="1">
        <v>45158</v>
      </c>
      <c r="D2912">
        <v>39</v>
      </c>
      <c r="E2912" t="s">
        <v>6</v>
      </c>
      <c r="F2912" t="s">
        <v>7</v>
      </c>
    </row>
    <row r="2913" spans="1:6" x14ac:dyDescent="0.3">
      <c r="A2913">
        <v>219237524</v>
      </c>
      <c r="B2913" s="1">
        <v>45158</v>
      </c>
      <c r="D2913">
        <v>39</v>
      </c>
      <c r="E2913" t="s">
        <v>6</v>
      </c>
      <c r="F2913" t="s">
        <v>7</v>
      </c>
    </row>
    <row r="2914" spans="1:6" x14ac:dyDescent="0.3">
      <c r="A2914">
        <v>147320092</v>
      </c>
      <c r="B2914" s="1">
        <v>45158</v>
      </c>
      <c r="D2914">
        <v>39</v>
      </c>
      <c r="E2914" t="s">
        <v>6</v>
      </c>
      <c r="F2914" t="s">
        <v>7</v>
      </c>
    </row>
    <row r="2915" spans="1:6" x14ac:dyDescent="0.3">
      <c r="A2915">
        <v>219953886</v>
      </c>
      <c r="B2915" s="1">
        <v>45158</v>
      </c>
      <c r="D2915">
        <v>39</v>
      </c>
      <c r="E2915" t="s">
        <v>6</v>
      </c>
      <c r="F2915" t="s">
        <v>7</v>
      </c>
    </row>
    <row r="2916" spans="1:6" x14ac:dyDescent="0.3">
      <c r="A2916">
        <v>207013932</v>
      </c>
      <c r="B2916" s="1">
        <v>45158</v>
      </c>
      <c r="C2916" s="1">
        <v>45158</v>
      </c>
      <c r="D2916">
        <v>39</v>
      </c>
      <c r="E2916" t="s">
        <v>6</v>
      </c>
      <c r="F2916" t="s">
        <v>8</v>
      </c>
    </row>
    <row r="2917" spans="1:6" x14ac:dyDescent="0.3">
      <c r="A2917">
        <v>205274562</v>
      </c>
      <c r="B2917" s="1">
        <v>45159</v>
      </c>
      <c r="D2917">
        <v>39</v>
      </c>
      <c r="E2917" t="s">
        <v>6</v>
      </c>
      <c r="F2917" t="s">
        <v>7</v>
      </c>
    </row>
    <row r="2918" spans="1:6" x14ac:dyDescent="0.3">
      <c r="A2918">
        <v>152698255</v>
      </c>
      <c r="B2918" s="1">
        <v>45159</v>
      </c>
      <c r="D2918">
        <v>39</v>
      </c>
      <c r="E2918" t="s">
        <v>6</v>
      </c>
      <c r="F2918" t="s">
        <v>7</v>
      </c>
    </row>
    <row r="2919" spans="1:6" x14ac:dyDescent="0.3">
      <c r="A2919">
        <v>209361492</v>
      </c>
      <c r="B2919" s="1">
        <v>45159</v>
      </c>
      <c r="D2919">
        <v>39</v>
      </c>
      <c r="E2919" t="s">
        <v>6</v>
      </c>
      <c r="F2919" t="s">
        <v>7</v>
      </c>
    </row>
    <row r="2920" spans="1:6" x14ac:dyDescent="0.3">
      <c r="A2920">
        <v>205530810</v>
      </c>
      <c r="B2920" s="1">
        <v>45159</v>
      </c>
      <c r="D2920">
        <v>39</v>
      </c>
      <c r="E2920" t="s">
        <v>6</v>
      </c>
      <c r="F2920" t="s">
        <v>7</v>
      </c>
    </row>
    <row r="2921" spans="1:6" x14ac:dyDescent="0.3">
      <c r="A2921">
        <v>220343801</v>
      </c>
      <c r="B2921" s="1">
        <v>45159</v>
      </c>
      <c r="D2921">
        <v>39</v>
      </c>
      <c r="E2921" t="s">
        <v>6</v>
      </c>
      <c r="F2921" t="s">
        <v>7</v>
      </c>
    </row>
    <row r="2922" spans="1:6" x14ac:dyDescent="0.3">
      <c r="A2922">
        <v>150441222</v>
      </c>
      <c r="B2922" s="1">
        <v>45159</v>
      </c>
      <c r="D2922">
        <v>39</v>
      </c>
      <c r="E2922" t="s">
        <v>6</v>
      </c>
      <c r="F2922" t="s">
        <v>7</v>
      </c>
    </row>
    <row r="2923" spans="1:6" x14ac:dyDescent="0.3">
      <c r="A2923">
        <v>214640803</v>
      </c>
      <c r="B2923" s="1">
        <v>45159</v>
      </c>
      <c r="D2923">
        <v>39</v>
      </c>
      <c r="E2923" t="s">
        <v>6</v>
      </c>
      <c r="F2923" t="s">
        <v>7</v>
      </c>
    </row>
    <row r="2924" spans="1:6" x14ac:dyDescent="0.3">
      <c r="A2924">
        <v>219569853</v>
      </c>
      <c r="B2924" s="1">
        <v>45159</v>
      </c>
      <c r="D2924">
        <v>39</v>
      </c>
      <c r="E2924" t="s">
        <v>6</v>
      </c>
      <c r="F2924" t="s">
        <v>7</v>
      </c>
    </row>
    <row r="2925" spans="1:6" x14ac:dyDescent="0.3">
      <c r="A2925">
        <v>220197494</v>
      </c>
      <c r="B2925" s="1">
        <v>45159</v>
      </c>
      <c r="D2925">
        <v>39</v>
      </c>
      <c r="E2925" t="s">
        <v>6</v>
      </c>
      <c r="F2925" t="s">
        <v>7</v>
      </c>
    </row>
    <row r="2926" spans="1:6" x14ac:dyDescent="0.3">
      <c r="A2926">
        <v>220323698</v>
      </c>
      <c r="B2926" s="1">
        <v>45159</v>
      </c>
      <c r="D2926">
        <v>39</v>
      </c>
      <c r="E2926" t="s">
        <v>6</v>
      </c>
      <c r="F2926" t="s">
        <v>7</v>
      </c>
    </row>
    <row r="2927" spans="1:6" x14ac:dyDescent="0.3">
      <c r="A2927">
        <v>215180470</v>
      </c>
      <c r="B2927" s="1">
        <v>45159</v>
      </c>
      <c r="C2927" s="1">
        <v>45159</v>
      </c>
      <c r="D2927">
        <v>39</v>
      </c>
      <c r="E2927" t="s">
        <v>6</v>
      </c>
      <c r="F2927" t="s">
        <v>7</v>
      </c>
    </row>
    <row r="2928" spans="1:6" x14ac:dyDescent="0.3">
      <c r="A2928">
        <v>177323966</v>
      </c>
      <c r="B2928" s="1">
        <v>45159</v>
      </c>
      <c r="C2928" s="1">
        <v>45166</v>
      </c>
      <c r="D2928">
        <v>39</v>
      </c>
      <c r="E2928" t="s">
        <v>6</v>
      </c>
      <c r="F2928" t="s">
        <v>7</v>
      </c>
    </row>
    <row r="2929" spans="1:6" x14ac:dyDescent="0.3">
      <c r="A2929">
        <v>214682826</v>
      </c>
      <c r="B2929" s="1">
        <v>45159</v>
      </c>
      <c r="C2929" s="1">
        <v>45160</v>
      </c>
      <c r="D2929">
        <v>39</v>
      </c>
      <c r="E2929" t="s">
        <v>6</v>
      </c>
      <c r="F2929" t="s">
        <v>7</v>
      </c>
    </row>
    <row r="2930" spans="1:6" x14ac:dyDescent="0.3">
      <c r="A2930">
        <v>220414820</v>
      </c>
      <c r="B2930" s="1">
        <v>45160</v>
      </c>
      <c r="D2930">
        <v>39</v>
      </c>
      <c r="E2930" t="s">
        <v>6</v>
      </c>
      <c r="F2930" t="s">
        <v>7</v>
      </c>
    </row>
    <row r="2931" spans="1:6" x14ac:dyDescent="0.3">
      <c r="A2931">
        <v>214682826</v>
      </c>
      <c r="B2931" s="1">
        <v>45160</v>
      </c>
      <c r="D2931">
        <v>39</v>
      </c>
      <c r="E2931" t="s">
        <v>6</v>
      </c>
      <c r="F2931" t="s">
        <v>7</v>
      </c>
    </row>
    <row r="2932" spans="1:6" x14ac:dyDescent="0.3">
      <c r="A2932">
        <v>206147500</v>
      </c>
      <c r="B2932" s="1">
        <v>45160</v>
      </c>
      <c r="D2932">
        <v>39</v>
      </c>
      <c r="E2932" t="s">
        <v>6</v>
      </c>
      <c r="F2932" t="s">
        <v>7</v>
      </c>
    </row>
    <row r="2933" spans="1:6" x14ac:dyDescent="0.3">
      <c r="A2933">
        <v>220402308</v>
      </c>
      <c r="B2933" s="1">
        <v>45160</v>
      </c>
      <c r="D2933">
        <v>39</v>
      </c>
      <c r="E2933" t="s">
        <v>6</v>
      </c>
      <c r="F2933" t="s">
        <v>7</v>
      </c>
    </row>
    <row r="2934" spans="1:6" x14ac:dyDescent="0.3">
      <c r="A2934">
        <v>220205806</v>
      </c>
      <c r="B2934" s="1">
        <v>45160</v>
      </c>
      <c r="D2934">
        <v>39</v>
      </c>
      <c r="E2934" t="s">
        <v>6</v>
      </c>
      <c r="F2934" t="s">
        <v>7</v>
      </c>
    </row>
    <row r="2935" spans="1:6" x14ac:dyDescent="0.3">
      <c r="A2935">
        <v>152792045</v>
      </c>
      <c r="B2935" s="1">
        <v>45160</v>
      </c>
      <c r="D2935">
        <v>39</v>
      </c>
      <c r="E2935" t="s">
        <v>6</v>
      </c>
      <c r="F2935" t="s">
        <v>7</v>
      </c>
    </row>
    <row r="2936" spans="1:6" x14ac:dyDescent="0.3">
      <c r="A2936">
        <v>220381016</v>
      </c>
      <c r="B2936" s="1">
        <v>45160</v>
      </c>
      <c r="D2936">
        <v>39</v>
      </c>
      <c r="E2936" t="s">
        <v>6</v>
      </c>
      <c r="F2936" t="s">
        <v>7</v>
      </c>
    </row>
    <row r="2937" spans="1:6" x14ac:dyDescent="0.3">
      <c r="A2937">
        <v>220385078</v>
      </c>
      <c r="B2937" s="1">
        <v>45160</v>
      </c>
      <c r="D2937">
        <v>39</v>
      </c>
      <c r="E2937" t="s">
        <v>6</v>
      </c>
      <c r="F2937" t="s">
        <v>7</v>
      </c>
    </row>
    <row r="2938" spans="1:6" x14ac:dyDescent="0.3">
      <c r="A2938">
        <v>220414853</v>
      </c>
      <c r="B2938" s="1">
        <v>45160</v>
      </c>
      <c r="D2938">
        <v>39</v>
      </c>
      <c r="E2938" t="s">
        <v>6</v>
      </c>
      <c r="F2938" t="s">
        <v>7</v>
      </c>
    </row>
    <row r="2939" spans="1:6" x14ac:dyDescent="0.3">
      <c r="A2939">
        <v>220366524</v>
      </c>
      <c r="B2939" s="1">
        <v>45160</v>
      </c>
      <c r="D2939">
        <v>39</v>
      </c>
      <c r="E2939" t="s">
        <v>6</v>
      </c>
      <c r="F2939" t="s">
        <v>7</v>
      </c>
    </row>
    <row r="2940" spans="1:6" x14ac:dyDescent="0.3">
      <c r="A2940">
        <v>220407436</v>
      </c>
      <c r="B2940" s="1">
        <v>45160</v>
      </c>
      <c r="C2940" s="1">
        <v>45161</v>
      </c>
      <c r="D2940">
        <v>39</v>
      </c>
      <c r="E2940" t="s">
        <v>6</v>
      </c>
      <c r="F2940" t="s">
        <v>8</v>
      </c>
    </row>
    <row r="2941" spans="1:6" x14ac:dyDescent="0.3">
      <c r="A2941">
        <v>192182455</v>
      </c>
      <c r="B2941" s="1">
        <v>45161</v>
      </c>
      <c r="D2941">
        <v>39</v>
      </c>
      <c r="E2941" t="s">
        <v>6</v>
      </c>
      <c r="F2941" t="s">
        <v>7</v>
      </c>
    </row>
    <row r="2942" spans="1:6" x14ac:dyDescent="0.3">
      <c r="A2942">
        <v>219439597</v>
      </c>
      <c r="B2942" s="1">
        <v>45161</v>
      </c>
      <c r="D2942">
        <v>39</v>
      </c>
      <c r="E2942" t="s">
        <v>6</v>
      </c>
      <c r="F2942" t="s">
        <v>7</v>
      </c>
    </row>
    <row r="2943" spans="1:6" x14ac:dyDescent="0.3">
      <c r="A2943">
        <v>219576812</v>
      </c>
      <c r="B2943" s="1">
        <v>45161</v>
      </c>
      <c r="D2943">
        <v>39</v>
      </c>
      <c r="E2943" t="s">
        <v>6</v>
      </c>
      <c r="F2943" t="s">
        <v>7</v>
      </c>
    </row>
    <row r="2944" spans="1:6" x14ac:dyDescent="0.3">
      <c r="A2944">
        <v>143111905</v>
      </c>
      <c r="B2944" s="1">
        <v>45161</v>
      </c>
      <c r="D2944">
        <v>39</v>
      </c>
      <c r="E2944" t="s">
        <v>6</v>
      </c>
      <c r="F2944" t="s">
        <v>7</v>
      </c>
    </row>
    <row r="2945" spans="1:6" x14ac:dyDescent="0.3">
      <c r="A2945">
        <v>123297208</v>
      </c>
      <c r="B2945" s="1">
        <v>45161</v>
      </c>
      <c r="D2945">
        <v>39</v>
      </c>
      <c r="E2945" t="s">
        <v>6</v>
      </c>
      <c r="F2945" t="s">
        <v>7</v>
      </c>
    </row>
    <row r="2946" spans="1:6" x14ac:dyDescent="0.3">
      <c r="A2946">
        <v>213194584</v>
      </c>
      <c r="B2946" s="1">
        <v>45161</v>
      </c>
      <c r="D2946">
        <v>39</v>
      </c>
      <c r="E2946" t="s">
        <v>6</v>
      </c>
      <c r="F2946" t="s">
        <v>7</v>
      </c>
    </row>
    <row r="2947" spans="1:6" x14ac:dyDescent="0.3">
      <c r="A2947">
        <v>220455205</v>
      </c>
      <c r="B2947" s="1">
        <v>45161</v>
      </c>
      <c r="D2947">
        <v>39</v>
      </c>
      <c r="E2947" t="s">
        <v>6</v>
      </c>
      <c r="F2947" t="s">
        <v>7</v>
      </c>
    </row>
    <row r="2948" spans="1:6" x14ac:dyDescent="0.3">
      <c r="A2948">
        <v>220425056</v>
      </c>
      <c r="B2948" s="1">
        <v>45161</v>
      </c>
      <c r="D2948">
        <v>39</v>
      </c>
      <c r="E2948" t="s">
        <v>6</v>
      </c>
      <c r="F2948" t="s">
        <v>7</v>
      </c>
    </row>
    <row r="2949" spans="1:6" x14ac:dyDescent="0.3">
      <c r="A2949">
        <v>219685108</v>
      </c>
      <c r="B2949" s="1">
        <v>45161</v>
      </c>
      <c r="D2949">
        <v>39</v>
      </c>
      <c r="E2949" t="s">
        <v>6</v>
      </c>
      <c r="F2949" t="s">
        <v>7</v>
      </c>
    </row>
    <row r="2950" spans="1:6" x14ac:dyDescent="0.3">
      <c r="A2950">
        <v>220531090</v>
      </c>
      <c r="B2950" s="1">
        <v>45162</v>
      </c>
      <c r="D2950">
        <v>39</v>
      </c>
      <c r="E2950" t="s">
        <v>6</v>
      </c>
      <c r="F2950" t="s">
        <v>7</v>
      </c>
    </row>
    <row r="2951" spans="1:6" x14ac:dyDescent="0.3">
      <c r="A2951">
        <v>220510482</v>
      </c>
      <c r="B2951" s="1">
        <v>45162</v>
      </c>
      <c r="D2951">
        <v>39</v>
      </c>
      <c r="E2951" t="s">
        <v>6</v>
      </c>
      <c r="F2951" t="s">
        <v>7</v>
      </c>
    </row>
    <row r="2952" spans="1:6" x14ac:dyDescent="0.3">
      <c r="A2952">
        <v>149856123</v>
      </c>
      <c r="B2952" s="1">
        <v>45162</v>
      </c>
      <c r="D2952">
        <v>39</v>
      </c>
      <c r="E2952" t="s">
        <v>6</v>
      </c>
      <c r="F2952" t="s">
        <v>7</v>
      </c>
    </row>
    <row r="2953" spans="1:6" x14ac:dyDescent="0.3">
      <c r="A2953">
        <v>217506938</v>
      </c>
      <c r="B2953" s="1">
        <v>45162</v>
      </c>
      <c r="D2953">
        <v>39</v>
      </c>
      <c r="E2953" t="s">
        <v>6</v>
      </c>
      <c r="F2953" t="s">
        <v>7</v>
      </c>
    </row>
    <row r="2954" spans="1:6" x14ac:dyDescent="0.3">
      <c r="A2954">
        <v>189403535</v>
      </c>
      <c r="B2954" s="1">
        <v>45162</v>
      </c>
      <c r="D2954">
        <v>39</v>
      </c>
      <c r="E2954" t="s">
        <v>6</v>
      </c>
      <c r="F2954" t="s">
        <v>7</v>
      </c>
    </row>
    <row r="2955" spans="1:6" x14ac:dyDescent="0.3">
      <c r="A2955">
        <v>132318451</v>
      </c>
      <c r="B2955" s="1">
        <v>45162</v>
      </c>
      <c r="C2955" s="1">
        <v>45163</v>
      </c>
      <c r="D2955">
        <v>39</v>
      </c>
      <c r="E2955" t="s">
        <v>6</v>
      </c>
      <c r="F2955" t="s">
        <v>7</v>
      </c>
    </row>
    <row r="2956" spans="1:6" x14ac:dyDescent="0.3">
      <c r="A2956">
        <v>220495479</v>
      </c>
      <c r="B2956" s="1">
        <v>45162</v>
      </c>
      <c r="C2956" s="1">
        <v>45163</v>
      </c>
      <c r="D2956">
        <v>39</v>
      </c>
      <c r="E2956" t="s">
        <v>6</v>
      </c>
      <c r="F2956" t="s">
        <v>8</v>
      </c>
    </row>
    <row r="2957" spans="1:6" x14ac:dyDescent="0.3">
      <c r="A2957">
        <v>164903790</v>
      </c>
      <c r="B2957" s="1">
        <v>45163</v>
      </c>
      <c r="D2957">
        <v>39</v>
      </c>
      <c r="E2957" t="s">
        <v>6</v>
      </c>
      <c r="F2957" t="s">
        <v>7</v>
      </c>
    </row>
    <row r="2958" spans="1:6" x14ac:dyDescent="0.3">
      <c r="A2958">
        <v>220371835</v>
      </c>
      <c r="B2958" s="1">
        <v>45163</v>
      </c>
      <c r="D2958">
        <v>39</v>
      </c>
      <c r="E2958" t="s">
        <v>6</v>
      </c>
      <c r="F2958" t="s">
        <v>7</v>
      </c>
    </row>
    <row r="2959" spans="1:6" x14ac:dyDescent="0.3">
      <c r="A2959">
        <v>125932988</v>
      </c>
      <c r="B2959" s="1">
        <v>45163</v>
      </c>
      <c r="D2959">
        <v>39</v>
      </c>
      <c r="E2959" t="s">
        <v>6</v>
      </c>
      <c r="F2959" t="s">
        <v>7</v>
      </c>
    </row>
    <row r="2960" spans="1:6" x14ac:dyDescent="0.3">
      <c r="A2960">
        <v>214924190</v>
      </c>
      <c r="B2960" s="1">
        <v>45163</v>
      </c>
      <c r="D2960">
        <v>39</v>
      </c>
      <c r="E2960" t="s">
        <v>6</v>
      </c>
      <c r="F2960" t="s">
        <v>7</v>
      </c>
    </row>
    <row r="2961" spans="1:6" x14ac:dyDescent="0.3">
      <c r="A2961">
        <v>117300170</v>
      </c>
      <c r="B2961" s="1">
        <v>45163</v>
      </c>
      <c r="D2961">
        <v>39</v>
      </c>
      <c r="E2961" t="s">
        <v>6</v>
      </c>
      <c r="F2961" t="s">
        <v>7</v>
      </c>
    </row>
    <row r="2962" spans="1:6" x14ac:dyDescent="0.3">
      <c r="A2962">
        <v>162913792</v>
      </c>
      <c r="B2962" s="1">
        <v>45163</v>
      </c>
      <c r="D2962">
        <v>39</v>
      </c>
      <c r="E2962" t="s">
        <v>6</v>
      </c>
      <c r="F2962" t="s">
        <v>7</v>
      </c>
    </row>
    <row r="2963" spans="1:6" x14ac:dyDescent="0.3">
      <c r="A2963">
        <v>220551506</v>
      </c>
      <c r="B2963" s="1">
        <v>45163</v>
      </c>
      <c r="D2963">
        <v>39</v>
      </c>
      <c r="E2963" t="s">
        <v>6</v>
      </c>
      <c r="F2963" t="s">
        <v>7</v>
      </c>
    </row>
    <row r="2964" spans="1:6" x14ac:dyDescent="0.3">
      <c r="A2964">
        <v>161187523</v>
      </c>
      <c r="B2964" s="1">
        <v>45163</v>
      </c>
      <c r="D2964">
        <v>39</v>
      </c>
      <c r="E2964" t="s">
        <v>6</v>
      </c>
      <c r="F2964" t="s">
        <v>7</v>
      </c>
    </row>
    <row r="2965" spans="1:6" x14ac:dyDescent="0.3">
      <c r="A2965">
        <v>220562110</v>
      </c>
      <c r="B2965" s="1">
        <v>45163</v>
      </c>
      <c r="C2965" s="1">
        <v>45164</v>
      </c>
      <c r="D2965">
        <v>39</v>
      </c>
      <c r="E2965" t="s">
        <v>6</v>
      </c>
      <c r="F2965" t="s">
        <v>8</v>
      </c>
    </row>
    <row r="2966" spans="1:6" x14ac:dyDescent="0.3">
      <c r="A2966">
        <v>220589305</v>
      </c>
      <c r="B2966" s="1">
        <v>45164</v>
      </c>
      <c r="D2966">
        <v>39</v>
      </c>
      <c r="E2966" t="s">
        <v>6</v>
      </c>
      <c r="F2966" t="s">
        <v>7</v>
      </c>
    </row>
    <row r="2967" spans="1:6" x14ac:dyDescent="0.3">
      <c r="A2967">
        <v>220496139</v>
      </c>
      <c r="B2967" s="1">
        <v>45164</v>
      </c>
      <c r="D2967">
        <v>39</v>
      </c>
      <c r="E2967" t="s">
        <v>6</v>
      </c>
      <c r="F2967" t="s">
        <v>7</v>
      </c>
    </row>
    <row r="2968" spans="1:6" x14ac:dyDescent="0.3">
      <c r="A2968">
        <v>219211334</v>
      </c>
      <c r="B2968" s="1">
        <v>45164</v>
      </c>
      <c r="D2968">
        <v>39</v>
      </c>
      <c r="E2968" t="s">
        <v>6</v>
      </c>
      <c r="F2968" t="s">
        <v>7</v>
      </c>
    </row>
    <row r="2969" spans="1:6" x14ac:dyDescent="0.3">
      <c r="A2969">
        <v>220582817</v>
      </c>
      <c r="B2969" s="1">
        <v>45164</v>
      </c>
      <c r="D2969">
        <v>39</v>
      </c>
      <c r="E2969" t="s">
        <v>6</v>
      </c>
      <c r="F2969" t="s">
        <v>7</v>
      </c>
    </row>
    <row r="2970" spans="1:6" x14ac:dyDescent="0.3">
      <c r="A2970">
        <v>217513777</v>
      </c>
      <c r="B2970" s="1">
        <v>45164</v>
      </c>
      <c r="C2970" s="1">
        <v>45166</v>
      </c>
      <c r="D2970">
        <v>39</v>
      </c>
      <c r="E2970" t="s">
        <v>6</v>
      </c>
      <c r="F2970" t="s">
        <v>7</v>
      </c>
    </row>
    <row r="2971" spans="1:6" x14ac:dyDescent="0.3">
      <c r="A2971">
        <v>220576148</v>
      </c>
      <c r="B2971" s="1">
        <v>45164</v>
      </c>
      <c r="C2971" s="1">
        <v>45174</v>
      </c>
      <c r="D2971">
        <v>39</v>
      </c>
      <c r="E2971" t="s">
        <v>6</v>
      </c>
      <c r="F2971" t="s">
        <v>7</v>
      </c>
    </row>
    <row r="2972" spans="1:6" x14ac:dyDescent="0.3">
      <c r="A2972">
        <v>219294264</v>
      </c>
      <c r="B2972" s="1">
        <v>45165</v>
      </c>
      <c r="D2972">
        <v>39</v>
      </c>
      <c r="E2972" t="s">
        <v>6</v>
      </c>
      <c r="F2972" t="s">
        <v>7</v>
      </c>
    </row>
    <row r="2973" spans="1:6" x14ac:dyDescent="0.3">
      <c r="A2973">
        <v>220617197</v>
      </c>
      <c r="B2973" s="1">
        <v>45165</v>
      </c>
      <c r="D2973">
        <v>39</v>
      </c>
      <c r="E2973" t="s">
        <v>6</v>
      </c>
      <c r="F2973" t="s">
        <v>7</v>
      </c>
    </row>
    <row r="2974" spans="1:6" x14ac:dyDescent="0.3">
      <c r="A2974">
        <v>220227691</v>
      </c>
      <c r="B2974" s="1">
        <v>45165</v>
      </c>
      <c r="D2974">
        <v>39</v>
      </c>
      <c r="E2974" t="s">
        <v>6</v>
      </c>
      <c r="F2974" t="s">
        <v>7</v>
      </c>
    </row>
    <row r="2975" spans="1:6" x14ac:dyDescent="0.3">
      <c r="A2975">
        <v>220672607</v>
      </c>
      <c r="B2975" s="1">
        <v>45166</v>
      </c>
      <c r="D2975">
        <v>39</v>
      </c>
      <c r="E2975" t="s">
        <v>6</v>
      </c>
      <c r="F2975" t="s">
        <v>7</v>
      </c>
    </row>
    <row r="2976" spans="1:6" x14ac:dyDescent="0.3">
      <c r="A2976">
        <v>218608353</v>
      </c>
      <c r="B2976" s="1">
        <v>45166</v>
      </c>
      <c r="D2976">
        <v>39</v>
      </c>
      <c r="E2976" t="s">
        <v>6</v>
      </c>
      <c r="F2976" t="s">
        <v>7</v>
      </c>
    </row>
    <row r="2977" spans="1:6" x14ac:dyDescent="0.3">
      <c r="A2977">
        <v>135128238</v>
      </c>
      <c r="B2977" s="1">
        <v>45166</v>
      </c>
      <c r="D2977">
        <v>39</v>
      </c>
      <c r="E2977" t="s">
        <v>6</v>
      </c>
      <c r="F2977" t="s">
        <v>7</v>
      </c>
    </row>
    <row r="2978" spans="1:6" x14ac:dyDescent="0.3">
      <c r="A2978">
        <v>220285147</v>
      </c>
      <c r="B2978" s="1">
        <v>45166</v>
      </c>
      <c r="D2978">
        <v>39</v>
      </c>
      <c r="E2978" t="s">
        <v>6</v>
      </c>
      <c r="F2978" t="s">
        <v>7</v>
      </c>
    </row>
    <row r="2979" spans="1:6" x14ac:dyDescent="0.3">
      <c r="A2979">
        <v>218645057</v>
      </c>
      <c r="B2979" s="1">
        <v>45166</v>
      </c>
      <c r="D2979">
        <v>39</v>
      </c>
      <c r="E2979" t="s">
        <v>6</v>
      </c>
      <c r="F2979" t="s">
        <v>7</v>
      </c>
    </row>
    <row r="2980" spans="1:6" x14ac:dyDescent="0.3">
      <c r="A2980">
        <v>128199550</v>
      </c>
      <c r="B2980" s="1">
        <v>45166</v>
      </c>
      <c r="C2980" s="1">
        <v>45169</v>
      </c>
      <c r="D2980">
        <v>39</v>
      </c>
      <c r="E2980" t="s">
        <v>6</v>
      </c>
      <c r="F2980" t="s">
        <v>7</v>
      </c>
    </row>
    <row r="2981" spans="1:6" x14ac:dyDescent="0.3">
      <c r="A2981">
        <v>220747618</v>
      </c>
      <c r="B2981" s="1">
        <v>45167</v>
      </c>
      <c r="D2981">
        <v>39</v>
      </c>
      <c r="E2981" t="s">
        <v>6</v>
      </c>
      <c r="F2981" t="s">
        <v>7</v>
      </c>
    </row>
    <row r="2982" spans="1:6" x14ac:dyDescent="0.3">
      <c r="A2982">
        <v>207386830</v>
      </c>
      <c r="B2982" s="1">
        <v>45167</v>
      </c>
      <c r="D2982">
        <v>39</v>
      </c>
      <c r="E2982" t="s">
        <v>6</v>
      </c>
      <c r="F2982" t="s">
        <v>7</v>
      </c>
    </row>
    <row r="2983" spans="1:6" x14ac:dyDescent="0.3">
      <c r="A2983">
        <v>205109812</v>
      </c>
      <c r="B2983" s="1">
        <v>45167</v>
      </c>
      <c r="D2983">
        <v>39</v>
      </c>
      <c r="E2983" t="s">
        <v>6</v>
      </c>
      <c r="F2983" t="s">
        <v>7</v>
      </c>
    </row>
    <row r="2984" spans="1:6" x14ac:dyDescent="0.3">
      <c r="A2984">
        <v>132318451</v>
      </c>
      <c r="B2984" s="1">
        <v>45167</v>
      </c>
      <c r="D2984">
        <v>39</v>
      </c>
      <c r="E2984" t="s">
        <v>6</v>
      </c>
      <c r="F2984" t="s">
        <v>7</v>
      </c>
    </row>
    <row r="2985" spans="1:6" x14ac:dyDescent="0.3">
      <c r="A2985">
        <v>218596318</v>
      </c>
      <c r="B2985" s="1">
        <v>45167</v>
      </c>
      <c r="D2985">
        <v>39</v>
      </c>
      <c r="E2985" t="s">
        <v>6</v>
      </c>
      <c r="F2985" t="s">
        <v>7</v>
      </c>
    </row>
    <row r="2986" spans="1:6" x14ac:dyDescent="0.3">
      <c r="A2986">
        <v>220699520</v>
      </c>
      <c r="B2986" s="1">
        <v>45167</v>
      </c>
      <c r="D2986">
        <v>39</v>
      </c>
      <c r="E2986" t="s">
        <v>6</v>
      </c>
      <c r="F2986" t="s">
        <v>7</v>
      </c>
    </row>
    <row r="2987" spans="1:6" x14ac:dyDescent="0.3">
      <c r="A2987">
        <v>218307579</v>
      </c>
      <c r="B2987" s="1">
        <v>45167</v>
      </c>
      <c r="D2987">
        <v>39</v>
      </c>
      <c r="E2987" t="s">
        <v>6</v>
      </c>
      <c r="F2987" t="s">
        <v>7</v>
      </c>
    </row>
    <row r="2988" spans="1:6" x14ac:dyDescent="0.3">
      <c r="A2988">
        <v>218514844</v>
      </c>
      <c r="B2988" s="1">
        <v>45168</v>
      </c>
      <c r="D2988">
        <v>39</v>
      </c>
      <c r="E2988" t="s">
        <v>6</v>
      </c>
      <c r="F2988" t="s">
        <v>7</v>
      </c>
    </row>
    <row r="2989" spans="1:6" x14ac:dyDescent="0.3">
      <c r="A2989">
        <v>188622328</v>
      </c>
      <c r="B2989" s="1">
        <v>45168</v>
      </c>
      <c r="D2989">
        <v>39</v>
      </c>
      <c r="E2989" t="s">
        <v>6</v>
      </c>
      <c r="F2989" t="s">
        <v>7</v>
      </c>
    </row>
    <row r="2990" spans="1:6" x14ac:dyDescent="0.3">
      <c r="A2990">
        <v>220790640</v>
      </c>
      <c r="B2990" s="1">
        <v>45168</v>
      </c>
      <c r="D2990">
        <v>39</v>
      </c>
      <c r="E2990" t="s">
        <v>6</v>
      </c>
      <c r="F2990" t="s">
        <v>7</v>
      </c>
    </row>
    <row r="2991" spans="1:6" x14ac:dyDescent="0.3">
      <c r="A2991">
        <v>220675005</v>
      </c>
      <c r="B2991" s="1">
        <v>45168</v>
      </c>
      <c r="D2991">
        <v>39</v>
      </c>
      <c r="E2991" t="s">
        <v>6</v>
      </c>
      <c r="F2991" t="s">
        <v>7</v>
      </c>
    </row>
    <row r="2992" spans="1:6" x14ac:dyDescent="0.3">
      <c r="A2992">
        <v>142757196</v>
      </c>
      <c r="B2992" s="1">
        <v>45168</v>
      </c>
      <c r="D2992">
        <v>39</v>
      </c>
      <c r="E2992" t="s">
        <v>6</v>
      </c>
      <c r="F2992" t="s">
        <v>7</v>
      </c>
    </row>
    <row r="2993" spans="1:6" x14ac:dyDescent="0.3">
      <c r="A2993">
        <v>220411940</v>
      </c>
      <c r="B2993" s="1">
        <v>45168</v>
      </c>
      <c r="D2993">
        <v>39</v>
      </c>
      <c r="E2993" t="s">
        <v>6</v>
      </c>
      <c r="F2993" t="s">
        <v>7</v>
      </c>
    </row>
    <row r="2994" spans="1:6" x14ac:dyDescent="0.3">
      <c r="A2994">
        <v>155613371</v>
      </c>
      <c r="B2994" s="1">
        <v>45168</v>
      </c>
      <c r="D2994">
        <v>39</v>
      </c>
      <c r="E2994" t="s">
        <v>6</v>
      </c>
      <c r="F2994" t="s">
        <v>7</v>
      </c>
    </row>
    <row r="2995" spans="1:6" x14ac:dyDescent="0.3">
      <c r="A2995">
        <v>164548755</v>
      </c>
      <c r="B2995" s="1">
        <v>45168</v>
      </c>
      <c r="D2995">
        <v>39</v>
      </c>
      <c r="E2995" t="s">
        <v>6</v>
      </c>
      <c r="F2995" t="s">
        <v>7</v>
      </c>
    </row>
    <row r="2996" spans="1:6" x14ac:dyDescent="0.3">
      <c r="A2996">
        <v>220546810</v>
      </c>
      <c r="B2996" s="1">
        <v>45168</v>
      </c>
      <c r="D2996">
        <v>39</v>
      </c>
      <c r="E2996" t="s">
        <v>6</v>
      </c>
      <c r="F2996" t="s">
        <v>7</v>
      </c>
    </row>
    <row r="2997" spans="1:6" x14ac:dyDescent="0.3">
      <c r="A2997">
        <v>215202566</v>
      </c>
      <c r="B2997" s="1">
        <v>45168</v>
      </c>
      <c r="C2997" s="1">
        <v>45168</v>
      </c>
      <c r="D2997">
        <v>39</v>
      </c>
      <c r="E2997" t="s">
        <v>6</v>
      </c>
      <c r="F2997" t="s">
        <v>7</v>
      </c>
    </row>
    <row r="2998" spans="1:6" x14ac:dyDescent="0.3">
      <c r="A2998">
        <v>135092264</v>
      </c>
      <c r="B2998" s="1">
        <v>45169</v>
      </c>
      <c r="D2998">
        <v>39</v>
      </c>
      <c r="E2998" t="s">
        <v>6</v>
      </c>
      <c r="F2998" t="s">
        <v>7</v>
      </c>
    </row>
    <row r="2999" spans="1:6" x14ac:dyDescent="0.3">
      <c r="A2999">
        <v>220854418</v>
      </c>
      <c r="B2999" s="1">
        <v>45169</v>
      </c>
      <c r="D2999">
        <v>39</v>
      </c>
      <c r="E2999" t="s">
        <v>6</v>
      </c>
      <c r="F2999" t="s">
        <v>7</v>
      </c>
    </row>
    <row r="3000" spans="1:6" x14ac:dyDescent="0.3">
      <c r="A3000">
        <v>220851140</v>
      </c>
      <c r="B3000" s="1">
        <v>45169</v>
      </c>
      <c r="D3000">
        <v>39</v>
      </c>
      <c r="E3000" t="s">
        <v>6</v>
      </c>
      <c r="F3000" t="s">
        <v>7</v>
      </c>
    </row>
    <row r="3001" spans="1:6" x14ac:dyDescent="0.3">
      <c r="A3001">
        <v>220843911</v>
      </c>
      <c r="B3001" s="1">
        <v>45169</v>
      </c>
      <c r="D3001">
        <v>39</v>
      </c>
      <c r="E3001" t="s">
        <v>6</v>
      </c>
      <c r="F3001" t="s">
        <v>7</v>
      </c>
    </row>
    <row r="3002" spans="1:6" x14ac:dyDescent="0.3">
      <c r="A3002">
        <v>216137022</v>
      </c>
      <c r="B3002" s="1">
        <v>45169</v>
      </c>
      <c r="D3002">
        <v>39</v>
      </c>
      <c r="E3002" t="s">
        <v>6</v>
      </c>
      <c r="F3002" t="s">
        <v>7</v>
      </c>
    </row>
    <row r="3003" spans="1:6" x14ac:dyDescent="0.3">
      <c r="A3003">
        <v>161151062</v>
      </c>
      <c r="B3003" s="1">
        <v>45169</v>
      </c>
      <c r="D3003">
        <v>39</v>
      </c>
      <c r="E3003" t="s">
        <v>6</v>
      </c>
      <c r="F3003" t="s">
        <v>7</v>
      </c>
    </row>
    <row r="3004" spans="1:6" x14ac:dyDescent="0.3">
      <c r="A3004">
        <v>148085880</v>
      </c>
      <c r="B3004" s="1">
        <v>45169</v>
      </c>
      <c r="D3004">
        <v>39</v>
      </c>
      <c r="E3004" t="s">
        <v>6</v>
      </c>
      <c r="F3004" t="s">
        <v>7</v>
      </c>
    </row>
    <row r="3005" spans="1:6" x14ac:dyDescent="0.3">
      <c r="A3005">
        <v>182061738</v>
      </c>
      <c r="B3005" s="1">
        <v>45170</v>
      </c>
      <c r="D3005">
        <v>39</v>
      </c>
      <c r="E3005" t="s">
        <v>6</v>
      </c>
      <c r="F3005" t="s">
        <v>7</v>
      </c>
    </row>
    <row r="3006" spans="1:6" x14ac:dyDescent="0.3">
      <c r="A3006">
        <v>220860582</v>
      </c>
      <c r="B3006" s="1">
        <v>45170</v>
      </c>
      <c r="D3006">
        <v>39</v>
      </c>
      <c r="E3006" t="s">
        <v>6</v>
      </c>
      <c r="F3006" t="s">
        <v>7</v>
      </c>
    </row>
    <row r="3007" spans="1:6" x14ac:dyDescent="0.3">
      <c r="A3007">
        <v>218315334</v>
      </c>
      <c r="B3007" s="1">
        <v>45170</v>
      </c>
      <c r="D3007">
        <v>39</v>
      </c>
      <c r="E3007" t="s">
        <v>6</v>
      </c>
      <c r="F3007" t="s">
        <v>7</v>
      </c>
    </row>
    <row r="3008" spans="1:6" x14ac:dyDescent="0.3">
      <c r="A3008">
        <v>217246008</v>
      </c>
      <c r="B3008" s="1">
        <v>45170</v>
      </c>
      <c r="D3008">
        <v>39</v>
      </c>
      <c r="E3008" t="s">
        <v>6</v>
      </c>
      <c r="F3008" t="s">
        <v>7</v>
      </c>
    </row>
    <row r="3009" spans="1:6" x14ac:dyDescent="0.3">
      <c r="A3009">
        <v>220835326</v>
      </c>
      <c r="B3009" s="1">
        <v>45170</v>
      </c>
      <c r="D3009">
        <v>39</v>
      </c>
      <c r="E3009" t="s">
        <v>6</v>
      </c>
      <c r="F3009" t="s">
        <v>7</v>
      </c>
    </row>
    <row r="3010" spans="1:6" x14ac:dyDescent="0.3">
      <c r="A3010">
        <v>219470485</v>
      </c>
      <c r="B3010" s="1">
        <v>45170</v>
      </c>
      <c r="D3010">
        <v>39</v>
      </c>
      <c r="E3010" t="s">
        <v>6</v>
      </c>
      <c r="F3010" t="s">
        <v>7</v>
      </c>
    </row>
    <row r="3011" spans="1:6" x14ac:dyDescent="0.3">
      <c r="A3011">
        <v>182153913</v>
      </c>
      <c r="B3011" s="1">
        <v>45171</v>
      </c>
      <c r="D3011">
        <v>39</v>
      </c>
      <c r="E3011" t="s">
        <v>6</v>
      </c>
      <c r="F3011" t="s">
        <v>7</v>
      </c>
    </row>
    <row r="3012" spans="1:6" x14ac:dyDescent="0.3">
      <c r="A3012">
        <v>217223132</v>
      </c>
      <c r="B3012" s="1">
        <v>45171</v>
      </c>
      <c r="D3012">
        <v>39</v>
      </c>
      <c r="E3012" t="s">
        <v>6</v>
      </c>
      <c r="F3012" t="s">
        <v>7</v>
      </c>
    </row>
    <row r="3013" spans="1:6" x14ac:dyDescent="0.3">
      <c r="A3013">
        <v>219643599</v>
      </c>
      <c r="B3013" s="1">
        <v>45171</v>
      </c>
      <c r="D3013">
        <v>39</v>
      </c>
      <c r="E3013" t="s">
        <v>6</v>
      </c>
      <c r="F3013" t="s">
        <v>7</v>
      </c>
    </row>
    <row r="3014" spans="1:6" x14ac:dyDescent="0.3">
      <c r="A3014">
        <v>152851458</v>
      </c>
      <c r="B3014" s="1">
        <v>45171</v>
      </c>
      <c r="D3014">
        <v>39</v>
      </c>
      <c r="E3014" t="s">
        <v>6</v>
      </c>
      <c r="F3014" t="s">
        <v>7</v>
      </c>
    </row>
    <row r="3015" spans="1:6" x14ac:dyDescent="0.3">
      <c r="A3015">
        <v>219657672</v>
      </c>
      <c r="B3015" s="1">
        <v>45171</v>
      </c>
      <c r="D3015">
        <v>39</v>
      </c>
      <c r="E3015" t="s">
        <v>6</v>
      </c>
      <c r="F3015" t="s">
        <v>7</v>
      </c>
    </row>
    <row r="3016" spans="1:6" x14ac:dyDescent="0.3">
      <c r="A3016">
        <v>220973656</v>
      </c>
      <c r="B3016" s="1">
        <v>45172</v>
      </c>
      <c r="D3016">
        <v>39</v>
      </c>
      <c r="E3016" t="s">
        <v>6</v>
      </c>
      <c r="F3016" t="s">
        <v>7</v>
      </c>
    </row>
    <row r="3017" spans="1:6" x14ac:dyDescent="0.3">
      <c r="A3017">
        <v>159717680</v>
      </c>
      <c r="B3017" s="1">
        <v>45172</v>
      </c>
      <c r="D3017">
        <v>39</v>
      </c>
      <c r="E3017" t="s">
        <v>6</v>
      </c>
      <c r="F3017" t="s">
        <v>7</v>
      </c>
    </row>
    <row r="3018" spans="1:6" x14ac:dyDescent="0.3">
      <c r="A3018">
        <v>220420126</v>
      </c>
      <c r="B3018" s="1">
        <v>45172</v>
      </c>
      <c r="D3018">
        <v>39</v>
      </c>
      <c r="E3018" t="s">
        <v>6</v>
      </c>
      <c r="F3018" t="s">
        <v>7</v>
      </c>
    </row>
    <row r="3019" spans="1:6" x14ac:dyDescent="0.3">
      <c r="A3019">
        <v>220965750</v>
      </c>
      <c r="B3019" s="1">
        <v>45172</v>
      </c>
      <c r="D3019">
        <v>39</v>
      </c>
      <c r="E3019" t="s">
        <v>6</v>
      </c>
      <c r="F3019" t="s">
        <v>7</v>
      </c>
    </row>
    <row r="3020" spans="1:6" x14ac:dyDescent="0.3">
      <c r="A3020">
        <v>219065931</v>
      </c>
      <c r="B3020" s="1">
        <v>45172</v>
      </c>
      <c r="D3020">
        <v>39</v>
      </c>
      <c r="E3020" t="s">
        <v>6</v>
      </c>
      <c r="F3020" t="s">
        <v>7</v>
      </c>
    </row>
    <row r="3021" spans="1:6" x14ac:dyDescent="0.3">
      <c r="A3021">
        <v>220707034</v>
      </c>
      <c r="B3021" s="1">
        <v>45172</v>
      </c>
      <c r="D3021">
        <v>39</v>
      </c>
      <c r="E3021" t="s">
        <v>6</v>
      </c>
      <c r="F3021" t="s">
        <v>7</v>
      </c>
    </row>
    <row r="3022" spans="1:6" x14ac:dyDescent="0.3">
      <c r="A3022">
        <v>220875396</v>
      </c>
      <c r="B3022" s="1">
        <v>45172</v>
      </c>
      <c r="D3022">
        <v>39</v>
      </c>
      <c r="E3022" t="s">
        <v>6</v>
      </c>
      <c r="F3022" t="s">
        <v>7</v>
      </c>
    </row>
    <row r="3023" spans="1:6" x14ac:dyDescent="0.3">
      <c r="A3023">
        <v>134054676</v>
      </c>
      <c r="B3023" s="1">
        <v>45172</v>
      </c>
      <c r="C3023" s="1">
        <v>45174</v>
      </c>
      <c r="D3023">
        <v>39</v>
      </c>
      <c r="E3023" t="s">
        <v>6</v>
      </c>
      <c r="F3023" t="s">
        <v>7</v>
      </c>
    </row>
    <row r="3024" spans="1:6" x14ac:dyDescent="0.3">
      <c r="A3024">
        <v>183702574</v>
      </c>
      <c r="B3024" s="1">
        <v>45172</v>
      </c>
      <c r="C3024" s="1">
        <v>45172</v>
      </c>
      <c r="D3024">
        <v>39</v>
      </c>
      <c r="E3024" t="s">
        <v>6</v>
      </c>
      <c r="F3024" t="s">
        <v>7</v>
      </c>
    </row>
    <row r="3025" spans="1:6" x14ac:dyDescent="0.3">
      <c r="A3025">
        <v>220997288</v>
      </c>
      <c r="B3025" s="1">
        <v>45173</v>
      </c>
      <c r="D3025">
        <v>39</v>
      </c>
      <c r="E3025" t="s">
        <v>6</v>
      </c>
      <c r="F3025" t="s">
        <v>7</v>
      </c>
    </row>
    <row r="3026" spans="1:6" x14ac:dyDescent="0.3">
      <c r="A3026">
        <v>218617631</v>
      </c>
      <c r="B3026" s="1">
        <v>45173</v>
      </c>
      <c r="D3026">
        <v>39</v>
      </c>
      <c r="E3026" t="s">
        <v>6</v>
      </c>
      <c r="F3026" t="s">
        <v>7</v>
      </c>
    </row>
    <row r="3027" spans="1:6" x14ac:dyDescent="0.3">
      <c r="A3027">
        <v>220952702</v>
      </c>
      <c r="B3027" s="1">
        <v>45173</v>
      </c>
      <c r="D3027">
        <v>39</v>
      </c>
      <c r="E3027" t="s">
        <v>6</v>
      </c>
      <c r="F3027" t="s">
        <v>7</v>
      </c>
    </row>
    <row r="3028" spans="1:6" x14ac:dyDescent="0.3">
      <c r="A3028">
        <v>156460574</v>
      </c>
      <c r="B3028" s="1">
        <v>45173</v>
      </c>
      <c r="D3028">
        <v>39</v>
      </c>
      <c r="E3028" t="s">
        <v>6</v>
      </c>
      <c r="F3028" t="s">
        <v>7</v>
      </c>
    </row>
    <row r="3029" spans="1:6" x14ac:dyDescent="0.3">
      <c r="A3029">
        <v>221012872</v>
      </c>
      <c r="B3029" s="1">
        <v>45173</v>
      </c>
      <c r="D3029">
        <v>39</v>
      </c>
      <c r="E3029" t="s">
        <v>6</v>
      </c>
      <c r="F3029" t="s">
        <v>7</v>
      </c>
    </row>
    <row r="3030" spans="1:6" x14ac:dyDescent="0.3">
      <c r="A3030">
        <v>220845656</v>
      </c>
      <c r="B3030" s="1">
        <v>45173</v>
      </c>
      <c r="D3030">
        <v>39</v>
      </c>
      <c r="E3030" t="s">
        <v>6</v>
      </c>
      <c r="F3030" t="s">
        <v>7</v>
      </c>
    </row>
    <row r="3031" spans="1:6" x14ac:dyDescent="0.3">
      <c r="A3031">
        <v>220989516</v>
      </c>
      <c r="B3031" s="1">
        <v>45173</v>
      </c>
      <c r="D3031">
        <v>39</v>
      </c>
      <c r="E3031" t="s">
        <v>6</v>
      </c>
      <c r="F3031" t="s">
        <v>7</v>
      </c>
    </row>
    <row r="3032" spans="1:6" x14ac:dyDescent="0.3">
      <c r="A3032">
        <v>135317128</v>
      </c>
      <c r="B3032" s="1">
        <v>45173</v>
      </c>
      <c r="D3032">
        <v>39</v>
      </c>
      <c r="E3032" t="s">
        <v>6</v>
      </c>
      <c r="F3032" t="s">
        <v>7</v>
      </c>
    </row>
    <row r="3033" spans="1:6" x14ac:dyDescent="0.3">
      <c r="A3033">
        <v>220984730</v>
      </c>
      <c r="B3033" s="1">
        <v>45173</v>
      </c>
      <c r="D3033">
        <v>39</v>
      </c>
      <c r="E3033" t="s">
        <v>6</v>
      </c>
      <c r="F3033" t="s">
        <v>7</v>
      </c>
    </row>
    <row r="3034" spans="1:6" x14ac:dyDescent="0.3">
      <c r="A3034">
        <v>220984628</v>
      </c>
      <c r="B3034" s="1">
        <v>45173</v>
      </c>
      <c r="D3034">
        <v>39</v>
      </c>
      <c r="E3034" t="s">
        <v>6</v>
      </c>
      <c r="F3034" t="s">
        <v>7</v>
      </c>
    </row>
    <row r="3035" spans="1:6" x14ac:dyDescent="0.3">
      <c r="A3035">
        <v>220989226</v>
      </c>
      <c r="B3035" s="1">
        <v>45173</v>
      </c>
      <c r="D3035">
        <v>39</v>
      </c>
      <c r="E3035" t="s">
        <v>6</v>
      </c>
      <c r="F3035" t="s">
        <v>7</v>
      </c>
    </row>
    <row r="3036" spans="1:6" x14ac:dyDescent="0.3">
      <c r="A3036">
        <v>220988969</v>
      </c>
      <c r="B3036" s="1">
        <v>45173</v>
      </c>
      <c r="D3036">
        <v>39</v>
      </c>
      <c r="E3036" t="s">
        <v>6</v>
      </c>
      <c r="F3036" t="s">
        <v>7</v>
      </c>
    </row>
    <row r="3037" spans="1:6" x14ac:dyDescent="0.3">
      <c r="A3037">
        <v>220988022</v>
      </c>
      <c r="B3037" s="1">
        <v>45173</v>
      </c>
      <c r="D3037">
        <v>39</v>
      </c>
      <c r="E3037" t="s">
        <v>6</v>
      </c>
      <c r="F3037" t="s">
        <v>7</v>
      </c>
    </row>
    <row r="3038" spans="1:6" x14ac:dyDescent="0.3">
      <c r="A3038">
        <v>220984390</v>
      </c>
      <c r="B3038" s="1">
        <v>45173</v>
      </c>
      <c r="D3038">
        <v>39</v>
      </c>
      <c r="E3038" t="s">
        <v>6</v>
      </c>
      <c r="F3038" t="s">
        <v>7</v>
      </c>
    </row>
    <row r="3039" spans="1:6" x14ac:dyDescent="0.3">
      <c r="A3039">
        <v>181480437</v>
      </c>
      <c r="B3039" s="1">
        <v>45173</v>
      </c>
      <c r="D3039">
        <v>39</v>
      </c>
      <c r="E3039" t="s">
        <v>6</v>
      </c>
      <c r="F3039" t="s">
        <v>7</v>
      </c>
    </row>
    <row r="3040" spans="1:6" x14ac:dyDescent="0.3">
      <c r="A3040">
        <v>125219153</v>
      </c>
      <c r="B3040" s="1">
        <v>45174</v>
      </c>
      <c r="D3040">
        <v>39</v>
      </c>
      <c r="E3040" t="s">
        <v>6</v>
      </c>
      <c r="F3040" t="s">
        <v>7</v>
      </c>
    </row>
    <row r="3041" spans="1:6" x14ac:dyDescent="0.3">
      <c r="A3041">
        <v>160833652</v>
      </c>
      <c r="B3041" s="1">
        <v>45174</v>
      </c>
      <c r="D3041">
        <v>39</v>
      </c>
      <c r="E3041" t="s">
        <v>6</v>
      </c>
      <c r="F3041" t="s">
        <v>7</v>
      </c>
    </row>
    <row r="3042" spans="1:6" x14ac:dyDescent="0.3">
      <c r="A3042">
        <v>221073196</v>
      </c>
      <c r="B3042" s="1">
        <v>45174</v>
      </c>
      <c r="D3042">
        <v>39</v>
      </c>
      <c r="E3042" t="s">
        <v>6</v>
      </c>
      <c r="F3042" t="s">
        <v>7</v>
      </c>
    </row>
    <row r="3043" spans="1:6" x14ac:dyDescent="0.3">
      <c r="A3043">
        <v>153733292</v>
      </c>
      <c r="B3043" s="1">
        <v>45174</v>
      </c>
      <c r="D3043">
        <v>39</v>
      </c>
      <c r="E3043" t="s">
        <v>6</v>
      </c>
      <c r="F3043" t="s">
        <v>7</v>
      </c>
    </row>
    <row r="3044" spans="1:6" x14ac:dyDescent="0.3">
      <c r="A3044">
        <v>152692003</v>
      </c>
      <c r="B3044" s="1">
        <v>45174</v>
      </c>
      <c r="D3044">
        <v>39</v>
      </c>
      <c r="E3044" t="s">
        <v>6</v>
      </c>
      <c r="F3044" t="s">
        <v>7</v>
      </c>
    </row>
    <row r="3045" spans="1:6" x14ac:dyDescent="0.3">
      <c r="A3045">
        <v>220528931</v>
      </c>
      <c r="B3045" s="1">
        <v>45174</v>
      </c>
      <c r="D3045">
        <v>39</v>
      </c>
      <c r="E3045" t="s">
        <v>6</v>
      </c>
      <c r="F3045" t="s">
        <v>7</v>
      </c>
    </row>
    <row r="3046" spans="1:6" x14ac:dyDescent="0.3">
      <c r="A3046">
        <v>221052611</v>
      </c>
      <c r="B3046" s="1">
        <v>45174</v>
      </c>
      <c r="D3046">
        <v>39</v>
      </c>
      <c r="E3046" t="s">
        <v>6</v>
      </c>
      <c r="F3046" t="s">
        <v>7</v>
      </c>
    </row>
    <row r="3047" spans="1:6" x14ac:dyDescent="0.3">
      <c r="A3047">
        <v>220665801</v>
      </c>
      <c r="B3047" s="1">
        <v>45174</v>
      </c>
      <c r="D3047">
        <v>39</v>
      </c>
      <c r="E3047" t="s">
        <v>6</v>
      </c>
      <c r="F3047" t="s">
        <v>7</v>
      </c>
    </row>
    <row r="3048" spans="1:6" x14ac:dyDescent="0.3">
      <c r="A3048">
        <v>221028388</v>
      </c>
      <c r="B3048" s="1">
        <v>45174</v>
      </c>
      <c r="D3048">
        <v>39</v>
      </c>
      <c r="E3048" t="s">
        <v>6</v>
      </c>
      <c r="F3048" t="s">
        <v>7</v>
      </c>
    </row>
    <row r="3049" spans="1:6" x14ac:dyDescent="0.3">
      <c r="A3049">
        <v>206284545</v>
      </c>
      <c r="B3049" s="1">
        <v>45174</v>
      </c>
      <c r="D3049">
        <v>39</v>
      </c>
      <c r="E3049" t="s">
        <v>6</v>
      </c>
      <c r="F3049" t="s">
        <v>7</v>
      </c>
    </row>
    <row r="3050" spans="1:6" x14ac:dyDescent="0.3">
      <c r="A3050">
        <v>178531928</v>
      </c>
      <c r="B3050" s="1">
        <v>45174</v>
      </c>
      <c r="D3050">
        <v>39</v>
      </c>
      <c r="E3050" t="s">
        <v>6</v>
      </c>
      <c r="F3050" t="s">
        <v>7</v>
      </c>
    </row>
    <row r="3051" spans="1:6" x14ac:dyDescent="0.3">
      <c r="A3051">
        <v>220994271</v>
      </c>
      <c r="B3051" s="1">
        <v>45174</v>
      </c>
      <c r="D3051">
        <v>39</v>
      </c>
      <c r="E3051" t="s">
        <v>6</v>
      </c>
      <c r="F3051" t="s">
        <v>7</v>
      </c>
    </row>
    <row r="3052" spans="1:6" x14ac:dyDescent="0.3">
      <c r="A3052">
        <v>218720472</v>
      </c>
      <c r="B3052" s="1">
        <v>45174</v>
      </c>
      <c r="D3052">
        <v>39</v>
      </c>
      <c r="E3052" t="s">
        <v>6</v>
      </c>
      <c r="F3052" t="s">
        <v>7</v>
      </c>
    </row>
    <row r="3053" spans="1:6" x14ac:dyDescent="0.3">
      <c r="A3053">
        <v>218900441</v>
      </c>
      <c r="B3053" s="1">
        <v>45175</v>
      </c>
      <c r="D3053">
        <v>39</v>
      </c>
      <c r="E3053" t="s">
        <v>6</v>
      </c>
      <c r="F3053" t="s">
        <v>7</v>
      </c>
    </row>
    <row r="3054" spans="1:6" x14ac:dyDescent="0.3">
      <c r="A3054">
        <v>221123938</v>
      </c>
      <c r="B3054" s="1">
        <v>45175</v>
      </c>
      <c r="D3054">
        <v>39</v>
      </c>
      <c r="E3054" t="s">
        <v>6</v>
      </c>
      <c r="F3054" t="s">
        <v>7</v>
      </c>
    </row>
    <row r="3055" spans="1:6" x14ac:dyDescent="0.3">
      <c r="A3055">
        <v>166750222</v>
      </c>
      <c r="B3055" s="1">
        <v>45175</v>
      </c>
      <c r="D3055">
        <v>39</v>
      </c>
      <c r="E3055" t="s">
        <v>6</v>
      </c>
      <c r="F3055" t="s">
        <v>7</v>
      </c>
    </row>
    <row r="3056" spans="1:6" x14ac:dyDescent="0.3">
      <c r="A3056">
        <v>154783053</v>
      </c>
      <c r="B3056" s="1">
        <v>45175</v>
      </c>
      <c r="D3056">
        <v>39</v>
      </c>
      <c r="E3056" t="s">
        <v>6</v>
      </c>
      <c r="F3056" t="s">
        <v>7</v>
      </c>
    </row>
    <row r="3057" spans="1:6" x14ac:dyDescent="0.3">
      <c r="A3057">
        <v>221100604</v>
      </c>
      <c r="B3057" s="1">
        <v>45175</v>
      </c>
      <c r="D3057">
        <v>39</v>
      </c>
      <c r="E3057" t="s">
        <v>6</v>
      </c>
      <c r="F3057" t="s">
        <v>7</v>
      </c>
    </row>
    <row r="3058" spans="1:6" x14ac:dyDescent="0.3">
      <c r="A3058">
        <v>220703723</v>
      </c>
      <c r="B3058" s="1">
        <v>45175</v>
      </c>
      <c r="D3058">
        <v>39</v>
      </c>
      <c r="E3058" t="s">
        <v>6</v>
      </c>
      <c r="F3058" t="s">
        <v>7</v>
      </c>
    </row>
    <row r="3059" spans="1:6" x14ac:dyDescent="0.3">
      <c r="A3059">
        <v>220815627</v>
      </c>
      <c r="B3059" s="1">
        <v>45175</v>
      </c>
      <c r="D3059">
        <v>39</v>
      </c>
      <c r="E3059" t="s">
        <v>6</v>
      </c>
      <c r="F3059" t="s">
        <v>7</v>
      </c>
    </row>
    <row r="3060" spans="1:6" x14ac:dyDescent="0.3">
      <c r="A3060">
        <v>214764106</v>
      </c>
      <c r="B3060" s="1">
        <v>45175</v>
      </c>
      <c r="D3060">
        <v>39</v>
      </c>
      <c r="E3060" t="s">
        <v>6</v>
      </c>
      <c r="F3060" t="s">
        <v>7</v>
      </c>
    </row>
    <row r="3061" spans="1:6" x14ac:dyDescent="0.3">
      <c r="A3061">
        <v>158763940</v>
      </c>
      <c r="B3061" s="1">
        <v>45176</v>
      </c>
      <c r="D3061">
        <v>39</v>
      </c>
      <c r="E3061" t="s">
        <v>6</v>
      </c>
      <c r="F3061" t="s">
        <v>7</v>
      </c>
    </row>
    <row r="3062" spans="1:6" x14ac:dyDescent="0.3">
      <c r="A3062">
        <v>220065316</v>
      </c>
      <c r="B3062" s="1">
        <v>45176</v>
      </c>
      <c r="D3062">
        <v>39</v>
      </c>
      <c r="E3062" t="s">
        <v>6</v>
      </c>
      <c r="F3062" t="s">
        <v>7</v>
      </c>
    </row>
    <row r="3063" spans="1:6" x14ac:dyDescent="0.3">
      <c r="A3063">
        <v>217662862</v>
      </c>
      <c r="B3063" s="1">
        <v>45176</v>
      </c>
      <c r="D3063">
        <v>39</v>
      </c>
      <c r="E3063" t="s">
        <v>6</v>
      </c>
      <c r="F3063" t="s">
        <v>7</v>
      </c>
    </row>
    <row r="3064" spans="1:6" x14ac:dyDescent="0.3">
      <c r="A3064">
        <v>220328388</v>
      </c>
      <c r="B3064" s="1">
        <v>45176</v>
      </c>
      <c r="D3064">
        <v>39</v>
      </c>
      <c r="E3064" t="s">
        <v>6</v>
      </c>
      <c r="F3064" t="s">
        <v>7</v>
      </c>
    </row>
    <row r="3065" spans="1:6" x14ac:dyDescent="0.3">
      <c r="A3065">
        <v>219521019</v>
      </c>
      <c r="B3065" s="1">
        <v>45176</v>
      </c>
      <c r="D3065">
        <v>39</v>
      </c>
      <c r="E3065" t="s">
        <v>6</v>
      </c>
      <c r="F3065" t="s">
        <v>7</v>
      </c>
    </row>
    <row r="3066" spans="1:6" x14ac:dyDescent="0.3">
      <c r="A3066">
        <v>221145374</v>
      </c>
      <c r="B3066" s="1">
        <v>45176</v>
      </c>
      <c r="D3066">
        <v>39</v>
      </c>
      <c r="E3066" t="s">
        <v>6</v>
      </c>
      <c r="F3066" t="s">
        <v>7</v>
      </c>
    </row>
    <row r="3067" spans="1:6" x14ac:dyDescent="0.3">
      <c r="A3067">
        <v>221130434</v>
      </c>
      <c r="B3067" s="1">
        <v>45176</v>
      </c>
      <c r="D3067">
        <v>39</v>
      </c>
      <c r="E3067" t="s">
        <v>6</v>
      </c>
      <c r="F3067" t="s">
        <v>7</v>
      </c>
    </row>
    <row r="3068" spans="1:6" x14ac:dyDescent="0.3">
      <c r="A3068">
        <v>221189604</v>
      </c>
      <c r="B3068" s="1">
        <v>45177</v>
      </c>
      <c r="D3068">
        <v>39</v>
      </c>
      <c r="E3068" t="s">
        <v>6</v>
      </c>
      <c r="F3068" t="s">
        <v>7</v>
      </c>
    </row>
    <row r="3069" spans="1:6" x14ac:dyDescent="0.3">
      <c r="A3069">
        <v>215174643</v>
      </c>
      <c r="B3069" s="1">
        <v>45177</v>
      </c>
      <c r="D3069">
        <v>39</v>
      </c>
      <c r="E3069" t="s">
        <v>6</v>
      </c>
      <c r="F3069" t="s">
        <v>7</v>
      </c>
    </row>
    <row r="3070" spans="1:6" x14ac:dyDescent="0.3">
      <c r="A3070">
        <v>188354637</v>
      </c>
      <c r="B3070" s="1">
        <v>45177</v>
      </c>
      <c r="D3070">
        <v>39</v>
      </c>
      <c r="E3070" t="s">
        <v>6</v>
      </c>
      <c r="F307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8F2E-980A-4888-B06C-1F527CBFAD2B}">
  <dimension ref="A3:L38"/>
  <sheetViews>
    <sheetView tabSelected="1" topLeftCell="H10" workbookViewId="0">
      <selection activeCell="J34" sqref="J34"/>
    </sheetView>
  </sheetViews>
  <sheetFormatPr defaultRowHeight="14.4" x14ac:dyDescent="0.3"/>
  <cols>
    <col min="1" max="1" width="12.44140625" bestFit="1" customWidth="1"/>
    <col min="2" max="2" width="18.6640625" bestFit="1" customWidth="1"/>
    <col min="11" max="11" width="12.44140625" bestFit="1" customWidth="1"/>
    <col min="12" max="12" width="23.21875" bestFit="1" customWidth="1"/>
    <col min="13" max="13" width="2" bestFit="1" customWidth="1"/>
    <col min="14" max="14" width="10.5546875" bestFit="1" customWidth="1"/>
    <col min="15" max="23" width="7.109375" bestFit="1" customWidth="1"/>
    <col min="24" max="24" width="6.109375" bestFit="1" customWidth="1"/>
    <col min="25" max="25" width="10.5546875" bestFit="1" customWidth="1"/>
  </cols>
  <sheetData>
    <row r="3" spans="1:12" x14ac:dyDescent="0.3">
      <c r="A3" s="2" t="s">
        <v>12</v>
      </c>
      <c r="B3" t="s">
        <v>16</v>
      </c>
      <c r="K3" s="2" t="s">
        <v>12</v>
      </c>
      <c r="L3" t="s">
        <v>16</v>
      </c>
    </row>
    <row r="4" spans="1:12" x14ac:dyDescent="0.3">
      <c r="A4" s="3" t="s">
        <v>14</v>
      </c>
      <c r="B4" s="4">
        <v>832</v>
      </c>
      <c r="K4" s="3" t="s">
        <v>14</v>
      </c>
      <c r="L4" s="4"/>
    </row>
    <row r="5" spans="1:12" x14ac:dyDescent="0.3">
      <c r="A5" s="5" t="s">
        <v>17</v>
      </c>
      <c r="B5" s="4">
        <v>217</v>
      </c>
      <c r="K5" s="5" t="s">
        <v>17</v>
      </c>
      <c r="L5" s="4">
        <v>217</v>
      </c>
    </row>
    <row r="6" spans="1:12" x14ac:dyDescent="0.3">
      <c r="A6" s="5" t="s">
        <v>18</v>
      </c>
      <c r="B6" s="4">
        <v>196</v>
      </c>
      <c r="K6" s="5" t="s">
        <v>18</v>
      </c>
      <c r="L6" s="4">
        <v>196</v>
      </c>
    </row>
    <row r="7" spans="1:12" x14ac:dyDescent="0.3">
      <c r="A7" s="5" t="s">
        <v>19</v>
      </c>
      <c r="B7" s="4">
        <v>189</v>
      </c>
      <c r="K7" s="5" t="s">
        <v>19</v>
      </c>
      <c r="L7" s="4">
        <v>189</v>
      </c>
    </row>
    <row r="8" spans="1:12" x14ac:dyDescent="0.3">
      <c r="A8" s="5" t="s">
        <v>20</v>
      </c>
      <c r="B8" s="4">
        <v>230</v>
      </c>
      <c r="K8" s="5" t="s">
        <v>20</v>
      </c>
      <c r="L8" s="4">
        <v>230</v>
      </c>
    </row>
    <row r="9" spans="1:12" x14ac:dyDescent="0.3">
      <c r="A9" s="3" t="s">
        <v>15</v>
      </c>
      <c r="B9" s="4">
        <v>2237</v>
      </c>
      <c r="K9" s="3" t="s">
        <v>15</v>
      </c>
      <c r="L9" s="4"/>
    </row>
    <row r="10" spans="1:12" x14ac:dyDescent="0.3">
      <c r="A10" s="5" t="s">
        <v>21</v>
      </c>
      <c r="B10" s="4">
        <v>273</v>
      </c>
      <c r="K10" s="5" t="s">
        <v>21</v>
      </c>
      <c r="L10" s="4">
        <v>273</v>
      </c>
    </row>
    <row r="11" spans="1:12" x14ac:dyDescent="0.3">
      <c r="A11" s="5" t="s">
        <v>22</v>
      </c>
      <c r="B11" s="4">
        <v>275</v>
      </c>
      <c r="K11" s="5" t="s">
        <v>22</v>
      </c>
      <c r="L11" s="4">
        <v>275</v>
      </c>
    </row>
    <row r="12" spans="1:12" x14ac:dyDescent="0.3">
      <c r="A12" s="5" t="s">
        <v>23</v>
      </c>
      <c r="B12" s="4">
        <v>266</v>
      </c>
      <c r="K12" s="5" t="s">
        <v>23</v>
      </c>
      <c r="L12" s="4">
        <v>266</v>
      </c>
    </row>
    <row r="13" spans="1:12" x14ac:dyDescent="0.3">
      <c r="A13" s="5" t="s">
        <v>24</v>
      </c>
      <c r="B13" s="4">
        <v>223</v>
      </c>
      <c r="K13" s="5" t="s">
        <v>24</v>
      </c>
      <c r="L13" s="4">
        <v>223</v>
      </c>
    </row>
    <row r="14" spans="1:12" x14ac:dyDescent="0.3">
      <c r="A14" s="5" t="s">
        <v>25</v>
      </c>
      <c r="B14" s="4">
        <v>285</v>
      </c>
      <c r="K14" s="5" t="s">
        <v>25</v>
      </c>
      <c r="L14" s="4">
        <v>285</v>
      </c>
    </row>
    <row r="15" spans="1:12" x14ac:dyDescent="0.3">
      <c r="A15" s="5" t="s">
        <v>26</v>
      </c>
      <c r="B15" s="4">
        <v>275</v>
      </c>
      <c r="K15" s="5" t="s">
        <v>26</v>
      </c>
      <c r="L15" s="4">
        <v>275</v>
      </c>
    </row>
    <row r="16" spans="1:12" x14ac:dyDescent="0.3">
      <c r="A16" s="5" t="s">
        <v>27</v>
      </c>
      <c r="B16" s="4">
        <v>306</v>
      </c>
      <c r="K16" s="5" t="s">
        <v>27</v>
      </c>
      <c r="L16" s="4">
        <v>306</v>
      </c>
    </row>
    <row r="17" spans="1:12" x14ac:dyDescent="0.3">
      <c r="A17" s="5" t="s">
        <v>28</v>
      </c>
      <c r="B17" s="4">
        <v>268</v>
      </c>
      <c r="K17" s="5" t="s">
        <v>28</v>
      </c>
      <c r="L17" s="4">
        <v>268</v>
      </c>
    </row>
    <row r="18" spans="1:12" x14ac:dyDescent="0.3">
      <c r="A18" s="5" t="s">
        <v>17</v>
      </c>
      <c r="B18" s="4">
        <v>66</v>
      </c>
      <c r="K18" s="5" t="s">
        <v>17</v>
      </c>
      <c r="L18" s="4">
        <v>66</v>
      </c>
    </row>
    <row r="19" spans="1:12" x14ac:dyDescent="0.3">
      <c r="A19" s="3" t="s">
        <v>13</v>
      </c>
      <c r="B19" s="4">
        <v>3069</v>
      </c>
      <c r="K19" s="3" t="s">
        <v>13</v>
      </c>
      <c r="L19" s="4">
        <v>3069</v>
      </c>
    </row>
    <row r="22" spans="1:12" x14ac:dyDescent="0.3">
      <c r="K22" s="2" t="s">
        <v>12</v>
      </c>
      <c r="L22" t="s">
        <v>31</v>
      </c>
    </row>
    <row r="23" spans="1:12" x14ac:dyDescent="0.3">
      <c r="K23" s="3" t="s">
        <v>14</v>
      </c>
      <c r="L23" s="7"/>
    </row>
    <row r="24" spans="1:12" x14ac:dyDescent="0.3">
      <c r="K24" s="5" t="s">
        <v>17</v>
      </c>
      <c r="L24" s="7">
        <v>0.84792626728110598</v>
      </c>
    </row>
    <row r="25" spans="1:12" x14ac:dyDescent="0.3">
      <c r="A25" s="2" t="s">
        <v>12</v>
      </c>
      <c r="B25" t="s">
        <v>29</v>
      </c>
      <c r="K25" s="5" t="s">
        <v>18</v>
      </c>
      <c r="L25" s="7">
        <v>0.87755102040816324</v>
      </c>
    </row>
    <row r="26" spans="1:12" x14ac:dyDescent="0.3">
      <c r="A26" s="3">
        <v>0</v>
      </c>
      <c r="B26" s="6">
        <v>0.81557510589768656</v>
      </c>
      <c r="K26" s="5" t="s">
        <v>19</v>
      </c>
      <c r="L26" s="7">
        <v>0.85185185185185186</v>
      </c>
    </row>
    <row r="27" spans="1:12" x14ac:dyDescent="0.3">
      <c r="A27" s="3">
        <v>1</v>
      </c>
      <c r="B27" s="6">
        <v>0.18442489410231347</v>
      </c>
      <c r="K27" s="5" t="s">
        <v>20</v>
      </c>
      <c r="L27" s="7">
        <v>0.85652173913043483</v>
      </c>
    </row>
    <row r="28" spans="1:12" x14ac:dyDescent="0.3">
      <c r="A28" s="3" t="s">
        <v>13</v>
      </c>
      <c r="B28" s="6">
        <v>1</v>
      </c>
      <c r="K28" s="3" t="s">
        <v>15</v>
      </c>
      <c r="L28" s="7"/>
    </row>
    <row r="29" spans="1:12" x14ac:dyDescent="0.3">
      <c r="K29" s="5" t="s">
        <v>21</v>
      </c>
      <c r="L29" s="7">
        <v>0.86813186813186816</v>
      </c>
    </row>
    <row r="30" spans="1:12" x14ac:dyDescent="0.3">
      <c r="K30" s="5" t="s">
        <v>22</v>
      </c>
      <c r="L30" s="7">
        <v>0.87272727272727268</v>
      </c>
    </row>
    <row r="31" spans="1:12" x14ac:dyDescent="0.3">
      <c r="K31" s="5" t="s">
        <v>23</v>
      </c>
      <c r="L31" s="7">
        <v>0.83458646616541354</v>
      </c>
    </row>
    <row r="32" spans="1:12" x14ac:dyDescent="0.3">
      <c r="K32" s="5" t="s">
        <v>24</v>
      </c>
      <c r="L32" s="7">
        <v>0.86098654708520184</v>
      </c>
    </row>
    <row r="33" spans="11:12" x14ac:dyDescent="0.3">
      <c r="K33" s="5" t="s">
        <v>25</v>
      </c>
      <c r="L33" s="7">
        <v>0.86315789473684212</v>
      </c>
    </row>
    <row r="34" spans="11:12" x14ac:dyDescent="0.3">
      <c r="K34" s="5" t="s">
        <v>26</v>
      </c>
      <c r="L34" s="7">
        <v>0.8545454545454545</v>
      </c>
    </row>
    <row r="35" spans="11:12" x14ac:dyDescent="0.3">
      <c r="K35" s="5" t="s">
        <v>27</v>
      </c>
      <c r="L35" s="7">
        <v>0.8529411764705882</v>
      </c>
    </row>
    <row r="36" spans="11:12" x14ac:dyDescent="0.3">
      <c r="K36" s="5" t="s">
        <v>28</v>
      </c>
      <c r="L36" s="7">
        <v>0.85820895522388063</v>
      </c>
    </row>
    <row r="37" spans="11:12" x14ac:dyDescent="0.3">
      <c r="K37" s="5" t="s">
        <v>17</v>
      </c>
      <c r="L37" s="7">
        <v>0</v>
      </c>
    </row>
    <row r="38" spans="11:12" x14ac:dyDescent="0.3">
      <c r="K38" s="3" t="s">
        <v>13</v>
      </c>
      <c r="L38" s="7">
        <v>0.83968719452590423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153E-A6A1-4F70-BC47-3E93953C3556}">
  <dimension ref="A1:J3070"/>
  <sheetViews>
    <sheetView workbookViewId="0">
      <selection activeCell="J3" sqref="J3"/>
    </sheetView>
  </sheetViews>
  <sheetFormatPr defaultRowHeight="14.4" x14ac:dyDescent="0.3"/>
  <cols>
    <col min="1" max="5" width="21" customWidth="1"/>
    <col min="6" max="6" width="21.88671875" customWidth="1"/>
    <col min="7" max="7" width="16.5546875" customWidth="1"/>
    <col min="8" max="8" width="15.109375" customWidth="1"/>
    <col min="9" max="9" width="27" customWidth="1"/>
    <col min="10" max="10" width="16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30</v>
      </c>
    </row>
    <row r="2" spans="1:10" x14ac:dyDescent="0.3">
      <c r="A2">
        <v>154536156</v>
      </c>
      <c r="B2" s="1">
        <v>44805</v>
      </c>
      <c r="D2">
        <v>39</v>
      </c>
      <c r="E2" t="s">
        <v>6</v>
      </c>
      <c r="F2" t="s">
        <v>7</v>
      </c>
      <c r="G2" s="1">
        <f>IF(ISBLANK(C2), DATE(2023,9,30), C2)</f>
        <v>45199</v>
      </c>
      <c r="H2">
        <f>(YEAR(G2)-YEAR(B2))*12 + (MONTH(G2)-MONTH(B2))</f>
        <v>12</v>
      </c>
      <c r="I2">
        <f>IF(H2 &gt;=5, 1, 0)</f>
        <v>1</v>
      </c>
      <c r="J2">
        <f>IF(Table1[[#This Row],[Active_months]]&gt;=1, 1, 0)</f>
        <v>1</v>
      </c>
    </row>
    <row r="3" spans="1:10" x14ac:dyDescent="0.3">
      <c r="A3">
        <v>149713408</v>
      </c>
      <c r="B3" s="1">
        <v>44805</v>
      </c>
      <c r="C3" s="1">
        <v>44806</v>
      </c>
      <c r="D3">
        <v>39</v>
      </c>
      <c r="E3" t="s">
        <v>6</v>
      </c>
      <c r="F3" t="s">
        <v>8</v>
      </c>
      <c r="G3" s="1">
        <f t="shared" ref="G3:G66" si="0">IF(ISBLANK(C3), DATE(2023,9,30), C3)</f>
        <v>44806</v>
      </c>
      <c r="H3">
        <f t="shared" ref="H3:H66" si="1">(YEAR(G3)-YEAR(B3))*12 + (MONTH(G3)-MONTH(B3))</f>
        <v>0</v>
      </c>
      <c r="I3">
        <f t="shared" ref="I3:I66" si="2">IF(H3 &gt;=5, 1, 0)</f>
        <v>0</v>
      </c>
      <c r="J3">
        <f>IF(Table1[[#This Row],[Active_months]]&gt;=1, 1, 0)</f>
        <v>0</v>
      </c>
    </row>
    <row r="4" spans="1:10" x14ac:dyDescent="0.3">
      <c r="A4">
        <v>153756284</v>
      </c>
      <c r="B4" s="1">
        <v>44805</v>
      </c>
      <c r="C4" s="1">
        <v>44806</v>
      </c>
      <c r="D4">
        <v>39</v>
      </c>
      <c r="E4" t="s">
        <v>6</v>
      </c>
      <c r="F4" t="s">
        <v>8</v>
      </c>
      <c r="G4" s="1">
        <f t="shared" si="0"/>
        <v>44806</v>
      </c>
      <c r="H4">
        <f t="shared" si="1"/>
        <v>0</v>
      </c>
      <c r="I4">
        <f t="shared" si="2"/>
        <v>0</v>
      </c>
      <c r="J4">
        <f>IF(Table1[[#This Row],[Active_months]]&gt;=1, 1, 0)</f>
        <v>0</v>
      </c>
    </row>
    <row r="5" spans="1:10" x14ac:dyDescent="0.3">
      <c r="A5">
        <v>121253113</v>
      </c>
      <c r="B5" s="1">
        <v>44805</v>
      </c>
      <c r="C5" s="1">
        <v>44827</v>
      </c>
      <c r="D5">
        <v>39</v>
      </c>
      <c r="E5" t="s">
        <v>6</v>
      </c>
      <c r="F5" t="s">
        <v>7</v>
      </c>
      <c r="G5" s="1">
        <f t="shared" si="0"/>
        <v>44827</v>
      </c>
      <c r="H5">
        <f t="shared" si="1"/>
        <v>0</v>
      </c>
      <c r="I5">
        <f t="shared" si="2"/>
        <v>0</v>
      </c>
      <c r="J5">
        <f>IF(Table1[[#This Row],[Active_months]]&gt;=1, 1, 0)</f>
        <v>0</v>
      </c>
    </row>
    <row r="6" spans="1:10" x14ac:dyDescent="0.3">
      <c r="A6">
        <v>154467210</v>
      </c>
      <c r="B6" s="1">
        <v>44805</v>
      </c>
      <c r="C6" s="1">
        <v>45106</v>
      </c>
      <c r="D6">
        <v>39</v>
      </c>
      <c r="E6" t="s">
        <v>6</v>
      </c>
      <c r="F6" t="s">
        <v>7</v>
      </c>
      <c r="G6" s="1">
        <f t="shared" si="0"/>
        <v>45106</v>
      </c>
      <c r="H6">
        <f t="shared" si="1"/>
        <v>9</v>
      </c>
      <c r="I6">
        <f t="shared" si="2"/>
        <v>1</v>
      </c>
      <c r="J6">
        <f>IF(Table1[[#This Row],[Active_months]]&gt;=1, 1, 0)</f>
        <v>1</v>
      </c>
    </row>
    <row r="7" spans="1:10" x14ac:dyDescent="0.3">
      <c r="A7">
        <v>154510811</v>
      </c>
      <c r="B7" s="1">
        <v>44805</v>
      </c>
      <c r="C7" s="1">
        <v>45054</v>
      </c>
      <c r="D7">
        <v>39</v>
      </c>
      <c r="E7" t="s">
        <v>6</v>
      </c>
      <c r="F7" t="s">
        <v>7</v>
      </c>
      <c r="G7" s="1">
        <f t="shared" si="0"/>
        <v>45054</v>
      </c>
      <c r="H7">
        <f t="shared" si="1"/>
        <v>8</v>
      </c>
      <c r="I7">
        <f t="shared" si="2"/>
        <v>1</v>
      </c>
      <c r="J7">
        <f>IF(Table1[[#This Row],[Active_months]]&gt;=1, 1, 0)</f>
        <v>1</v>
      </c>
    </row>
    <row r="8" spans="1:10" x14ac:dyDescent="0.3">
      <c r="A8">
        <v>154494346</v>
      </c>
      <c r="B8" s="1">
        <v>44805</v>
      </c>
      <c r="C8" s="1">
        <v>44891</v>
      </c>
      <c r="D8">
        <v>39</v>
      </c>
      <c r="E8" t="s">
        <v>6</v>
      </c>
      <c r="F8" t="s">
        <v>7</v>
      </c>
      <c r="G8" s="1">
        <f t="shared" si="0"/>
        <v>44891</v>
      </c>
      <c r="H8">
        <f t="shared" si="1"/>
        <v>2</v>
      </c>
      <c r="I8">
        <f t="shared" si="2"/>
        <v>0</v>
      </c>
      <c r="J8">
        <f>IF(Table1[[#This Row],[Active_months]]&gt;=1, 1, 0)</f>
        <v>1</v>
      </c>
    </row>
    <row r="9" spans="1:10" x14ac:dyDescent="0.3">
      <c r="A9">
        <v>148671505</v>
      </c>
      <c r="B9" s="1">
        <v>44805</v>
      </c>
      <c r="C9" s="1">
        <v>44888</v>
      </c>
      <c r="D9">
        <v>39</v>
      </c>
      <c r="E9" t="s">
        <v>6</v>
      </c>
      <c r="F9" t="s">
        <v>7</v>
      </c>
      <c r="G9" s="1">
        <f t="shared" si="0"/>
        <v>44888</v>
      </c>
      <c r="H9">
        <f t="shared" si="1"/>
        <v>2</v>
      </c>
      <c r="I9">
        <f t="shared" si="2"/>
        <v>0</v>
      </c>
      <c r="J9">
        <f>IF(Table1[[#This Row],[Active_months]]&gt;=1, 1, 0)</f>
        <v>1</v>
      </c>
    </row>
    <row r="10" spans="1:10" x14ac:dyDescent="0.3">
      <c r="A10">
        <v>154568379</v>
      </c>
      <c r="B10" s="1">
        <v>44805</v>
      </c>
      <c r="C10" s="1">
        <v>44859</v>
      </c>
      <c r="D10">
        <v>39</v>
      </c>
      <c r="E10" t="s">
        <v>6</v>
      </c>
      <c r="F10" t="s">
        <v>7</v>
      </c>
      <c r="G10" s="1">
        <f t="shared" si="0"/>
        <v>44859</v>
      </c>
      <c r="H10">
        <f t="shared" si="1"/>
        <v>1</v>
      </c>
      <c r="I10">
        <f t="shared" si="2"/>
        <v>0</v>
      </c>
      <c r="J10">
        <f>IF(Table1[[#This Row],[Active_months]]&gt;=1, 1, 0)</f>
        <v>1</v>
      </c>
    </row>
    <row r="11" spans="1:10" x14ac:dyDescent="0.3">
      <c r="A11">
        <v>154428434</v>
      </c>
      <c r="B11" s="1">
        <v>44805</v>
      </c>
      <c r="C11" s="1">
        <v>44865</v>
      </c>
      <c r="D11">
        <v>39</v>
      </c>
      <c r="E11" t="s">
        <v>6</v>
      </c>
      <c r="F11" t="s">
        <v>7</v>
      </c>
      <c r="G11" s="1">
        <f t="shared" si="0"/>
        <v>44865</v>
      </c>
      <c r="H11">
        <f t="shared" si="1"/>
        <v>1</v>
      </c>
      <c r="I11">
        <f t="shared" si="2"/>
        <v>0</v>
      </c>
      <c r="J11">
        <f>IF(Table1[[#This Row],[Active_months]]&gt;=1, 1, 0)</f>
        <v>1</v>
      </c>
    </row>
    <row r="12" spans="1:10" x14ac:dyDescent="0.3">
      <c r="A12">
        <v>154601651</v>
      </c>
      <c r="B12" s="1">
        <v>44805</v>
      </c>
      <c r="C12" s="1">
        <v>44830</v>
      </c>
      <c r="D12">
        <v>39</v>
      </c>
      <c r="E12" t="s">
        <v>6</v>
      </c>
      <c r="F12" t="s">
        <v>7</v>
      </c>
      <c r="G12" s="1">
        <f t="shared" si="0"/>
        <v>44830</v>
      </c>
      <c r="H12">
        <f t="shared" si="1"/>
        <v>0</v>
      </c>
      <c r="I12">
        <f t="shared" si="2"/>
        <v>0</v>
      </c>
      <c r="J12">
        <f>IF(Table1[[#This Row],[Active_months]]&gt;=1, 1, 0)</f>
        <v>0</v>
      </c>
    </row>
    <row r="13" spans="1:10" x14ac:dyDescent="0.3">
      <c r="A13">
        <v>122824692</v>
      </c>
      <c r="B13" s="1">
        <v>44805</v>
      </c>
      <c r="C13" s="1">
        <v>44819</v>
      </c>
      <c r="D13">
        <v>39</v>
      </c>
      <c r="E13" t="s">
        <v>6</v>
      </c>
      <c r="F13" t="s">
        <v>7</v>
      </c>
      <c r="G13" s="1">
        <f t="shared" si="0"/>
        <v>44819</v>
      </c>
      <c r="H13">
        <f t="shared" si="1"/>
        <v>0</v>
      </c>
      <c r="I13">
        <f t="shared" si="2"/>
        <v>0</v>
      </c>
      <c r="J13">
        <f>IF(Table1[[#This Row],[Active_months]]&gt;=1, 1, 0)</f>
        <v>0</v>
      </c>
    </row>
    <row r="14" spans="1:10" x14ac:dyDescent="0.3">
      <c r="A14">
        <v>152925600</v>
      </c>
      <c r="B14" s="1">
        <v>44806</v>
      </c>
      <c r="D14">
        <v>39</v>
      </c>
      <c r="E14" t="s">
        <v>6</v>
      </c>
      <c r="F14" t="s">
        <v>7</v>
      </c>
      <c r="G14" s="1">
        <f t="shared" si="0"/>
        <v>45199</v>
      </c>
      <c r="H14">
        <f t="shared" si="1"/>
        <v>12</v>
      </c>
      <c r="I14">
        <f t="shared" si="2"/>
        <v>1</v>
      </c>
      <c r="J14">
        <f>IF(Table1[[#This Row],[Active_months]]&gt;=1, 1, 0)</f>
        <v>1</v>
      </c>
    </row>
    <row r="15" spans="1:10" x14ac:dyDescent="0.3">
      <c r="A15">
        <v>151154171</v>
      </c>
      <c r="B15" s="1">
        <v>44806</v>
      </c>
      <c r="C15" s="1">
        <v>44806</v>
      </c>
      <c r="D15">
        <v>39</v>
      </c>
      <c r="E15" t="s">
        <v>6</v>
      </c>
      <c r="F15" t="s">
        <v>7</v>
      </c>
      <c r="G15" s="1">
        <f t="shared" si="0"/>
        <v>44806</v>
      </c>
      <c r="H15">
        <f t="shared" si="1"/>
        <v>0</v>
      </c>
      <c r="I15">
        <f t="shared" si="2"/>
        <v>0</v>
      </c>
      <c r="J15">
        <f>IF(Table1[[#This Row],[Active_months]]&gt;=1, 1, 0)</f>
        <v>0</v>
      </c>
    </row>
    <row r="16" spans="1:10" x14ac:dyDescent="0.3">
      <c r="A16">
        <v>154640950</v>
      </c>
      <c r="B16" s="1">
        <v>44806</v>
      </c>
      <c r="C16" s="1">
        <v>44904</v>
      </c>
      <c r="D16">
        <v>39</v>
      </c>
      <c r="E16" t="s">
        <v>6</v>
      </c>
      <c r="F16" t="s">
        <v>7</v>
      </c>
      <c r="G16" s="1">
        <f t="shared" si="0"/>
        <v>44904</v>
      </c>
      <c r="H16">
        <f t="shared" si="1"/>
        <v>3</v>
      </c>
      <c r="I16">
        <f t="shared" si="2"/>
        <v>0</v>
      </c>
      <c r="J16">
        <f>IF(Table1[[#This Row],[Active_months]]&gt;=1, 1, 0)</f>
        <v>1</v>
      </c>
    </row>
    <row r="17" spans="1:10" x14ac:dyDescent="0.3">
      <c r="A17">
        <v>154617329</v>
      </c>
      <c r="B17" s="1">
        <v>44806</v>
      </c>
      <c r="C17" s="1">
        <v>44861</v>
      </c>
      <c r="D17">
        <v>39</v>
      </c>
      <c r="E17" t="s">
        <v>6</v>
      </c>
      <c r="F17" t="s">
        <v>7</v>
      </c>
      <c r="G17" s="1">
        <f t="shared" si="0"/>
        <v>44861</v>
      </c>
      <c r="H17">
        <f t="shared" si="1"/>
        <v>1</v>
      </c>
      <c r="I17">
        <f t="shared" si="2"/>
        <v>0</v>
      </c>
      <c r="J17">
        <f>IF(Table1[[#This Row],[Active_months]]&gt;=1, 1, 0)</f>
        <v>1</v>
      </c>
    </row>
    <row r="18" spans="1:10" x14ac:dyDescent="0.3">
      <c r="A18">
        <v>154089211</v>
      </c>
      <c r="B18" s="1">
        <v>44806</v>
      </c>
      <c r="C18" s="1">
        <v>44843</v>
      </c>
      <c r="D18">
        <v>39</v>
      </c>
      <c r="E18" t="s">
        <v>6</v>
      </c>
      <c r="F18" t="s">
        <v>7</v>
      </c>
      <c r="G18" s="1">
        <f t="shared" si="0"/>
        <v>44843</v>
      </c>
      <c r="H18">
        <f t="shared" si="1"/>
        <v>1</v>
      </c>
      <c r="I18">
        <f t="shared" si="2"/>
        <v>0</v>
      </c>
      <c r="J18">
        <f>IF(Table1[[#This Row],[Active_months]]&gt;=1, 1, 0)</f>
        <v>1</v>
      </c>
    </row>
    <row r="19" spans="1:10" x14ac:dyDescent="0.3">
      <c r="A19">
        <v>154653820</v>
      </c>
      <c r="B19" s="1">
        <v>44806</v>
      </c>
      <c r="C19" s="1">
        <v>44830</v>
      </c>
      <c r="D19">
        <v>39</v>
      </c>
      <c r="E19" t="s">
        <v>6</v>
      </c>
      <c r="F19" t="s">
        <v>7</v>
      </c>
      <c r="G19" s="1">
        <f t="shared" si="0"/>
        <v>44830</v>
      </c>
      <c r="H19">
        <f t="shared" si="1"/>
        <v>0</v>
      </c>
      <c r="I19">
        <f t="shared" si="2"/>
        <v>0</v>
      </c>
      <c r="J19">
        <f>IF(Table1[[#This Row],[Active_months]]&gt;=1, 1, 0)</f>
        <v>0</v>
      </c>
    </row>
    <row r="20" spans="1:10" x14ac:dyDescent="0.3">
      <c r="A20">
        <v>154131290</v>
      </c>
      <c r="B20" s="1">
        <v>44807</v>
      </c>
      <c r="D20">
        <v>39</v>
      </c>
      <c r="E20" t="s">
        <v>6</v>
      </c>
      <c r="F20" t="s">
        <v>7</v>
      </c>
      <c r="G20" s="1">
        <f t="shared" si="0"/>
        <v>45199</v>
      </c>
      <c r="H20">
        <f t="shared" si="1"/>
        <v>12</v>
      </c>
      <c r="I20">
        <f t="shared" si="2"/>
        <v>1</v>
      </c>
      <c r="J20">
        <f>IF(Table1[[#This Row],[Active_months]]&gt;=1, 1, 0)</f>
        <v>1</v>
      </c>
    </row>
    <row r="21" spans="1:10" x14ac:dyDescent="0.3">
      <c r="A21">
        <v>154434009</v>
      </c>
      <c r="B21" s="1">
        <v>44807</v>
      </c>
      <c r="D21">
        <v>39</v>
      </c>
      <c r="E21" t="s">
        <v>6</v>
      </c>
      <c r="F21" t="s">
        <v>7</v>
      </c>
      <c r="G21" s="1">
        <f t="shared" si="0"/>
        <v>45199</v>
      </c>
      <c r="H21">
        <f t="shared" si="1"/>
        <v>12</v>
      </c>
      <c r="I21">
        <f t="shared" si="2"/>
        <v>1</v>
      </c>
      <c r="J21">
        <f>IF(Table1[[#This Row],[Active_months]]&gt;=1, 1, 0)</f>
        <v>1</v>
      </c>
    </row>
    <row r="22" spans="1:10" x14ac:dyDescent="0.3">
      <c r="A22">
        <v>136108848</v>
      </c>
      <c r="B22" s="1">
        <v>44807</v>
      </c>
      <c r="C22" s="1">
        <v>44808</v>
      </c>
      <c r="D22">
        <v>39</v>
      </c>
      <c r="E22" t="s">
        <v>6</v>
      </c>
      <c r="F22" t="s">
        <v>7</v>
      </c>
      <c r="G22" s="1">
        <f t="shared" si="0"/>
        <v>44808</v>
      </c>
      <c r="H22">
        <f t="shared" si="1"/>
        <v>0</v>
      </c>
      <c r="I22">
        <f t="shared" si="2"/>
        <v>0</v>
      </c>
      <c r="J22">
        <f>IF(Table1[[#This Row],[Active_months]]&gt;=1, 1, 0)</f>
        <v>0</v>
      </c>
    </row>
    <row r="23" spans="1:10" x14ac:dyDescent="0.3">
      <c r="A23">
        <v>135185873</v>
      </c>
      <c r="B23" s="1">
        <v>44807</v>
      </c>
      <c r="C23" s="1">
        <v>45056</v>
      </c>
      <c r="D23">
        <v>39</v>
      </c>
      <c r="E23" t="s">
        <v>6</v>
      </c>
      <c r="F23" t="s">
        <v>7</v>
      </c>
      <c r="G23" s="1">
        <f t="shared" si="0"/>
        <v>45056</v>
      </c>
      <c r="H23">
        <f t="shared" si="1"/>
        <v>8</v>
      </c>
      <c r="I23">
        <f t="shared" si="2"/>
        <v>1</v>
      </c>
      <c r="J23">
        <f>IF(Table1[[#This Row],[Active_months]]&gt;=1, 1, 0)</f>
        <v>1</v>
      </c>
    </row>
    <row r="24" spans="1:10" x14ac:dyDescent="0.3">
      <c r="A24">
        <v>154592664</v>
      </c>
      <c r="B24" s="1">
        <v>44807</v>
      </c>
      <c r="C24" s="1">
        <v>45017</v>
      </c>
      <c r="D24">
        <v>39</v>
      </c>
      <c r="E24" t="s">
        <v>6</v>
      </c>
      <c r="F24" t="s">
        <v>7</v>
      </c>
      <c r="G24" s="1">
        <f t="shared" si="0"/>
        <v>45017</v>
      </c>
      <c r="H24">
        <f t="shared" si="1"/>
        <v>7</v>
      </c>
      <c r="I24">
        <f t="shared" si="2"/>
        <v>1</v>
      </c>
      <c r="J24">
        <f>IF(Table1[[#This Row],[Active_months]]&gt;=1, 1, 0)</f>
        <v>1</v>
      </c>
    </row>
    <row r="25" spans="1:10" x14ac:dyDescent="0.3">
      <c r="A25">
        <v>119436804</v>
      </c>
      <c r="B25" s="1">
        <v>44807</v>
      </c>
      <c r="C25" s="1">
        <v>45026</v>
      </c>
      <c r="D25">
        <v>39</v>
      </c>
      <c r="E25" t="s">
        <v>6</v>
      </c>
      <c r="F25" t="s">
        <v>7</v>
      </c>
      <c r="G25" s="1">
        <f t="shared" si="0"/>
        <v>45026</v>
      </c>
      <c r="H25">
        <f t="shared" si="1"/>
        <v>7</v>
      </c>
      <c r="I25">
        <f t="shared" si="2"/>
        <v>1</v>
      </c>
      <c r="J25">
        <f>IF(Table1[[#This Row],[Active_months]]&gt;=1, 1, 0)</f>
        <v>1</v>
      </c>
    </row>
    <row r="26" spans="1:10" x14ac:dyDescent="0.3">
      <c r="A26">
        <v>152929657</v>
      </c>
      <c r="B26" s="1">
        <v>44807</v>
      </c>
      <c r="C26" s="1">
        <v>44888</v>
      </c>
      <c r="D26">
        <v>39</v>
      </c>
      <c r="E26" t="s">
        <v>6</v>
      </c>
      <c r="F26" t="s">
        <v>7</v>
      </c>
      <c r="G26" s="1">
        <f t="shared" si="0"/>
        <v>44888</v>
      </c>
      <c r="H26">
        <f t="shared" si="1"/>
        <v>2</v>
      </c>
      <c r="I26">
        <f t="shared" si="2"/>
        <v>0</v>
      </c>
      <c r="J26">
        <f>IF(Table1[[#This Row],[Active_months]]&gt;=1, 1, 0)</f>
        <v>1</v>
      </c>
    </row>
    <row r="27" spans="1:10" x14ac:dyDescent="0.3">
      <c r="A27">
        <v>154708974</v>
      </c>
      <c r="B27" s="1">
        <v>44807</v>
      </c>
      <c r="C27" s="1">
        <v>44852</v>
      </c>
      <c r="D27">
        <v>39</v>
      </c>
      <c r="E27" t="s">
        <v>6</v>
      </c>
      <c r="F27" t="s">
        <v>7</v>
      </c>
      <c r="G27" s="1">
        <f t="shared" si="0"/>
        <v>44852</v>
      </c>
      <c r="H27">
        <f t="shared" si="1"/>
        <v>1</v>
      </c>
      <c r="I27">
        <f t="shared" si="2"/>
        <v>0</v>
      </c>
      <c r="J27">
        <f>IF(Table1[[#This Row],[Active_months]]&gt;=1, 1, 0)</f>
        <v>1</v>
      </c>
    </row>
    <row r="28" spans="1:10" x14ac:dyDescent="0.3">
      <c r="A28">
        <v>154567722</v>
      </c>
      <c r="B28" s="1">
        <v>44807</v>
      </c>
      <c r="C28" s="1">
        <v>44833</v>
      </c>
      <c r="D28">
        <v>39</v>
      </c>
      <c r="E28" t="s">
        <v>6</v>
      </c>
      <c r="F28" t="s">
        <v>7</v>
      </c>
      <c r="G28" s="1">
        <f t="shared" si="0"/>
        <v>44833</v>
      </c>
      <c r="H28">
        <f t="shared" si="1"/>
        <v>0</v>
      </c>
      <c r="I28">
        <f t="shared" si="2"/>
        <v>0</v>
      </c>
      <c r="J28">
        <f>IF(Table1[[#This Row],[Active_months]]&gt;=1, 1, 0)</f>
        <v>0</v>
      </c>
    </row>
    <row r="29" spans="1:10" x14ac:dyDescent="0.3">
      <c r="A29">
        <v>154719788</v>
      </c>
      <c r="B29" s="1">
        <v>44807</v>
      </c>
      <c r="C29" s="1">
        <v>44829</v>
      </c>
      <c r="D29">
        <v>39</v>
      </c>
      <c r="E29" t="s">
        <v>6</v>
      </c>
      <c r="F29" t="s">
        <v>7</v>
      </c>
      <c r="G29" s="1">
        <f t="shared" si="0"/>
        <v>44829</v>
      </c>
      <c r="H29">
        <f t="shared" si="1"/>
        <v>0</v>
      </c>
      <c r="I29">
        <f t="shared" si="2"/>
        <v>0</v>
      </c>
      <c r="J29">
        <f>IF(Table1[[#This Row],[Active_months]]&gt;=1, 1, 0)</f>
        <v>0</v>
      </c>
    </row>
    <row r="30" spans="1:10" x14ac:dyDescent="0.3">
      <c r="A30">
        <v>154809306</v>
      </c>
      <c r="B30" s="1">
        <v>44808</v>
      </c>
      <c r="C30" s="1">
        <v>44809</v>
      </c>
      <c r="D30">
        <v>39</v>
      </c>
      <c r="E30" t="s">
        <v>6</v>
      </c>
      <c r="F30" t="s">
        <v>7</v>
      </c>
      <c r="G30" s="1">
        <f t="shared" si="0"/>
        <v>44809</v>
      </c>
      <c r="H30">
        <f t="shared" si="1"/>
        <v>0</v>
      </c>
      <c r="I30">
        <f t="shared" si="2"/>
        <v>0</v>
      </c>
      <c r="J30">
        <f>IF(Table1[[#This Row],[Active_months]]&gt;=1, 1, 0)</f>
        <v>0</v>
      </c>
    </row>
    <row r="31" spans="1:10" x14ac:dyDescent="0.3">
      <c r="A31">
        <v>140391539</v>
      </c>
      <c r="B31" s="1">
        <v>44808</v>
      </c>
      <c r="C31" s="1">
        <v>45021</v>
      </c>
      <c r="D31">
        <v>39</v>
      </c>
      <c r="E31" t="s">
        <v>6</v>
      </c>
      <c r="F31" t="s">
        <v>7</v>
      </c>
      <c r="G31" s="1">
        <f t="shared" si="0"/>
        <v>45021</v>
      </c>
      <c r="H31">
        <f t="shared" si="1"/>
        <v>7</v>
      </c>
      <c r="I31">
        <f t="shared" si="2"/>
        <v>1</v>
      </c>
      <c r="J31">
        <f>IF(Table1[[#This Row],[Active_months]]&gt;=1, 1, 0)</f>
        <v>1</v>
      </c>
    </row>
    <row r="32" spans="1:10" x14ac:dyDescent="0.3">
      <c r="A32">
        <v>153194806</v>
      </c>
      <c r="B32" s="1">
        <v>44808</v>
      </c>
      <c r="C32" s="1">
        <v>45032</v>
      </c>
      <c r="D32">
        <v>39</v>
      </c>
      <c r="E32" t="s">
        <v>6</v>
      </c>
      <c r="F32" t="s">
        <v>7</v>
      </c>
      <c r="G32" s="1">
        <f t="shared" si="0"/>
        <v>45032</v>
      </c>
      <c r="H32">
        <f t="shared" si="1"/>
        <v>7</v>
      </c>
      <c r="I32">
        <f t="shared" si="2"/>
        <v>1</v>
      </c>
      <c r="J32">
        <f>IF(Table1[[#This Row],[Active_months]]&gt;=1, 1, 0)</f>
        <v>1</v>
      </c>
    </row>
    <row r="33" spans="1:10" x14ac:dyDescent="0.3">
      <c r="A33">
        <v>144402204</v>
      </c>
      <c r="B33" s="1">
        <v>44808</v>
      </c>
      <c r="C33" s="1">
        <v>44826</v>
      </c>
      <c r="D33">
        <v>39</v>
      </c>
      <c r="E33" t="s">
        <v>6</v>
      </c>
      <c r="F33" t="s">
        <v>7</v>
      </c>
      <c r="G33" s="1">
        <f t="shared" si="0"/>
        <v>44826</v>
      </c>
      <c r="H33">
        <f t="shared" si="1"/>
        <v>0</v>
      </c>
      <c r="I33">
        <f t="shared" si="2"/>
        <v>0</v>
      </c>
      <c r="J33">
        <f>IF(Table1[[#This Row],[Active_months]]&gt;=1, 1, 0)</f>
        <v>0</v>
      </c>
    </row>
    <row r="34" spans="1:10" x14ac:dyDescent="0.3">
      <c r="A34">
        <v>154747678</v>
      </c>
      <c r="B34" s="1">
        <v>44808</v>
      </c>
      <c r="C34" s="1">
        <v>44941</v>
      </c>
      <c r="D34">
        <v>39</v>
      </c>
      <c r="E34" t="s">
        <v>6</v>
      </c>
      <c r="F34" t="s">
        <v>7</v>
      </c>
      <c r="G34" s="1">
        <f t="shared" si="0"/>
        <v>44941</v>
      </c>
      <c r="H34">
        <f t="shared" si="1"/>
        <v>4</v>
      </c>
      <c r="I34">
        <f t="shared" si="2"/>
        <v>0</v>
      </c>
      <c r="J34">
        <f>IF(Table1[[#This Row],[Active_months]]&gt;=1, 1, 0)</f>
        <v>1</v>
      </c>
    </row>
    <row r="35" spans="1:10" x14ac:dyDescent="0.3">
      <c r="A35">
        <v>130939158</v>
      </c>
      <c r="B35" s="1">
        <v>44808</v>
      </c>
      <c r="C35" s="1">
        <v>44976</v>
      </c>
      <c r="D35">
        <v>39</v>
      </c>
      <c r="E35" t="s">
        <v>6</v>
      </c>
      <c r="F35" t="s">
        <v>7</v>
      </c>
      <c r="G35" s="1">
        <f t="shared" si="0"/>
        <v>44976</v>
      </c>
      <c r="H35">
        <f t="shared" si="1"/>
        <v>5</v>
      </c>
      <c r="I35">
        <f t="shared" si="2"/>
        <v>1</v>
      </c>
      <c r="J35">
        <f>IF(Table1[[#This Row],[Active_months]]&gt;=1, 1, 0)</f>
        <v>1</v>
      </c>
    </row>
    <row r="36" spans="1:10" x14ac:dyDescent="0.3">
      <c r="A36">
        <v>150912359</v>
      </c>
      <c r="B36" s="1">
        <v>44808</v>
      </c>
      <c r="C36" s="1">
        <v>44867</v>
      </c>
      <c r="D36">
        <v>39</v>
      </c>
      <c r="E36" t="s">
        <v>6</v>
      </c>
      <c r="F36" t="s">
        <v>7</v>
      </c>
      <c r="G36" s="1">
        <f t="shared" si="0"/>
        <v>44867</v>
      </c>
      <c r="H36">
        <f t="shared" si="1"/>
        <v>2</v>
      </c>
      <c r="I36">
        <f t="shared" si="2"/>
        <v>0</v>
      </c>
      <c r="J36">
        <f>IF(Table1[[#This Row],[Active_months]]&gt;=1, 1, 0)</f>
        <v>1</v>
      </c>
    </row>
    <row r="37" spans="1:10" x14ac:dyDescent="0.3">
      <c r="A37">
        <v>154132592</v>
      </c>
      <c r="B37" s="1">
        <v>44808</v>
      </c>
      <c r="C37" s="1">
        <v>44866</v>
      </c>
      <c r="D37">
        <v>39</v>
      </c>
      <c r="E37" t="s">
        <v>6</v>
      </c>
      <c r="F37" t="s">
        <v>7</v>
      </c>
      <c r="G37" s="1">
        <f t="shared" si="0"/>
        <v>44866</v>
      </c>
      <c r="H37">
        <f t="shared" si="1"/>
        <v>2</v>
      </c>
      <c r="I37">
        <f t="shared" si="2"/>
        <v>0</v>
      </c>
      <c r="J37">
        <f>IF(Table1[[#This Row],[Active_months]]&gt;=1, 1, 0)</f>
        <v>1</v>
      </c>
    </row>
    <row r="38" spans="1:10" x14ac:dyDescent="0.3">
      <c r="A38">
        <v>153368891</v>
      </c>
      <c r="B38" s="1">
        <v>44808</v>
      </c>
      <c r="C38" s="1">
        <v>44845</v>
      </c>
      <c r="D38">
        <v>39</v>
      </c>
      <c r="E38" t="s">
        <v>6</v>
      </c>
      <c r="F38" t="s">
        <v>7</v>
      </c>
      <c r="G38" s="1">
        <f t="shared" si="0"/>
        <v>44845</v>
      </c>
      <c r="H38">
        <f t="shared" si="1"/>
        <v>1</v>
      </c>
      <c r="I38">
        <f t="shared" si="2"/>
        <v>0</v>
      </c>
      <c r="J38">
        <f>IF(Table1[[#This Row],[Active_months]]&gt;=1, 1, 0)</f>
        <v>1</v>
      </c>
    </row>
    <row r="39" spans="1:10" x14ac:dyDescent="0.3">
      <c r="A39">
        <v>154225450</v>
      </c>
      <c r="B39" s="1">
        <v>44809</v>
      </c>
      <c r="D39">
        <v>39</v>
      </c>
      <c r="E39" t="s">
        <v>6</v>
      </c>
      <c r="F39" t="s">
        <v>7</v>
      </c>
      <c r="G39" s="1">
        <f t="shared" si="0"/>
        <v>45199</v>
      </c>
      <c r="H39">
        <f t="shared" si="1"/>
        <v>12</v>
      </c>
      <c r="I39">
        <f t="shared" si="2"/>
        <v>1</v>
      </c>
      <c r="J39">
        <f>IF(Table1[[#This Row],[Active_months]]&gt;=1, 1, 0)</f>
        <v>1</v>
      </c>
    </row>
    <row r="40" spans="1:10" x14ac:dyDescent="0.3">
      <c r="A40">
        <v>154904040</v>
      </c>
      <c r="B40" s="1">
        <v>44809</v>
      </c>
      <c r="C40" s="1">
        <v>44810</v>
      </c>
      <c r="D40">
        <v>39</v>
      </c>
      <c r="E40" t="s">
        <v>6</v>
      </c>
      <c r="F40" t="s">
        <v>7</v>
      </c>
      <c r="G40" s="1">
        <f t="shared" si="0"/>
        <v>44810</v>
      </c>
      <c r="H40">
        <f t="shared" si="1"/>
        <v>0</v>
      </c>
      <c r="I40">
        <f t="shared" si="2"/>
        <v>0</v>
      </c>
      <c r="J40">
        <f>IF(Table1[[#This Row],[Active_months]]&gt;=1, 1, 0)</f>
        <v>0</v>
      </c>
    </row>
    <row r="41" spans="1:10" x14ac:dyDescent="0.3">
      <c r="A41">
        <v>127604200</v>
      </c>
      <c r="B41" s="1">
        <v>44809</v>
      </c>
      <c r="C41" s="1">
        <v>44840</v>
      </c>
      <c r="D41">
        <v>39</v>
      </c>
      <c r="E41" t="s">
        <v>6</v>
      </c>
      <c r="F41" t="s">
        <v>7</v>
      </c>
      <c r="G41" s="1">
        <f t="shared" si="0"/>
        <v>44840</v>
      </c>
      <c r="H41">
        <f t="shared" si="1"/>
        <v>1</v>
      </c>
      <c r="I41">
        <f t="shared" si="2"/>
        <v>0</v>
      </c>
      <c r="J41">
        <f>IF(Table1[[#This Row],[Active_months]]&gt;=1, 1, 0)</f>
        <v>1</v>
      </c>
    </row>
    <row r="42" spans="1:10" x14ac:dyDescent="0.3">
      <c r="A42">
        <v>154913576</v>
      </c>
      <c r="B42" s="1">
        <v>44809</v>
      </c>
      <c r="C42" s="1">
        <v>44998</v>
      </c>
      <c r="D42">
        <v>39</v>
      </c>
      <c r="E42" t="s">
        <v>6</v>
      </c>
      <c r="F42" t="s">
        <v>7</v>
      </c>
      <c r="G42" s="1">
        <f t="shared" si="0"/>
        <v>44998</v>
      </c>
      <c r="H42">
        <f t="shared" si="1"/>
        <v>6</v>
      </c>
      <c r="I42">
        <f t="shared" si="2"/>
        <v>1</v>
      </c>
      <c r="J42">
        <f>IF(Table1[[#This Row],[Active_months]]&gt;=1, 1, 0)</f>
        <v>1</v>
      </c>
    </row>
    <row r="43" spans="1:10" x14ac:dyDescent="0.3">
      <c r="A43">
        <v>154910432</v>
      </c>
      <c r="B43" s="1">
        <v>44809</v>
      </c>
      <c r="C43" s="1">
        <v>44998</v>
      </c>
      <c r="D43">
        <v>39</v>
      </c>
      <c r="E43" t="s">
        <v>6</v>
      </c>
      <c r="F43" t="s">
        <v>7</v>
      </c>
      <c r="G43" s="1">
        <f t="shared" si="0"/>
        <v>44998</v>
      </c>
      <c r="H43">
        <f t="shared" si="1"/>
        <v>6</v>
      </c>
      <c r="I43">
        <f t="shared" si="2"/>
        <v>1</v>
      </c>
      <c r="J43">
        <f>IF(Table1[[#This Row],[Active_months]]&gt;=1, 1, 0)</f>
        <v>1</v>
      </c>
    </row>
    <row r="44" spans="1:10" x14ac:dyDescent="0.3">
      <c r="A44">
        <v>154911229</v>
      </c>
      <c r="B44" s="1">
        <v>44809</v>
      </c>
      <c r="C44" s="1">
        <v>44997</v>
      </c>
      <c r="D44">
        <v>39</v>
      </c>
      <c r="E44" t="s">
        <v>6</v>
      </c>
      <c r="F44" t="s">
        <v>7</v>
      </c>
      <c r="G44" s="1">
        <f t="shared" si="0"/>
        <v>44997</v>
      </c>
      <c r="H44">
        <f t="shared" si="1"/>
        <v>6</v>
      </c>
      <c r="I44">
        <f t="shared" si="2"/>
        <v>1</v>
      </c>
      <c r="J44">
        <f>IF(Table1[[#This Row],[Active_months]]&gt;=1, 1, 0)</f>
        <v>1</v>
      </c>
    </row>
    <row r="45" spans="1:10" x14ac:dyDescent="0.3">
      <c r="A45">
        <v>154518837</v>
      </c>
      <c r="B45" s="1">
        <v>44809</v>
      </c>
      <c r="C45" s="1">
        <v>44929</v>
      </c>
      <c r="D45">
        <v>39</v>
      </c>
      <c r="E45" t="s">
        <v>6</v>
      </c>
      <c r="F45" t="s">
        <v>7</v>
      </c>
      <c r="G45" s="1">
        <f t="shared" si="0"/>
        <v>44929</v>
      </c>
      <c r="H45">
        <f t="shared" si="1"/>
        <v>4</v>
      </c>
      <c r="I45">
        <f t="shared" si="2"/>
        <v>0</v>
      </c>
      <c r="J45">
        <f>IF(Table1[[#This Row],[Active_months]]&gt;=1, 1, 0)</f>
        <v>1</v>
      </c>
    </row>
    <row r="46" spans="1:10" x14ac:dyDescent="0.3">
      <c r="A46">
        <v>154910009</v>
      </c>
      <c r="B46" s="1">
        <v>44809</v>
      </c>
      <c r="C46" s="1">
        <v>44965</v>
      </c>
      <c r="D46">
        <v>39</v>
      </c>
      <c r="E46" t="s">
        <v>6</v>
      </c>
      <c r="F46" t="s">
        <v>7</v>
      </c>
      <c r="G46" s="1">
        <f t="shared" si="0"/>
        <v>44965</v>
      </c>
      <c r="H46">
        <f t="shared" si="1"/>
        <v>5</v>
      </c>
      <c r="I46">
        <f t="shared" si="2"/>
        <v>1</v>
      </c>
      <c r="J46">
        <f>IF(Table1[[#This Row],[Active_months]]&gt;=1, 1, 0)</f>
        <v>1</v>
      </c>
    </row>
    <row r="47" spans="1:10" x14ac:dyDescent="0.3">
      <c r="A47">
        <v>154911693</v>
      </c>
      <c r="B47" s="1">
        <v>44809</v>
      </c>
      <c r="C47" s="1">
        <v>44965</v>
      </c>
      <c r="D47">
        <v>39</v>
      </c>
      <c r="E47" t="s">
        <v>6</v>
      </c>
      <c r="F47" t="s">
        <v>7</v>
      </c>
      <c r="G47" s="1">
        <f t="shared" si="0"/>
        <v>44965</v>
      </c>
      <c r="H47">
        <f t="shared" si="1"/>
        <v>5</v>
      </c>
      <c r="I47">
        <f t="shared" si="2"/>
        <v>1</v>
      </c>
      <c r="J47">
        <f>IF(Table1[[#This Row],[Active_months]]&gt;=1, 1, 0)</f>
        <v>1</v>
      </c>
    </row>
    <row r="48" spans="1:10" x14ac:dyDescent="0.3">
      <c r="A48">
        <v>154894177</v>
      </c>
      <c r="B48" s="1">
        <v>44809</v>
      </c>
      <c r="C48" s="1">
        <v>44907</v>
      </c>
      <c r="D48">
        <v>39</v>
      </c>
      <c r="E48" t="s">
        <v>6</v>
      </c>
      <c r="F48" t="s">
        <v>7</v>
      </c>
      <c r="G48" s="1">
        <f t="shared" si="0"/>
        <v>44907</v>
      </c>
      <c r="H48">
        <f t="shared" si="1"/>
        <v>3</v>
      </c>
      <c r="I48">
        <f t="shared" si="2"/>
        <v>0</v>
      </c>
      <c r="J48">
        <f>IF(Table1[[#This Row],[Active_months]]&gt;=1, 1, 0)</f>
        <v>1</v>
      </c>
    </row>
    <row r="49" spans="1:10" x14ac:dyDescent="0.3">
      <c r="A49">
        <v>154494026</v>
      </c>
      <c r="B49" s="1">
        <v>44809</v>
      </c>
      <c r="C49" s="1">
        <v>44907</v>
      </c>
      <c r="D49">
        <v>39</v>
      </c>
      <c r="E49" t="s">
        <v>6</v>
      </c>
      <c r="F49" t="s">
        <v>7</v>
      </c>
      <c r="G49" s="1">
        <f t="shared" si="0"/>
        <v>44907</v>
      </c>
      <c r="H49">
        <f t="shared" si="1"/>
        <v>3</v>
      </c>
      <c r="I49">
        <f t="shared" si="2"/>
        <v>0</v>
      </c>
      <c r="J49">
        <f>IF(Table1[[#This Row],[Active_months]]&gt;=1, 1, 0)</f>
        <v>1</v>
      </c>
    </row>
    <row r="50" spans="1:10" x14ac:dyDescent="0.3">
      <c r="A50">
        <v>154245189</v>
      </c>
      <c r="B50" s="1">
        <v>44809</v>
      </c>
      <c r="C50" s="1">
        <v>44891</v>
      </c>
      <c r="D50">
        <v>39</v>
      </c>
      <c r="E50" t="s">
        <v>6</v>
      </c>
      <c r="F50" t="s">
        <v>7</v>
      </c>
      <c r="G50" s="1">
        <f t="shared" si="0"/>
        <v>44891</v>
      </c>
      <c r="H50">
        <f t="shared" si="1"/>
        <v>2</v>
      </c>
      <c r="I50">
        <f t="shared" si="2"/>
        <v>0</v>
      </c>
      <c r="J50">
        <f>IF(Table1[[#This Row],[Active_months]]&gt;=1, 1, 0)</f>
        <v>1</v>
      </c>
    </row>
    <row r="51" spans="1:10" x14ac:dyDescent="0.3">
      <c r="A51">
        <v>154604182</v>
      </c>
      <c r="B51" s="1">
        <v>44809</v>
      </c>
      <c r="C51" s="1">
        <v>44853</v>
      </c>
      <c r="D51">
        <v>39</v>
      </c>
      <c r="E51" t="s">
        <v>6</v>
      </c>
      <c r="F51" t="s">
        <v>7</v>
      </c>
      <c r="G51" s="1">
        <f t="shared" si="0"/>
        <v>44853</v>
      </c>
      <c r="H51">
        <f t="shared" si="1"/>
        <v>1</v>
      </c>
      <c r="I51">
        <f t="shared" si="2"/>
        <v>0</v>
      </c>
      <c r="J51">
        <f>IF(Table1[[#This Row],[Active_months]]&gt;=1, 1, 0)</f>
        <v>1</v>
      </c>
    </row>
    <row r="52" spans="1:10" x14ac:dyDescent="0.3">
      <c r="A52">
        <v>154711552</v>
      </c>
      <c r="B52" s="1">
        <v>44809</v>
      </c>
      <c r="C52" s="1">
        <v>44839</v>
      </c>
      <c r="D52">
        <v>39</v>
      </c>
      <c r="E52" t="s">
        <v>6</v>
      </c>
      <c r="F52" t="s">
        <v>7</v>
      </c>
      <c r="G52" s="1">
        <f t="shared" si="0"/>
        <v>44839</v>
      </c>
      <c r="H52">
        <f t="shared" si="1"/>
        <v>1</v>
      </c>
      <c r="I52">
        <f t="shared" si="2"/>
        <v>0</v>
      </c>
      <c r="J52">
        <f>IF(Table1[[#This Row],[Active_months]]&gt;=1, 1, 0)</f>
        <v>1</v>
      </c>
    </row>
    <row r="53" spans="1:10" x14ac:dyDescent="0.3">
      <c r="A53">
        <v>154827564</v>
      </c>
      <c r="B53" s="1">
        <v>44809</v>
      </c>
      <c r="C53" s="1">
        <v>44843</v>
      </c>
      <c r="D53">
        <v>39</v>
      </c>
      <c r="E53" t="s">
        <v>6</v>
      </c>
      <c r="F53" t="s">
        <v>7</v>
      </c>
      <c r="G53" s="1">
        <f t="shared" si="0"/>
        <v>44843</v>
      </c>
      <c r="H53">
        <f t="shared" si="1"/>
        <v>1</v>
      </c>
      <c r="I53">
        <f t="shared" si="2"/>
        <v>0</v>
      </c>
      <c r="J53">
        <f>IF(Table1[[#This Row],[Active_months]]&gt;=1, 1, 0)</f>
        <v>1</v>
      </c>
    </row>
    <row r="54" spans="1:10" x14ac:dyDescent="0.3">
      <c r="A54">
        <v>143581543</v>
      </c>
      <c r="B54" s="1">
        <v>44809</v>
      </c>
      <c r="C54" s="1">
        <v>44846</v>
      </c>
      <c r="D54">
        <v>39</v>
      </c>
      <c r="E54" t="s">
        <v>6</v>
      </c>
      <c r="F54" t="s">
        <v>7</v>
      </c>
      <c r="G54" s="1">
        <f t="shared" si="0"/>
        <v>44846</v>
      </c>
      <c r="H54">
        <f t="shared" si="1"/>
        <v>1</v>
      </c>
      <c r="I54">
        <f t="shared" si="2"/>
        <v>0</v>
      </c>
      <c r="J54">
        <f>IF(Table1[[#This Row],[Active_months]]&gt;=1, 1, 0)</f>
        <v>1</v>
      </c>
    </row>
    <row r="55" spans="1:10" x14ac:dyDescent="0.3">
      <c r="A55">
        <v>154867798</v>
      </c>
      <c r="B55" s="1">
        <v>44809</v>
      </c>
      <c r="C55" s="1">
        <v>44839</v>
      </c>
      <c r="D55">
        <v>39</v>
      </c>
      <c r="E55" t="s">
        <v>6</v>
      </c>
      <c r="F55" t="s">
        <v>7</v>
      </c>
      <c r="G55" s="1">
        <f t="shared" si="0"/>
        <v>44839</v>
      </c>
      <c r="H55">
        <f t="shared" si="1"/>
        <v>1</v>
      </c>
      <c r="I55">
        <f t="shared" si="2"/>
        <v>0</v>
      </c>
      <c r="J55">
        <f>IF(Table1[[#This Row],[Active_months]]&gt;=1, 1, 0)</f>
        <v>1</v>
      </c>
    </row>
    <row r="56" spans="1:10" x14ac:dyDescent="0.3">
      <c r="A56">
        <v>154863996</v>
      </c>
      <c r="B56" s="1">
        <v>44809</v>
      </c>
      <c r="C56" s="1">
        <v>44813</v>
      </c>
      <c r="D56">
        <v>39</v>
      </c>
      <c r="E56" t="s">
        <v>6</v>
      </c>
      <c r="F56" t="s">
        <v>7</v>
      </c>
      <c r="G56" s="1">
        <f t="shared" si="0"/>
        <v>44813</v>
      </c>
      <c r="H56">
        <f t="shared" si="1"/>
        <v>0</v>
      </c>
      <c r="I56">
        <f t="shared" si="2"/>
        <v>0</v>
      </c>
      <c r="J56">
        <f>IF(Table1[[#This Row],[Active_months]]&gt;=1, 1, 0)</f>
        <v>0</v>
      </c>
    </row>
    <row r="57" spans="1:10" x14ac:dyDescent="0.3">
      <c r="A57">
        <v>154923423</v>
      </c>
      <c r="B57" s="1">
        <v>44810</v>
      </c>
      <c r="D57">
        <v>39</v>
      </c>
      <c r="E57" t="s">
        <v>6</v>
      </c>
      <c r="F57" t="s">
        <v>7</v>
      </c>
      <c r="G57" s="1">
        <f t="shared" si="0"/>
        <v>45199</v>
      </c>
      <c r="H57">
        <f t="shared" si="1"/>
        <v>12</v>
      </c>
      <c r="I57">
        <f t="shared" si="2"/>
        <v>1</v>
      </c>
      <c r="J57">
        <f>IF(Table1[[#This Row],[Active_months]]&gt;=1, 1, 0)</f>
        <v>1</v>
      </c>
    </row>
    <row r="58" spans="1:10" x14ac:dyDescent="0.3">
      <c r="A58">
        <v>134664128</v>
      </c>
      <c r="B58" s="1">
        <v>44810</v>
      </c>
      <c r="D58">
        <v>39</v>
      </c>
      <c r="E58" t="s">
        <v>6</v>
      </c>
      <c r="F58" t="s">
        <v>7</v>
      </c>
      <c r="G58" s="1">
        <f t="shared" si="0"/>
        <v>45199</v>
      </c>
      <c r="H58">
        <f t="shared" si="1"/>
        <v>12</v>
      </c>
      <c r="I58">
        <f t="shared" si="2"/>
        <v>1</v>
      </c>
      <c r="J58">
        <f>IF(Table1[[#This Row],[Active_months]]&gt;=1, 1, 0)</f>
        <v>1</v>
      </c>
    </row>
    <row r="59" spans="1:10" x14ac:dyDescent="0.3">
      <c r="A59">
        <v>154828806</v>
      </c>
      <c r="B59" s="1">
        <v>44810</v>
      </c>
      <c r="C59" s="1">
        <v>44885</v>
      </c>
      <c r="D59">
        <v>39</v>
      </c>
      <c r="E59" t="s">
        <v>6</v>
      </c>
      <c r="F59" t="s">
        <v>7</v>
      </c>
      <c r="G59" s="1">
        <f t="shared" si="0"/>
        <v>44885</v>
      </c>
      <c r="H59">
        <f t="shared" si="1"/>
        <v>2</v>
      </c>
      <c r="I59">
        <f t="shared" si="2"/>
        <v>0</v>
      </c>
      <c r="J59">
        <f>IF(Table1[[#This Row],[Active_months]]&gt;=1, 1, 0)</f>
        <v>1</v>
      </c>
    </row>
    <row r="60" spans="1:10" x14ac:dyDescent="0.3">
      <c r="A60">
        <v>154934030</v>
      </c>
      <c r="B60" s="1">
        <v>44810</v>
      </c>
      <c r="C60" s="1">
        <v>44878</v>
      </c>
      <c r="D60">
        <v>39</v>
      </c>
      <c r="E60" t="s">
        <v>6</v>
      </c>
      <c r="F60" t="s">
        <v>7</v>
      </c>
      <c r="G60" s="1">
        <f t="shared" si="0"/>
        <v>44878</v>
      </c>
      <c r="H60">
        <f t="shared" si="1"/>
        <v>2</v>
      </c>
      <c r="I60">
        <f t="shared" si="2"/>
        <v>0</v>
      </c>
      <c r="J60">
        <f>IF(Table1[[#This Row],[Active_months]]&gt;=1, 1, 0)</f>
        <v>1</v>
      </c>
    </row>
    <row r="61" spans="1:10" x14ac:dyDescent="0.3">
      <c r="A61">
        <v>153671424</v>
      </c>
      <c r="B61" s="1">
        <v>44810</v>
      </c>
      <c r="C61" s="1">
        <v>44847</v>
      </c>
      <c r="D61">
        <v>39</v>
      </c>
      <c r="E61" t="s">
        <v>6</v>
      </c>
      <c r="F61" t="s">
        <v>7</v>
      </c>
      <c r="G61" s="1">
        <f t="shared" si="0"/>
        <v>44847</v>
      </c>
      <c r="H61">
        <f t="shared" si="1"/>
        <v>1</v>
      </c>
      <c r="I61">
        <f t="shared" si="2"/>
        <v>0</v>
      </c>
      <c r="J61">
        <f>IF(Table1[[#This Row],[Active_months]]&gt;=1, 1, 0)</f>
        <v>1</v>
      </c>
    </row>
    <row r="62" spans="1:10" x14ac:dyDescent="0.3">
      <c r="A62">
        <v>154693818</v>
      </c>
      <c r="B62" s="1">
        <v>44810</v>
      </c>
      <c r="C62" s="1">
        <v>44847</v>
      </c>
      <c r="D62">
        <v>39</v>
      </c>
      <c r="E62" t="s">
        <v>6</v>
      </c>
      <c r="F62" t="s">
        <v>7</v>
      </c>
      <c r="G62" s="1">
        <f t="shared" si="0"/>
        <v>44847</v>
      </c>
      <c r="H62">
        <f t="shared" si="1"/>
        <v>1</v>
      </c>
      <c r="I62">
        <f t="shared" si="2"/>
        <v>0</v>
      </c>
      <c r="J62">
        <f>IF(Table1[[#This Row],[Active_months]]&gt;=1, 1, 0)</f>
        <v>1</v>
      </c>
    </row>
    <row r="63" spans="1:10" x14ac:dyDescent="0.3">
      <c r="A63">
        <v>154110938</v>
      </c>
      <c r="B63" s="1">
        <v>44810</v>
      </c>
      <c r="C63" s="1">
        <v>44830</v>
      </c>
      <c r="D63">
        <v>39</v>
      </c>
      <c r="E63" t="s">
        <v>6</v>
      </c>
      <c r="F63" t="s">
        <v>7</v>
      </c>
      <c r="G63" s="1">
        <f t="shared" si="0"/>
        <v>44830</v>
      </c>
      <c r="H63">
        <f t="shared" si="1"/>
        <v>0</v>
      </c>
      <c r="I63">
        <f t="shared" si="2"/>
        <v>0</v>
      </c>
      <c r="J63">
        <f>IF(Table1[[#This Row],[Active_months]]&gt;=1, 1, 0)</f>
        <v>0</v>
      </c>
    </row>
    <row r="64" spans="1:10" x14ac:dyDescent="0.3">
      <c r="A64">
        <v>154809306</v>
      </c>
      <c r="B64" s="1">
        <v>44810</v>
      </c>
      <c r="C64" s="1">
        <v>44832</v>
      </c>
      <c r="D64">
        <v>39</v>
      </c>
      <c r="E64" t="s">
        <v>6</v>
      </c>
      <c r="F64" t="s">
        <v>7</v>
      </c>
      <c r="G64" s="1">
        <f t="shared" si="0"/>
        <v>44832</v>
      </c>
      <c r="H64">
        <f t="shared" si="1"/>
        <v>0</v>
      </c>
      <c r="I64">
        <f t="shared" si="2"/>
        <v>0</v>
      </c>
      <c r="J64">
        <f>IF(Table1[[#This Row],[Active_months]]&gt;=1, 1, 0)</f>
        <v>0</v>
      </c>
    </row>
    <row r="65" spans="1:10" x14ac:dyDescent="0.3">
      <c r="A65">
        <v>154537244</v>
      </c>
      <c r="B65" s="1">
        <v>44811</v>
      </c>
      <c r="D65">
        <v>39</v>
      </c>
      <c r="E65" t="s">
        <v>6</v>
      </c>
      <c r="F65" t="s">
        <v>7</v>
      </c>
      <c r="G65" s="1">
        <f t="shared" si="0"/>
        <v>45199</v>
      </c>
      <c r="H65">
        <f t="shared" si="1"/>
        <v>12</v>
      </c>
      <c r="I65">
        <f t="shared" si="2"/>
        <v>1</v>
      </c>
      <c r="J65">
        <f>IF(Table1[[#This Row],[Active_months]]&gt;=1, 1, 0)</f>
        <v>1</v>
      </c>
    </row>
    <row r="66" spans="1:10" x14ac:dyDescent="0.3">
      <c r="A66">
        <v>154163218</v>
      </c>
      <c r="B66" s="1">
        <v>44811</v>
      </c>
      <c r="D66">
        <v>39</v>
      </c>
      <c r="E66" t="s">
        <v>6</v>
      </c>
      <c r="F66" t="s">
        <v>7</v>
      </c>
      <c r="G66" s="1">
        <f t="shared" si="0"/>
        <v>45199</v>
      </c>
      <c r="H66">
        <f t="shared" si="1"/>
        <v>12</v>
      </c>
      <c r="I66">
        <f t="shared" si="2"/>
        <v>1</v>
      </c>
      <c r="J66">
        <f>IF(Table1[[#This Row],[Active_months]]&gt;=1, 1, 0)</f>
        <v>1</v>
      </c>
    </row>
    <row r="67" spans="1:10" x14ac:dyDescent="0.3">
      <c r="A67">
        <v>129467426</v>
      </c>
      <c r="B67" s="1">
        <v>44811</v>
      </c>
      <c r="C67" s="1">
        <v>45071</v>
      </c>
      <c r="D67">
        <v>39</v>
      </c>
      <c r="E67" t="s">
        <v>6</v>
      </c>
      <c r="F67" t="s">
        <v>7</v>
      </c>
      <c r="G67" s="1">
        <f t="shared" ref="G67:G130" si="3">IF(ISBLANK(C67), DATE(2023,9,30), C67)</f>
        <v>45071</v>
      </c>
      <c r="H67">
        <f t="shared" ref="H67:H130" si="4">(YEAR(G67)-YEAR(B67))*12 + (MONTH(G67)-MONTH(B67))</f>
        <v>8</v>
      </c>
      <c r="I67">
        <f t="shared" ref="I67:I130" si="5">IF(H67 &gt;=5, 1, 0)</f>
        <v>1</v>
      </c>
      <c r="J67">
        <f>IF(Table1[[#This Row],[Active_months]]&gt;=1, 1, 0)</f>
        <v>1</v>
      </c>
    </row>
    <row r="68" spans="1:10" x14ac:dyDescent="0.3">
      <c r="A68">
        <v>152498330</v>
      </c>
      <c r="B68" s="1">
        <v>44811</v>
      </c>
      <c r="C68" s="1">
        <v>44979</v>
      </c>
      <c r="D68">
        <v>39</v>
      </c>
      <c r="E68" t="s">
        <v>6</v>
      </c>
      <c r="F68" t="s">
        <v>7</v>
      </c>
      <c r="G68" s="1">
        <f t="shared" si="3"/>
        <v>44979</v>
      </c>
      <c r="H68">
        <f t="shared" si="4"/>
        <v>5</v>
      </c>
      <c r="I68">
        <f t="shared" si="5"/>
        <v>1</v>
      </c>
      <c r="J68">
        <f>IF(Table1[[#This Row],[Active_months]]&gt;=1, 1, 0)</f>
        <v>1</v>
      </c>
    </row>
    <row r="69" spans="1:10" x14ac:dyDescent="0.3">
      <c r="A69">
        <v>125335731</v>
      </c>
      <c r="B69" s="1">
        <v>44811</v>
      </c>
      <c r="C69" s="1">
        <v>44818</v>
      </c>
      <c r="D69">
        <v>39</v>
      </c>
      <c r="E69" t="s">
        <v>6</v>
      </c>
      <c r="F69" t="s">
        <v>7</v>
      </c>
      <c r="G69" s="1">
        <f t="shared" si="3"/>
        <v>44818</v>
      </c>
      <c r="H69">
        <f t="shared" si="4"/>
        <v>0</v>
      </c>
      <c r="I69">
        <f t="shared" si="5"/>
        <v>0</v>
      </c>
      <c r="J69">
        <f>IF(Table1[[#This Row],[Active_months]]&gt;=1, 1, 0)</f>
        <v>0</v>
      </c>
    </row>
    <row r="70" spans="1:10" x14ac:dyDescent="0.3">
      <c r="A70">
        <v>155113805</v>
      </c>
      <c r="B70" s="1">
        <v>44812</v>
      </c>
      <c r="D70">
        <v>39</v>
      </c>
      <c r="E70" t="s">
        <v>6</v>
      </c>
      <c r="F70" t="s">
        <v>7</v>
      </c>
      <c r="G70" s="1">
        <f t="shared" si="3"/>
        <v>45199</v>
      </c>
      <c r="H70">
        <f t="shared" si="4"/>
        <v>12</v>
      </c>
      <c r="I70">
        <f t="shared" si="5"/>
        <v>1</v>
      </c>
      <c r="J70">
        <f>IF(Table1[[#This Row],[Active_months]]&gt;=1, 1, 0)</f>
        <v>1</v>
      </c>
    </row>
    <row r="71" spans="1:10" x14ac:dyDescent="0.3">
      <c r="A71">
        <v>148864769</v>
      </c>
      <c r="B71" s="1">
        <v>44812</v>
      </c>
      <c r="C71" s="1">
        <v>44862</v>
      </c>
      <c r="D71">
        <v>39</v>
      </c>
      <c r="E71" t="s">
        <v>6</v>
      </c>
      <c r="F71" t="s">
        <v>7</v>
      </c>
      <c r="G71" s="1">
        <f t="shared" si="3"/>
        <v>44862</v>
      </c>
      <c r="H71">
        <f t="shared" si="4"/>
        <v>1</v>
      </c>
      <c r="I71">
        <f t="shared" si="5"/>
        <v>0</v>
      </c>
      <c r="J71">
        <f>IF(Table1[[#This Row],[Active_months]]&gt;=1, 1, 0)</f>
        <v>1</v>
      </c>
    </row>
    <row r="72" spans="1:10" x14ac:dyDescent="0.3">
      <c r="A72">
        <v>123850281</v>
      </c>
      <c r="B72" s="1">
        <v>44812</v>
      </c>
      <c r="C72" s="1">
        <v>44849</v>
      </c>
      <c r="D72">
        <v>39</v>
      </c>
      <c r="E72" t="s">
        <v>6</v>
      </c>
      <c r="F72" t="s">
        <v>7</v>
      </c>
      <c r="G72" s="1">
        <f t="shared" si="3"/>
        <v>44849</v>
      </c>
      <c r="H72">
        <f t="shared" si="4"/>
        <v>1</v>
      </c>
      <c r="I72">
        <f t="shared" si="5"/>
        <v>0</v>
      </c>
      <c r="J72">
        <f>IF(Table1[[#This Row],[Active_months]]&gt;=1, 1, 0)</f>
        <v>1</v>
      </c>
    </row>
    <row r="73" spans="1:10" x14ac:dyDescent="0.3">
      <c r="A73">
        <v>155167073</v>
      </c>
      <c r="B73" s="1">
        <v>44812</v>
      </c>
      <c r="C73" s="1">
        <v>44840</v>
      </c>
      <c r="D73">
        <v>39</v>
      </c>
      <c r="E73" t="s">
        <v>6</v>
      </c>
      <c r="F73" t="s">
        <v>7</v>
      </c>
      <c r="G73" s="1">
        <f t="shared" si="3"/>
        <v>44840</v>
      </c>
      <c r="H73">
        <f t="shared" si="4"/>
        <v>1</v>
      </c>
      <c r="I73">
        <f t="shared" si="5"/>
        <v>0</v>
      </c>
      <c r="J73">
        <f>IF(Table1[[#This Row],[Active_months]]&gt;=1, 1, 0)</f>
        <v>1</v>
      </c>
    </row>
    <row r="74" spans="1:10" x14ac:dyDescent="0.3">
      <c r="A74">
        <v>153684891</v>
      </c>
      <c r="B74" s="1">
        <v>44812</v>
      </c>
      <c r="C74" s="1">
        <v>44813</v>
      </c>
      <c r="D74">
        <v>39</v>
      </c>
      <c r="E74" t="s">
        <v>6</v>
      </c>
      <c r="F74" t="s">
        <v>7</v>
      </c>
      <c r="G74" s="1">
        <f t="shared" si="3"/>
        <v>44813</v>
      </c>
      <c r="H74">
        <f t="shared" si="4"/>
        <v>0</v>
      </c>
      <c r="I74">
        <f t="shared" si="5"/>
        <v>0</v>
      </c>
      <c r="J74">
        <f>IF(Table1[[#This Row],[Active_months]]&gt;=1, 1, 0)</f>
        <v>0</v>
      </c>
    </row>
    <row r="75" spans="1:10" x14ac:dyDescent="0.3">
      <c r="A75">
        <v>131277340</v>
      </c>
      <c r="B75" s="1">
        <v>44813</v>
      </c>
      <c r="C75" s="1">
        <v>44986</v>
      </c>
      <c r="D75">
        <v>39</v>
      </c>
      <c r="E75" t="s">
        <v>6</v>
      </c>
      <c r="F75" t="s">
        <v>7</v>
      </c>
      <c r="G75" s="1">
        <f t="shared" si="3"/>
        <v>44986</v>
      </c>
      <c r="H75">
        <f t="shared" si="4"/>
        <v>6</v>
      </c>
      <c r="I75">
        <f t="shared" si="5"/>
        <v>1</v>
      </c>
      <c r="J75">
        <f>IF(Table1[[#This Row],[Active_months]]&gt;=1, 1, 0)</f>
        <v>1</v>
      </c>
    </row>
    <row r="76" spans="1:10" x14ac:dyDescent="0.3">
      <c r="A76">
        <v>152027172</v>
      </c>
      <c r="B76" s="1">
        <v>44813</v>
      </c>
      <c r="C76" s="1">
        <v>44897</v>
      </c>
      <c r="D76">
        <v>39</v>
      </c>
      <c r="E76" t="s">
        <v>6</v>
      </c>
      <c r="F76" t="s">
        <v>7</v>
      </c>
      <c r="G76" s="1">
        <f t="shared" si="3"/>
        <v>44897</v>
      </c>
      <c r="H76">
        <f t="shared" si="4"/>
        <v>3</v>
      </c>
      <c r="I76">
        <f t="shared" si="5"/>
        <v>0</v>
      </c>
      <c r="J76">
        <f>IF(Table1[[#This Row],[Active_months]]&gt;=1, 1, 0)</f>
        <v>1</v>
      </c>
    </row>
    <row r="77" spans="1:10" x14ac:dyDescent="0.3">
      <c r="A77">
        <v>155212612</v>
      </c>
      <c r="B77" s="1">
        <v>44813</v>
      </c>
      <c r="C77" s="1">
        <v>44868</v>
      </c>
      <c r="D77">
        <v>39</v>
      </c>
      <c r="E77" t="s">
        <v>6</v>
      </c>
      <c r="F77" t="s">
        <v>7</v>
      </c>
      <c r="G77" s="1">
        <f t="shared" si="3"/>
        <v>44868</v>
      </c>
      <c r="H77">
        <f t="shared" si="4"/>
        <v>2</v>
      </c>
      <c r="I77">
        <f t="shared" si="5"/>
        <v>0</v>
      </c>
      <c r="J77">
        <f>IF(Table1[[#This Row],[Active_months]]&gt;=1, 1, 0)</f>
        <v>1</v>
      </c>
    </row>
    <row r="78" spans="1:10" x14ac:dyDescent="0.3">
      <c r="A78">
        <v>155188498</v>
      </c>
      <c r="B78" s="1">
        <v>44813</v>
      </c>
      <c r="C78" s="1">
        <v>44843</v>
      </c>
      <c r="D78">
        <v>39</v>
      </c>
      <c r="E78" t="s">
        <v>6</v>
      </c>
      <c r="F78" t="s">
        <v>7</v>
      </c>
      <c r="G78" s="1">
        <f t="shared" si="3"/>
        <v>44843</v>
      </c>
      <c r="H78">
        <f t="shared" si="4"/>
        <v>1</v>
      </c>
      <c r="I78">
        <f t="shared" si="5"/>
        <v>0</v>
      </c>
      <c r="J78">
        <f>IF(Table1[[#This Row],[Active_months]]&gt;=1, 1, 0)</f>
        <v>1</v>
      </c>
    </row>
    <row r="79" spans="1:10" x14ac:dyDescent="0.3">
      <c r="A79">
        <v>155145336</v>
      </c>
      <c r="B79" s="1">
        <v>44813</v>
      </c>
      <c r="C79" s="1">
        <v>44837</v>
      </c>
      <c r="D79">
        <v>39</v>
      </c>
      <c r="E79" t="s">
        <v>6</v>
      </c>
      <c r="F79" t="s">
        <v>7</v>
      </c>
      <c r="G79" s="1">
        <f t="shared" si="3"/>
        <v>44837</v>
      </c>
      <c r="H79">
        <f t="shared" si="4"/>
        <v>1</v>
      </c>
      <c r="I79">
        <f t="shared" si="5"/>
        <v>0</v>
      </c>
      <c r="J79">
        <f>IF(Table1[[#This Row],[Active_months]]&gt;=1, 1, 0)</f>
        <v>1</v>
      </c>
    </row>
    <row r="80" spans="1:10" x14ac:dyDescent="0.3">
      <c r="A80">
        <v>152506474</v>
      </c>
      <c r="B80" s="1">
        <v>44813</v>
      </c>
      <c r="C80" s="1">
        <v>44850</v>
      </c>
      <c r="D80">
        <v>39</v>
      </c>
      <c r="E80" t="s">
        <v>6</v>
      </c>
      <c r="F80" t="s">
        <v>7</v>
      </c>
      <c r="G80" s="1">
        <f t="shared" si="3"/>
        <v>44850</v>
      </c>
      <c r="H80">
        <f t="shared" si="4"/>
        <v>1</v>
      </c>
      <c r="I80">
        <f t="shared" si="5"/>
        <v>0</v>
      </c>
      <c r="J80">
        <f>IF(Table1[[#This Row],[Active_months]]&gt;=1, 1, 0)</f>
        <v>1</v>
      </c>
    </row>
    <row r="81" spans="1:10" x14ac:dyDescent="0.3">
      <c r="A81">
        <v>118029150</v>
      </c>
      <c r="B81" s="1">
        <v>44813</v>
      </c>
      <c r="C81" s="1">
        <v>45154</v>
      </c>
      <c r="D81">
        <v>39</v>
      </c>
      <c r="E81" t="s">
        <v>6</v>
      </c>
      <c r="F81" t="s">
        <v>7</v>
      </c>
      <c r="G81" s="1">
        <f t="shared" si="3"/>
        <v>45154</v>
      </c>
      <c r="H81">
        <f t="shared" si="4"/>
        <v>11</v>
      </c>
      <c r="I81">
        <f t="shared" si="5"/>
        <v>1</v>
      </c>
      <c r="J81">
        <f>IF(Table1[[#This Row],[Active_months]]&gt;=1, 1, 0)</f>
        <v>1</v>
      </c>
    </row>
    <row r="82" spans="1:10" x14ac:dyDescent="0.3">
      <c r="A82">
        <v>155245796</v>
      </c>
      <c r="B82" s="1">
        <v>44814</v>
      </c>
      <c r="D82">
        <v>39</v>
      </c>
      <c r="E82" t="s">
        <v>6</v>
      </c>
      <c r="F82" t="s">
        <v>7</v>
      </c>
      <c r="G82" s="1">
        <f t="shared" si="3"/>
        <v>45199</v>
      </c>
      <c r="H82">
        <f t="shared" si="4"/>
        <v>12</v>
      </c>
      <c r="I82">
        <f t="shared" si="5"/>
        <v>1</v>
      </c>
      <c r="J82">
        <f>IF(Table1[[#This Row],[Active_months]]&gt;=1, 1, 0)</f>
        <v>1</v>
      </c>
    </row>
    <row r="83" spans="1:10" x14ac:dyDescent="0.3">
      <c r="A83">
        <v>155326259</v>
      </c>
      <c r="B83" s="1">
        <v>44814</v>
      </c>
      <c r="C83" s="1">
        <v>44978</v>
      </c>
      <c r="D83">
        <v>39</v>
      </c>
      <c r="E83" t="s">
        <v>6</v>
      </c>
      <c r="F83" t="s">
        <v>7</v>
      </c>
      <c r="G83" s="1">
        <f t="shared" si="3"/>
        <v>44978</v>
      </c>
      <c r="H83">
        <f t="shared" si="4"/>
        <v>5</v>
      </c>
      <c r="I83">
        <f t="shared" si="5"/>
        <v>1</v>
      </c>
      <c r="J83">
        <f>IF(Table1[[#This Row],[Active_months]]&gt;=1, 1, 0)</f>
        <v>1</v>
      </c>
    </row>
    <row r="84" spans="1:10" x14ac:dyDescent="0.3">
      <c r="A84">
        <v>155311918</v>
      </c>
      <c r="B84" s="1">
        <v>44814</v>
      </c>
      <c r="C84" s="1">
        <v>44907</v>
      </c>
      <c r="D84">
        <v>39</v>
      </c>
      <c r="E84" t="s">
        <v>6</v>
      </c>
      <c r="F84" t="s">
        <v>7</v>
      </c>
      <c r="G84" s="1">
        <f t="shared" si="3"/>
        <v>44907</v>
      </c>
      <c r="H84">
        <f t="shared" si="4"/>
        <v>3</v>
      </c>
      <c r="I84">
        <f t="shared" si="5"/>
        <v>0</v>
      </c>
      <c r="J84">
        <f>IF(Table1[[#This Row],[Active_months]]&gt;=1, 1, 0)</f>
        <v>1</v>
      </c>
    </row>
    <row r="85" spans="1:10" x14ac:dyDescent="0.3">
      <c r="A85">
        <v>154391473</v>
      </c>
      <c r="B85" s="1">
        <v>44814</v>
      </c>
      <c r="C85" s="1">
        <v>44846</v>
      </c>
      <c r="D85">
        <v>39</v>
      </c>
      <c r="E85" t="s">
        <v>6</v>
      </c>
      <c r="F85" t="s">
        <v>7</v>
      </c>
      <c r="G85" s="1">
        <f t="shared" si="3"/>
        <v>44846</v>
      </c>
      <c r="H85">
        <f t="shared" si="4"/>
        <v>1</v>
      </c>
      <c r="I85">
        <f t="shared" si="5"/>
        <v>0</v>
      </c>
      <c r="J85">
        <f>IF(Table1[[#This Row],[Active_months]]&gt;=1, 1, 0)</f>
        <v>1</v>
      </c>
    </row>
    <row r="86" spans="1:10" x14ac:dyDescent="0.3">
      <c r="A86">
        <v>155283495</v>
      </c>
      <c r="B86" s="1">
        <v>44814</v>
      </c>
      <c r="C86" s="1">
        <v>44842</v>
      </c>
      <c r="D86">
        <v>39</v>
      </c>
      <c r="E86" t="s">
        <v>6</v>
      </c>
      <c r="F86" t="s">
        <v>7</v>
      </c>
      <c r="G86" s="1">
        <f t="shared" si="3"/>
        <v>44842</v>
      </c>
      <c r="H86">
        <f t="shared" si="4"/>
        <v>1</v>
      </c>
      <c r="I86">
        <f t="shared" si="5"/>
        <v>0</v>
      </c>
      <c r="J86">
        <f>IF(Table1[[#This Row],[Active_months]]&gt;=1, 1, 0)</f>
        <v>1</v>
      </c>
    </row>
    <row r="87" spans="1:10" x14ac:dyDescent="0.3">
      <c r="A87">
        <v>154597373</v>
      </c>
      <c r="B87" s="1">
        <v>44814</v>
      </c>
      <c r="C87" s="1">
        <v>44840</v>
      </c>
      <c r="D87">
        <v>39</v>
      </c>
      <c r="E87" t="s">
        <v>6</v>
      </c>
      <c r="F87" t="s">
        <v>7</v>
      </c>
      <c r="G87" s="1">
        <f t="shared" si="3"/>
        <v>44840</v>
      </c>
      <c r="H87">
        <f t="shared" si="4"/>
        <v>1</v>
      </c>
      <c r="I87">
        <f t="shared" si="5"/>
        <v>0</v>
      </c>
      <c r="J87">
        <f>IF(Table1[[#This Row],[Active_months]]&gt;=1, 1, 0)</f>
        <v>1</v>
      </c>
    </row>
    <row r="88" spans="1:10" x14ac:dyDescent="0.3">
      <c r="A88">
        <v>155370310</v>
      </c>
      <c r="B88" s="1">
        <v>44815</v>
      </c>
      <c r="C88" s="1">
        <v>45062</v>
      </c>
      <c r="D88">
        <v>39</v>
      </c>
      <c r="E88" t="s">
        <v>6</v>
      </c>
      <c r="F88" t="s">
        <v>7</v>
      </c>
      <c r="G88" s="1">
        <f t="shared" si="3"/>
        <v>45062</v>
      </c>
      <c r="H88">
        <f t="shared" si="4"/>
        <v>8</v>
      </c>
      <c r="I88">
        <f t="shared" si="5"/>
        <v>1</v>
      </c>
      <c r="J88">
        <f>IF(Table1[[#This Row],[Active_months]]&gt;=1, 1, 0)</f>
        <v>1</v>
      </c>
    </row>
    <row r="89" spans="1:10" x14ac:dyDescent="0.3">
      <c r="A89">
        <v>155289120</v>
      </c>
      <c r="B89" s="1">
        <v>44815</v>
      </c>
      <c r="C89" s="1">
        <v>44972</v>
      </c>
      <c r="D89">
        <v>39</v>
      </c>
      <c r="E89" t="s">
        <v>6</v>
      </c>
      <c r="F89" t="s">
        <v>7</v>
      </c>
      <c r="G89" s="1">
        <f t="shared" si="3"/>
        <v>44972</v>
      </c>
      <c r="H89">
        <f t="shared" si="4"/>
        <v>5</v>
      </c>
      <c r="I89">
        <f t="shared" si="5"/>
        <v>1</v>
      </c>
      <c r="J89">
        <f>IF(Table1[[#This Row],[Active_months]]&gt;=1, 1, 0)</f>
        <v>1</v>
      </c>
    </row>
    <row r="90" spans="1:10" x14ac:dyDescent="0.3">
      <c r="A90">
        <v>155351408</v>
      </c>
      <c r="B90" s="1">
        <v>44815</v>
      </c>
      <c r="C90" s="1">
        <v>44906</v>
      </c>
      <c r="D90">
        <v>39</v>
      </c>
      <c r="E90" t="s">
        <v>6</v>
      </c>
      <c r="F90" t="s">
        <v>7</v>
      </c>
      <c r="G90" s="1">
        <f t="shared" si="3"/>
        <v>44906</v>
      </c>
      <c r="H90">
        <f t="shared" si="4"/>
        <v>3</v>
      </c>
      <c r="I90">
        <f t="shared" si="5"/>
        <v>0</v>
      </c>
      <c r="J90">
        <f>IF(Table1[[#This Row],[Active_months]]&gt;=1, 1, 0)</f>
        <v>1</v>
      </c>
    </row>
    <row r="91" spans="1:10" x14ac:dyDescent="0.3">
      <c r="A91">
        <v>155336773</v>
      </c>
      <c r="B91" s="1">
        <v>44815</v>
      </c>
      <c r="C91" s="1">
        <v>44919</v>
      </c>
      <c r="D91">
        <v>39</v>
      </c>
      <c r="E91" t="s">
        <v>6</v>
      </c>
      <c r="F91" t="s">
        <v>7</v>
      </c>
      <c r="G91" s="1">
        <f t="shared" si="3"/>
        <v>44919</v>
      </c>
      <c r="H91">
        <f t="shared" si="4"/>
        <v>3</v>
      </c>
      <c r="I91">
        <f t="shared" si="5"/>
        <v>0</v>
      </c>
      <c r="J91">
        <f>IF(Table1[[#This Row],[Active_months]]&gt;=1, 1, 0)</f>
        <v>1</v>
      </c>
    </row>
    <row r="92" spans="1:10" x14ac:dyDescent="0.3">
      <c r="A92">
        <v>155017581</v>
      </c>
      <c r="B92" s="1">
        <v>44815</v>
      </c>
      <c r="C92" s="1">
        <v>44867</v>
      </c>
      <c r="D92">
        <v>39</v>
      </c>
      <c r="E92" t="s">
        <v>6</v>
      </c>
      <c r="F92" t="s">
        <v>7</v>
      </c>
      <c r="G92" s="1">
        <f t="shared" si="3"/>
        <v>44867</v>
      </c>
      <c r="H92">
        <f t="shared" si="4"/>
        <v>2</v>
      </c>
      <c r="I92">
        <f t="shared" si="5"/>
        <v>0</v>
      </c>
      <c r="J92">
        <f>IF(Table1[[#This Row],[Active_months]]&gt;=1, 1, 0)</f>
        <v>1</v>
      </c>
    </row>
    <row r="93" spans="1:10" x14ac:dyDescent="0.3">
      <c r="A93">
        <v>154401329</v>
      </c>
      <c r="B93" s="1">
        <v>44815</v>
      </c>
      <c r="C93" s="1">
        <v>44849</v>
      </c>
      <c r="D93">
        <v>39</v>
      </c>
      <c r="E93" t="s">
        <v>6</v>
      </c>
      <c r="F93" t="s">
        <v>7</v>
      </c>
      <c r="G93" s="1">
        <f t="shared" si="3"/>
        <v>44849</v>
      </c>
      <c r="H93">
        <f t="shared" si="4"/>
        <v>1</v>
      </c>
      <c r="I93">
        <f t="shared" si="5"/>
        <v>0</v>
      </c>
      <c r="J93">
        <f>IF(Table1[[#This Row],[Active_months]]&gt;=1, 1, 0)</f>
        <v>1</v>
      </c>
    </row>
    <row r="94" spans="1:10" x14ac:dyDescent="0.3">
      <c r="A94">
        <v>155334828</v>
      </c>
      <c r="B94" s="1">
        <v>44815</v>
      </c>
      <c r="C94" s="1">
        <v>44845</v>
      </c>
      <c r="D94">
        <v>39</v>
      </c>
      <c r="E94" t="s">
        <v>6</v>
      </c>
      <c r="F94" t="s">
        <v>7</v>
      </c>
      <c r="G94" s="1">
        <f t="shared" si="3"/>
        <v>44845</v>
      </c>
      <c r="H94">
        <f t="shared" si="4"/>
        <v>1</v>
      </c>
      <c r="I94">
        <f t="shared" si="5"/>
        <v>0</v>
      </c>
      <c r="J94">
        <f>IF(Table1[[#This Row],[Active_months]]&gt;=1, 1, 0)</f>
        <v>1</v>
      </c>
    </row>
    <row r="95" spans="1:10" x14ac:dyDescent="0.3">
      <c r="A95">
        <v>154815431</v>
      </c>
      <c r="B95" s="1">
        <v>44815</v>
      </c>
      <c r="C95" s="1">
        <v>44815</v>
      </c>
      <c r="D95">
        <v>39</v>
      </c>
      <c r="E95" t="s">
        <v>6</v>
      </c>
      <c r="F95" t="s">
        <v>7</v>
      </c>
      <c r="G95" s="1">
        <f t="shared" si="3"/>
        <v>44815</v>
      </c>
      <c r="H95">
        <f t="shared" si="4"/>
        <v>0</v>
      </c>
      <c r="I95">
        <f t="shared" si="5"/>
        <v>0</v>
      </c>
      <c r="J95">
        <f>IF(Table1[[#This Row],[Active_months]]&gt;=1, 1, 0)</f>
        <v>0</v>
      </c>
    </row>
    <row r="96" spans="1:10" x14ac:dyDescent="0.3">
      <c r="A96">
        <v>155343938</v>
      </c>
      <c r="B96" s="1">
        <v>44815</v>
      </c>
      <c r="C96" s="1">
        <v>45156</v>
      </c>
      <c r="D96">
        <v>39</v>
      </c>
      <c r="E96" t="s">
        <v>6</v>
      </c>
      <c r="F96" t="s">
        <v>7</v>
      </c>
      <c r="G96" s="1">
        <f t="shared" si="3"/>
        <v>45156</v>
      </c>
      <c r="H96">
        <f t="shared" si="4"/>
        <v>11</v>
      </c>
      <c r="I96">
        <f t="shared" si="5"/>
        <v>1</v>
      </c>
      <c r="J96">
        <f>IF(Table1[[#This Row],[Active_months]]&gt;=1, 1, 0)</f>
        <v>1</v>
      </c>
    </row>
    <row r="97" spans="1:10" x14ac:dyDescent="0.3">
      <c r="A97">
        <v>152436458</v>
      </c>
      <c r="B97" s="1">
        <v>44816</v>
      </c>
      <c r="C97" s="1">
        <v>44816</v>
      </c>
      <c r="D97">
        <v>39</v>
      </c>
      <c r="E97" t="s">
        <v>6</v>
      </c>
      <c r="F97" t="s">
        <v>7</v>
      </c>
      <c r="G97" s="1">
        <f t="shared" si="3"/>
        <v>44816</v>
      </c>
      <c r="H97">
        <f t="shared" si="4"/>
        <v>0</v>
      </c>
      <c r="I97">
        <f t="shared" si="5"/>
        <v>0</v>
      </c>
      <c r="J97">
        <f>IF(Table1[[#This Row],[Active_months]]&gt;=1, 1, 0)</f>
        <v>0</v>
      </c>
    </row>
    <row r="98" spans="1:10" x14ac:dyDescent="0.3">
      <c r="A98">
        <v>154689541</v>
      </c>
      <c r="B98" s="1">
        <v>44816</v>
      </c>
      <c r="C98" s="1">
        <v>44817</v>
      </c>
      <c r="D98">
        <v>39</v>
      </c>
      <c r="E98" t="s">
        <v>6</v>
      </c>
      <c r="F98" t="s">
        <v>8</v>
      </c>
      <c r="G98" s="1">
        <f t="shared" si="3"/>
        <v>44817</v>
      </c>
      <c r="H98">
        <f t="shared" si="4"/>
        <v>0</v>
      </c>
      <c r="I98">
        <f t="shared" si="5"/>
        <v>0</v>
      </c>
      <c r="J98">
        <f>IF(Table1[[#This Row],[Active_months]]&gt;=1, 1, 0)</f>
        <v>0</v>
      </c>
    </row>
    <row r="99" spans="1:10" x14ac:dyDescent="0.3">
      <c r="A99">
        <v>155425695</v>
      </c>
      <c r="B99" s="1">
        <v>44816</v>
      </c>
      <c r="C99" s="1">
        <v>44853</v>
      </c>
      <c r="D99">
        <v>39</v>
      </c>
      <c r="E99" t="s">
        <v>6</v>
      </c>
      <c r="F99" t="s">
        <v>7</v>
      </c>
      <c r="G99" s="1">
        <f t="shared" si="3"/>
        <v>44853</v>
      </c>
      <c r="H99">
        <f t="shared" si="4"/>
        <v>1</v>
      </c>
      <c r="I99">
        <f t="shared" si="5"/>
        <v>0</v>
      </c>
      <c r="J99">
        <f>IF(Table1[[#This Row],[Active_months]]&gt;=1, 1, 0)</f>
        <v>1</v>
      </c>
    </row>
    <row r="100" spans="1:10" x14ac:dyDescent="0.3">
      <c r="A100">
        <v>152698255</v>
      </c>
      <c r="B100" s="1">
        <v>44816</v>
      </c>
      <c r="C100" s="1">
        <v>44846</v>
      </c>
      <c r="D100">
        <v>39</v>
      </c>
      <c r="E100" t="s">
        <v>6</v>
      </c>
      <c r="F100" t="s">
        <v>7</v>
      </c>
      <c r="G100" s="1">
        <f t="shared" si="3"/>
        <v>44846</v>
      </c>
      <c r="H100">
        <f t="shared" si="4"/>
        <v>1</v>
      </c>
      <c r="I100">
        <f t="shared" si="5"/>
        <v>0</v>
      </c>
      <c r="J100">
        <f>IF(Table1[[#This Row],[Active_months]]&gt;=1, 1, 0)</f>
        <v>1</v>
      </c>
    </row>
    <row r="101" spans="1:10" x14ac:dyDescent="0.3">
      <c r="A101">
        <v>155406449</v>
      </c>
      <c r="B101" s="1">
        <v>44817</v>
      </c>
      <c r="C101" s="1">
        <v>45165</v>
      </c>
      <c r="D101">
        <v>39</v>
      </c>
      <c r="E101" t="s">
        <v>6</v>
      </c>
      <c r="F101" t="s">
        <v>7</v>
      </c>
      <c r="G101" s="1">
        <f t="shared" si="3"/>
        <v>45165</v>
      </c>
      <c r="H101">
        <f t="shared" si="4"/>
        <v>11</v>
      </c>
      <c r="I101">
        <f t="shared" si="5"/>
        <v>1</v>
      </c>
      <c r="J101">
        <f>IF(Table1[[#This Row],[Active_months]]&gt;=1, 1, 0)</f>
        <v>1</v>
      </c>
    </row>
    <row r="102" spans="1:10" x14ac:dyDescent="0.3">
      <c r="A102">
        <v>137338480</v>
      </c>
      <c r="B102" s="1">
        <v>44817</v>
      </c>
      <c r="C102" s="1">
        <v>44818</v>
      </c>
      <c r="D102">
        <v>39</v>
      </c>
      <c r="E102" t="s">
        <v>6</v>
      </c>
      <c r="F102" t="s">
        <v>7</v>
      </c>
      <c r="G102" s="1">
        <f t="shared" si="3"/>
        <v>44818</v>
      </c>
      <c r="H102">
        <f t="shared" si="4"/>
        <v>0</v>
      </c>
      <c r="I102">
        <f t="shared" si="5"/>
        <v>0</v>
      </c>
      <c r="J102">
        <f>IF(Table1[[#This Row],[Active_months]]&gt;=1, 1, 0)</f>
        <v>0</v>
      </c>
    </row>
    <row r="103" spans="1:10" x14ac:dyDescent="0.3">
      <c r="A103">
        <v>155508519</v>
      </c>
      <c r="B103" s="1">
        <v>44817</v>
      </c>
      <c r="C103" s="1">
        <v>44857</v>
      </c>
      <c r="D103">
        <v>39</v>
      </c>
      <c r="E103" t="s">
        <v>6</v>
      </c>
      <c r="F103" t="s">
        <v>7</v>
      </c>
      <c r="G103" s="1">
        <f t="shared" si="3"/>
        <v>44857</v>
      </c>
      <c r="H103">
        <f t="shared" si="4"/>
        <v>1</v>
      </c>
      <c r="I103">
        <f t="shared" si="5"/>
        <v>0</v>
      </c>
      <c r="J103">
        <f>IF(Table1[[#This Row],[Active_months]]&gt;=1, 1, 0)</f>
        <v>1</v>
      </c>
    </row>
    <row r="104" spans="1:10" x14ac:dyDescent="0.3">
      <c r="A104">
        <v>155463846</v>
      </c>
      <c r="B104" s="1">
        <v>44817</v>
      </c>
      <c r="C104" s="1">
        <v>44837</v>
      </c>
      <c r="D104">
        <v>39</v>
      </c>
      <c r="E104" t="s">
        <v>6</v>
      </c>
      <c r="F104" t="s">
        <v>7</v>
      </c>
      <c r="G104" s="1">
        <f t="shared" si="3"/>
        <v>44837</v>
      </c>
      <c r="H104">
        <f t="shared" si="4"/>
        <v>1</v>
      </c>
      <c r="I104">
        <f t="shared" si="5"/>
        <v>0</v>
      </c>
      <c r="J104">
        <f>IF(Table1[[#This Row],[Active_months]]&gt;=1, 1, 0)</f>
        <v>1</v>
      </c>
    </row>
    <row r="105" spans="1:10" x14ac:dyDescent="0.3">
      <c r="A105">
        <v>122335220</v>
      </c>
      <c r="B105" s="1">
        <v>44817</v>
      </c>
      <c r="C105" s="1">
        <v>44821</v>
      </c>
      <c r="D105">
        <v>39</v>
      </c>
      <c r="E105" t="s">
        <v>6</v>
      </c>
      <c r="F105" t="s">
        <v>7</v>
      </c>
      <c r="G105" s="1">
        <f t="shared" si="3"/>
        <v>44821</v>
      </c>
      <c r="H105">
        <f t="shared" si="4"/>
        <v>0</v>
      </c>
      <c r="I105">
        <f t="shared" si="5"/>
        <v>0</v>
      </c>
      <c r="J105">
        <f>IF(Table1[[#This Row],[Active_months]]&gt;=1, 1, 0)</f>
        <v>0</v>
      </c>
    </row>
    <row r="106" spans="1:10" x14ac:dyDescent="0.3">
      <c r="A106">
        <v>155460904</v>
      </c>
      <c r="B106" s="1">
        <v>44817</v>
      </c>
      <c r="C106" s="1">
        <v>45091</v>
      </c>
      <c r="D106">
        <v>39</v>
      </c>
      <c r="E106" t="s">
        <v>6</v>
      </c>
      <c r="F106" t="s">
        <v>7</v>
      </c>
      <c r="G106" s="1">
        <f t="shared" si="3"/>
        <v>45091</v>
      </c>
      <c r="H106">
        <f t="shared" si="4"/>
        <v>9</v>
      </c>
      <c r="I106">
        <f t="shared" si="5"/>
        <v>1</v>
      </c>
      <c r="J106">
        <f>IF(Table1[[#This Row],[Active_months]]&gt;=1, 1, 0)</f>
        <v>1</v>
      </c>
    </row>
    <row r="107" spans="1:10" x14ac:dyDescent="0.3">
      <c r="A107">
        <v>155534484</v>
      </c>
      <c r="B107" s="1">
        <v>44818</v>
      </c>
      <c r="C107" s="1">
        <v>44819</v>
      </c>
      <c r="D107">
        <v>39</v>
      </c>
      <c r="E107" t="s">
        <v>6</v>
      </c>
      <c r="F107" t="s">
        <v>8</v>
      </c>
      <c r="G107" s="1">
        <f t="shared" si="3"/>
        <v>44819</v>
      </c>
      <c r="H107">
        <f t="shared" si="4"/>
        <v>0</v>
      </c>
      <c r="I107">
        <f t="shared" si="5"/>
        <v>0</v>
      </c>
      <c r="J107">
        <f>IF(Table1[[#This Row],[Active_months]]&gt;=1, 1, 0)</f>
        <v>0</v>
      </c>
    </row>
    <row r="108" spans="1:10" x14ac:dyDescent="0.3">
      <c r="A108">
        <v>155465332</v>
      </c>
      <c r="B108" s="1">
        <v>44818</v>
      </c>
      <c r="C108" s="1">
        <v>44991</v>
      </c>
      <c r="D108">
        <v>39</v>
      </c>
      <c r="E108" t="s">
        <v>6</v>
      </c>
      <c r="F108" t="s">
        <v>7</v>
      </c>
      <c r="G108" s="1">
        <f t="shared" si="3"/>
        <v>44991</v>
      </c>
      <c r="H108">
        <f t="shared" si="4"/>
        <v>6</v>
      </c>
      <c r="I108">
        <f t="shared" si="5"/>
        <v>1</v>
      </c>
      <c r="J108">
        <f>IF(Table1[[#This Row],[Active_months]]&gt;=1, 1, 0)</f>
        <v>1</v>
      </c>
    </row>
    <row r="109" spans="1:10" x14ac:dyDescent="0.3">
      <c r="A109">
        <v>155562517</v>
      </c>
      <c r="B109" s="1">
        <v>44818</v>
      </c>
      <c r="C109" s="1">
        <v>44902</v>
      </c>
      <c r="D109">
        <v>39</v>
      </c>
      <c r="E109" t="s">
        <v>6</v>
      </c>
      <c r="F109" t="s">
        <v>7</v>
      </c>
      <c r="G109" s="1">
        <f t="shared" si="3"/>
        <v>44902</v>
      </c>
      <c r="H109">
        <f t="shared" si="4"/>
        <v>3</v>
      </c>
      <c r="I109">
        <f t="shared" si="5"/>
        <v>0</v>
      </c>
      <c r="J109">
        <f>IF(Table1[[#This Row],[Active_months]]&gt;=1, 1, 0)</f>
        <v>1</v>
      </c>
    </row>
    <row r="110" spans="1:10" x14ac:dyDescent="0.3">
      <c r="A110">
        <v>153577096</v>
      </c>
      <c r="B110" s="1">
        <v>44818</v>
      </c>
      <c r="C110" s="1">
        <v>44855</v>
      </c>
      <c r="D110">
        <v>39</v>
      </c>
      <c r="E110" t="s">
        <v>6</v>
      </c>
      <c r="F110" t="s">
        <v>7</v>
      </c>
      <c r="G110" s="1">
        <f t="shared" si="3"/>
        <v>44855</v>
      </c>
      <c r="H110">
        <f t="shared" si="4"/>
        <v>1</v>
      </c>
      <c r="I110">
        <f t="shared" si="5"/>
        <v>0</v>
      </c>
      <c r="J110">
        <f>IF(Table1[[#This Row],[Active_months]]&gt;=1, 1, 0)</f>
        <v>1</v>
      </c>
    </row>
    <row r="111" spans="1:10" x14ac:dyDescent="0.3">
      <c r="A111">
        <v>154937101</v>
      </c>
      <c r="B111" s="1">
        <v>44819</v>
      </c>
      <c r="D111">
        <v>39</v>
      </c>
      <c r="E111" t="s">
        <v>6</v>
      </c>
      <c r="F111" t="s">
        <v>7</v>
      </c>
      <c r="G111" s="1">
        <f t="shared" si="3"/>
        <v>45199</v>
      </c>
      <c r="H111">
        <f t="shared" si="4"/>
        <v>12</v>
      </c>
      <c r="I111">
        <f t="shared" si="5"/>
        <v>1</v>
      </c>
      <c r="J111">
        <f>IF(Table1[[#This Row],[Active_months]]&gt;=1, 1, 0)</f>
        <v>1</v>
      </c>
    </row>
    <row r="112" spans="1:10" x14ac:dyDescent="0.3">
      <c r="A112">
        <v>144968444</v>
      </c>
      <c r="B112" s="1">
        <v>44819</v>
      </c>
      <c r="C112" s="1">
        <v>44819</v>
      </c>
      <c r="D112">
        <v>39</v>
      </c>
      <c r="E112" t="s">
        <v>6</v>
      </c>
      <c r="F112" t="s">
        <v>8</v>
      </c>
      <c r="G112" s="1">
        <f t="shared" si="3"/>
        <v>44819</v>
      </c>
      <c r="H112">
        <f t="shared" si="4"/>
        <v>0</v>
      </c>
      <c r="I112">
        <f t="shared" si="5"/>
        <v>0</v>
      </c>
      <c r="J112">
        <f>IF(Table1[[#This Row],[Active_months]]&gt;=1, 1, 0)</f>
        <v>0</v>
      </c>
    </row>
    <row r="113" spans="1:10" x14ac:dyDescent="0.3">
      <c r="A113">
        <v>155270889</v>
      </c>
      <c r="B113" s="1">
        <v>44819</v>
      </c>
      <c r="C113" s="1">
        <v>44991</v>
      </c>
      <c r="D113">
        <v>39</v>
      </c>
      <c r="E113" t="s">
        <v>6</v>
      </c>
      <c r="F113" t="s">
        <v>7</v>
      </c>
      <c r="G113" s="1">
        <f t="shared" si="3"/>
        <v>44991</v>
      </c>
      <c r="H113">
        <f t="shared" si="4"/>
        <v>6</v>
      </c>
      <c r="I113">
        <f t="shared" si="5"/>
        <v>1</v>
      </c>
      <c r="J113">
        <f>IF(Table1[[#This Row],[Active_months]]&gt;=1, 1, 0)</f>
        <v>1</v>
      </c>
    </row>
    <row r="114" spans="1:10" x14ac:dyDescent="0.3">
      <c r="A114">
        <v>155601465</v>
      </c>
      <c r="B114" s="1">
        <v>44819</v>
      </c>
      <c r="C114" s="1">
        <v>45078</v>
      </c>
      <c r="D114">
        <v>39</v>
      </c>
      <c r="E114" t="s">
        <v>6</v>
      </c>
      <c r="F114" t="s">
        <v>7</v>
      </c>
      <c r="G114" s="1">
        <f t="shared" si="3"/>
        <v>45078</v>
      </c>
      <c r="H114">
        <f t="shared" si="4"/>
        <v>9</v>
      </c>
      <c r="I114">
        <f t="shared" si="5"/>
        <v>1</v>
      </c>
      <c r="J114">
        <f>IF(Table1[[#This Row],[Active_months]]&gt;=1, 1, 0)</f>
        <v>1</v>
      </c>
    </row>
    <row r="115" spans="1:10" x14ac:dyDescent="0.3">
      <c r="A115">
        <v>154045370</v>
      </c>
      <c r="B115" s="1">
        <v>44819</v>
      </c>
      <c r="C115" s="1">
        <v>44893</v>
      </c>
      <c r="D115">
        <v>39</v>
      </c>
      <c r="E115" t="s">
        <v>6</v>
      </c>
      <c r="F115" t="s">
        <v>7</v>
      </c>
      <c r="G115" s="1">
        <f t="shared" si="3"/>
        <v>44893</v>
      </c>
      <c r="H115">
        <f t="shared" si="4"/>
        <v>2</v>
      </c>
      <c r="I115">
        <f t="shared" si="5"/>
        <v>0</v>
      </c>
      <c r="J115">
        <f>IF(Table1[[#This Row],[Active_months]]&gt;=1, 1, 0)</f>
        <v>1</v>
      </c>
    </row>
    <row r="116" spans="1:10" x14ac:dyDescent="0.3">
      <c r="A116">
        <v>155612742</v>
      </c>
      <c r="B116" s="1">
        <v>44819</v>
      </c>
      <c r="C116" s="1">
        <v>44873</v>
      </c>
      <c r="D116">
        <v>39</v>
      </c>
      <c r="E116" t="s">
        <v>6</v>
      </c>
      <c r="F116" t="s">
        <v>7</v>
      </c>
      <c r="G116" s="1">
        <f t="shared" si="3"/>
        <v>44873</v>
      </c>
      <c r="H116">
        <f t="shared" si="4"/>
        <v>2</v>
      </c>
      <c r="I116">
        <f t="shared" si="5"/>
        <v>0</v>
      </c>
      <c r="J116">
        <f>IF(Table1[[#This Row],[Active_months]]&gt;=1, 1, 0)</f>
        <v>1</v>
      </c>
    </row>
    <row r="117" spans="1:10" x14ac:dyDescent="0.3">
      <c r="A117">
        <v>155621162</v>
      </c>
      <c r="B117" s="1">
        <v>44819</v>
      </c>
      <c r="C117" s="1">
        <v>44879</v>
      </c>
      <c r="D117">
        <v>39</v>
      </c>
      <c r="E117" t="s">
        <v>6</v>
      </c>
      <c r="F117" t="s">
        <v>7</v>
      </c>
      <c r="G117" s="1">
        <f t="shared" si="3"/>
        <v>44879</v>
      </c>
      <c r="H117">
        <f t="shared" si="4"/>
        <v>2</v>
      </c>
      <c r="I117">
        <f t="shared" si="5"/>
        <v>0</v>
      </c>
      <c r="J117">
        <f>IF(Table1[[#This Row],[Active_months]]&gt;=1, 1, 0)</f>
        <v>1</v>
      </c>
    </row>
    <row r="118" spans="1:10" x14ac:dyDescent="0.3">
      <c r="A118">
        <v>154904040</v>
      </c>
      <c r="B118" s="1">
        <v>44819</v>
      </c>
      <c r="C118" s="1">
        <v>44856</v>
      </c>
      <c r="D118">
        <v>39</v>
      </c>
      <c r="E118" t="s">
        <v>6</v>
      </c>
      <c r="F118" t="s">
        <v>7</v>
      </c>
      <c r="G118" s="1">
        <f t="shared" si="3"/>
        <v>44856</v>
      </c>
      <c r="H118">
        <f t="shared" si="4"/>
        <v>1</v>
      </c>
      <c r="I118">
        <f t="shared" si="5"/>
        <v>0</v>
      </c>
      <c r="J118">
        <f>IF(Table1[[#This Row],[Active_months]]&gt;=1, 1, 0)</f>
        <v>1</v>
      </c>
    </row>
    <row r="119" spans="1:10" x14ac:dyDescent="0.3">
      <c r="A119">
        <v>150810434</v>
      </c>
      <c r="B119" s="1">
        <v>44819</v>
      </c>
      <c r="C119" s="1">
        <v>44846</v>
      </c>
      <c r="D119">
        <v>39</v>
      </c>
      <c r="E119" t="s">
        <v>6</v>
      </c>
      <c r="F119" t="s">
        <v>7</v>
      </c>
      <c r="G119" s="1">
        <f t="shared" si="3"/>
        <v>44846</v>
      </c>
      <c r="H119">
        <f t="shared" si="4"/>
        <v>1</v>
      </c>
      <c r="I119">
        <f t="shared" si="5"/>
        <v>0</v>
      </c>
      <c r="J119">
        <f>IF(Table1[[#This Row],[Active_months]]&gt;=1, 1, 0)</f>
        <v>1</v>
      </c>
    </row>
    <row r="120" spans="1:10" x14ac:dyDescent="0.3">
      <c r="A120">
        <v>150825802</v>
      </c>
      <c r="B120" s="1">
        <v>44819</v>
      </c>
      <c r="C120" s="1">
        <v>44847</v>
      </c>
      <c r="D120">
        <v>39</v>
      </c>
      <c r="E120" t="s">
        <v>6</v>
      </c>
      <c r="F120" t="s">
        <v>7</v>
      </c>
      <c r="G120" s="1">
        <f t="shared" si="3"/>
        <v>44847</v>
      </c>
      <c r="H120">
        <f t="shared" si="4"/>
        <v>1</v>
      </c>
      <c r="I120">
        <f t="shared" si="5"/>
        <v>0</v>
      </c>
      <c r="J120">
        <f>IF(Table1[[#This Row],[Active_months]]&gt;=1, 1, 0)</f>
        <v>1</v>
      </c>
    </row>
    <row r="121" spans="1:10" x14ac:dyDescent="0.3">
      <c r="A121">
        <v>151907203</v>
      </c>
      <c r="B121" s="1">
        <v>44819</v>
      </c>
      <c r="C121" s="1">
        <v>44845</v>
      </c>
      <c r="D121">
        <v>39</v>
      </c>
      <c r="E121" t="s">
        <v>6</v>
      </c>
      <c r="F121" t="s">
        <v>7</v>
      </c>
      <c r="G121" s="1">
        <f t="shared" si="3"/>
        <v>44845</v>
      </c>
      <c r="H121">
        <f t="shared" si="4"/>
        <v>1</v>
      </c>
      <c r="I121">
        <f t="shared" si="5"/>
        <v>0</v>
      </c>
      <c r="J121">
        <f>IF(Table1[[#This Row],[Active_months]]&gt;=1, 1, 0)</f>
        <v>1</v>
      </c>
    </row>
    <row r="122" spans="1:10" x14ac:dyDescent="0.3">
      <c r="A122">
        <v>149595273</v>
      </c>
      <c r="B122" s="1">
        <v>44819</v>
      </c>
      <c r="C122" s="1">
        <v>44833</v>
      </c>
      <c r="D122">
        <v>39</v>
      </c>
      <c r="E122" t="s">
        <v>6</v>
      </c>
      <c r="F122" t="s">
        <v>7</v>
      </c>
      <c r="G122" s="1">
        <f t="shared" si="3"/>
        <v>44833</v>
      </c>
      <c r="H122">
        <f t="shared" si="4"/>
        <v>0</v>
      </c>
      <c r="I122">
        <f t="shared" si="5"/>
        <v>0</v>
      </c>
      <c r="J122">
        <f>IF(Table1[[#This Row],[Active_months]]&gt;=1, 1, 0)</f>
        <v>0</v>
      </c>
    </row>
    <row r="123" spans="1:10" x14ac:dyDescent="0.3">
      <c r="A123">
        <v>155596960</v>
      </c>
      <c r="B123" s="1">
        <v>44819</v>
      </c>
      <c r="C123" s="1">
        <v>44827</v>
      </c>
      <c r="D123">
        <v>39</v>
      </c>
      <c r="E123" t="s">
        <v>6</v>
      </c>
      <c r="F123" t="s">
        <v>7</v>
      </c>
      <c r="G123" s="1">
        <f t="shared" si="3"/>
        <v>44827</v>
      </c>
      <c r="H123">
        <f t="shared" si="4"/>
        <v>0</v>
      </c>
      <c r="I123">
        <f t="shared" si="5"/>
        <v>0</v>
      </c>
      <c r="J123">
        <f>IF(Table1[[#This Row],[Active_months]]&gt;=1, 1, 0)</f>
        <v>0</v>
      </c>
    </row>
    <row r="124" spans="1:10" x14ac:dyDescent="0.3">
      <c r="A124">
        <v>155192606</v>
      </c>
      <c r="B124" s="1">
        <v>44820</v>
      </c>
      <c r="D124">
        <v>39</v>
      </c>
      <c r="E124" t="s">
        <v>6</v>
      </c>
      <c r="F124" t="s">
        <v>7</v>
      </c>
      <c r="G124" s="1">
        <f t="shared" si="3"/>
        <v>45199</v>
      </c>
      <c r="H124">
        <f t="shared" si="4"/>
        <v>12</v>
      </c>
      <c r="I124">
        <f t="shared" si="5"/>
        <v>1</v>
      </c>
      <c r="J124">
        <f>IF(Table1[[#This Row],[Active_months]]&gt;=1, 1, 0)</f>
        <v>1</v>
      </c>
    </row>
    <row r="125" spans="1:10" x14ac:dyDescent="0.3">
      <c r="A125">
        <v>129111644</v>
      </c>
      <c r="B125" s="1">
        <v>44820</v>
      </c>
      <c r="C125" s="1">
        <v>45008</v>
      </c>
      <c r="D125">
        <v>39</v>
      </c>
      <c r="E125" t="s">
        <v>6</v>
      </c>
      <c r="F125" t="s">
        <v>7</v>
      </c>
      <c r="G125" s="1">
        <f t="shared" si="3"/>
        <v>45008</v>
      </c>
      <c r="H125">
        <f t="shared" si="4"/>
        <v>6</v>
      </c>
      <c r="I125">
        <f t="shared" si="5"/>
        <v>1</v>
      </c>
      <c r="J125">
        <f>IF(Table1[[#This Row],[Active_months]]&gt;=1, 1, 0)</f>
        <v>1</v>
      </c>
    </row>
    <row r="126" spans="1:10" x14ac:dyDescent="0.3">
      <c r="A126">
        <v>155426674</v>
      </c>
      <c r="B126" s="1">
        <v>44820</v>
      </c>
      <c r="C126" s="1">
        <v>45026</v>
      </c>
      <c r="D126">
        <v>39</v>
      </c>
      <c r="E126" t="s">
        <v>6</v>
      </c>
      <c r="F126" t="s">
        <v>7</v>
      </c>
      <c r="G126" s="1">
        <f t="shared" si="3"/>
        <v>45026</v>
      </c>
      <c r="H126">
        <f t="shared" si="4"/>
        <v>7</v>
      </c>
      <c r="I126">
        <f t="shared" si="5"/>
        <v>1</v>
      </c>
      <c r="J126">
        <f>IF(Table1[[#This Row],[Active_months]]&gt;=1, 1, 0)</f>
        <v>1</v>
      </c>
    </row>
    <row r="127" spans="1:10" x14ac:dyDescent="0.3">
      <c r="A127">
        <v>154389303</v>
      </c>
      <c r="B127" s="1">
        <v>44820</v>
      </c>
      <c r="C127" s="1">
        <v>44931</v>
      </c>
      <c r="D127">
        <v>39</v>
      </c>
      <c r="E127" t="s">
        <v>6</v>
      </c>
      <c r="F127" t="s">
        <v>7</v>
      </c>
      <c r="G127" s="1">
        <f t="shared" si="3"/>
        <v>44931</v>
      </c>
      <c r="H127">
        <f t="shared" si="4"/>
        <v>4</v>
      </c>
      <c r="I127">
        <f t="shared" si="5"/>
        <v>0</v>
      </c>
      <c r="J127">
        <f>IF(Table1[[#This Row],[Active_months]]&gt;=1, 1, 0)</f>
        <v>1</v>
      </c>
    </row>
    <row r="128" spans="1:10" x14ac:dyDescent="0.3">
      <c r="A128">
        <v>155671632</v>
      </c>
      <c r="B128" s="1">
        <v>44820</v>
      </c>
      <c r="C128" s="1">
        <v>44917</v>
      </c>
      <c r="D128">
        <v>39</v>
      </c>
      <c r="E128" t="s">
        <v>6</v>
      </c>
      <c r="F128" t="s">
        <v>7</v>
      </c>
      <c r="G128" s="1">
        <f t="shared" si="3"/>
        <v>44917</v>
      </c>
      <c r="H128">
        <f t="shared" si="4"/>
        <v>3</v>
      </c>
      <c r="I128">
        <f t="shared" si="5"/>
        <v>0</v>
      </c>
      <c r="J128">
        <f>IF(Table1[[#This Row],[Active_months]]&gt;=1, 1, 0)</f>
        <v>1</v>
      </c>
    </row>
    <row r="129" spans="1:10" x14ac:dyDescent="0.3">
      <c r="A129">
        <v>155663101</v>
      </c>
      <c r="B129" s="1">
        <v>44820</v>
      </c>
      <c r="C129" s="1">
        <v>44838</v>
      </c>
      <c r="D129">
        <v>39</v>
      </c>
      <c r="E129" t="s">
        <v>6</v>
      </c>
      <c r="F129" t="s">
        <v>7</v>
      </c>
      <c r="G129" s="1">
        <f t="shared" si="3"/>
        <v>44838</v>
      </c>
      <c r="H129">
        <f t="shared" si="4"/>
        <v>1</v>
      </c>
      <c r="I129">
        <f t="shared" si="5"/>
        <v>0</v>
      </c>
      <c r="J129">
        <f>IF(Table1[[#This Row],[Active_months]]&gt;=1, 1, 0)</f>
        <v>1</v>
      </c>
    </row>
    <row r="130" spans="1:10" x14ac:dyDescent="0.3">
      <c r="A130">
        <v>152084572</v>
      </c>
      <c r="B130" s="1">
        <v>44821</v>
      </c>
      <c r="D130">
        <v>39</v>
      </c>
      <c r="E130" t="s">
        <v>6</v>
      </c>
      <c r="F130" t="s">
        <v>7</v>
      </c>
      <c r="G130" s="1">
        <f t="shared" si="3"/>
        <v>45199</v>
      </c>
      <c r="H130">
        <f t="shared" si="4"/>
        <v>12</v>
      </c>
      <c r="I130">
        <f t="shared" si="5"/>
        <v>1</v>
      </c>
      <c r="J130">
        <f>IF(Table1[[#This Row],[Active_months]]&gt;=1, 1, 0)</f>
        <v>1</v>
      </c>
    </row>
    <row r="131" spans="1:10" x14ac:dyDescent="0.3">
      <c r="A131">
        <v>155783230</v>
      </c>
      <c r="B131" s="1">
        <v>44821</v>
      </c>
      <c r="C131" s="1">
        <v>45058</v>
      </c>
      <c r="D131">
        <v>39</v>
      </c>
      <c r="E131" t="s">
        <v>6</v>
      </c>
      <c r="F131" t="s">
        <v>7</v>
      </c>
      <c r="G131" s="1">
        <f t="shared" ref="G131:G194" si="6">IF(ISBLANK(C131), DATE(2023,9,30), C131)</f>
        <v>45058</v>
      </c>
      <c r="H131">
        <f t="shared" ref="H131:H194" si="7">(YEAR(G131)-YEAR(B131))*12 + (MONTH(G131)-MONTH(B131))</f>
        <v>8</v>
      </c>
      <c r="I131">
        <f t="shared" ref="I131:I194" si="8">IF(H131 &gt;=5, 1, 0)</f>
        <v>1</v>
      </c>
      <c r="J131">
        <f>IF(Table1[[#This Row],[Active_months]]&gt;=1, 1, 0)</f>
        <v>1</v>
      </c>
    </row>
    <row r="132" spans="1:10" x14ac:dyDescent="0.3">
      <c r="A132">
        <v>155714315</v>
      </c>
      <c r="B132" s="1">
        <v>44821</v>
      </c>
      <c r="C132" s="1">
        <v>44940</v>
      </c>
      <c r="D132">
        <v>39</v>
      </c>
      <c r="E132" t="s">
        <v>6</v>
      </c>
      <c r="F132" t="s">
        <v>7</v>
      </c>
      <c r="G132" s="1">
        <f t="shared" si="6"/>
        <v>44940</v>
      </c>
      <c r="H132">
        <f t="shared" si="7"/>
        <v>4</v>
      </c>
      <c r="I132">
        <f t="shared" si="8"/>
        <v>0</v>
      </c>
      <c r="J132">
        <f>IF(Table1[[#This Row],[Active_months]]&gt;=1, 1, 0)</f>
        <v>1</v>
      </c>
    </row>
    <row r="133" spans="1:10" x14ac:dyDescent="0.3">
      <c r="A133">
        <v>155774393</v>
      </c>
      <c r="B133" s="1">
        <v>44821</v>
      </c>
      <c r="C133" s="1">
        <v>44852</v>
      </c>
      <c r="D133">
        <v>39</v>
      </c>
      <c r="E133" t="s">
        <v>6</v>
      </c>
      <c r="F133" t="s">
        <v>7</v>
      </c>
      <c r="G133" s="1">
        <f t="shared" si="6"/>
        <v>44852</v>
      </c>
      <c r="H133">
        <f t="shared" si="7"/>
        <v>1</v>
      </c>
      <c r="I133">
        <f t="shared" si="8"/>
        <v>0</v>
      </c>
      <c r="J133">
        <f>IF(Table1[[#This Row],[Active_months]]&gt;=1, 1, 0)</f>
        <v>1</v>
      </c>
    </row>
    <row r="134" spans="1:10" x14ac:dyDescent="0.3">
      <c r="A134">
        <v>152901090</v>
      </c>
      <c r="B134" s="1">
        <v>44822</v>
      </c>
      <c r="C134" s="1">
        <v>44951</v>
      </c>
      <c r="D134">
        <v>39</v>
      </c>
      <c r="E134" t="s">
        <v>6</v>
      </c>
      <c r="F134" t="s">
        <v>7</v>
      </c>
      <c r="G134" s="1">
        <f t="shared" si="6"/>
        <v>44951</v>
      </c>
      <c r="H134">
        <f t="shared" si="7"/>
        <v>4</v>
      </c>
      <c r="I134">
        <f t="shared" si="8"/>
        <v>0</v>
      </c>
      <c r="J134">
        <f>IF(Table1[[#This Row],[Active_months]]&gt;=1, 1, 0)</f>
        <v>1</v>
      </c>
    </row>
    <row r="135" spans="1:10" x14ac:dyDescent="0.3">
      <c r="A135">
        <v>147029752</v>
      </c>
      <c r="B135" s="1">
        <v>44822</v>
      </c>
      <c r="C135" s="1">
        <v>44886</v>
      </c>
      <c r="D135">
        <v>39</v>
      </c>
      <c r="E135" t="s">
        <v>6</v>
      </c>
      <c r="F135" t="s">
        <v>7</v>
      </c>
      <c r="G135" s="1">
        <f t="shared" si="6"/>
        <v>44886</v>
      </c>
      <c r="H135">
        <f t="shared" si="7"/>
        <v>2</v>
      </c>
      <c r="I135">
        <f t="shared" si="8"/>
        <v>0</v>
      </c>
      <c r="J135">
        <f>IF(Table1[[#This Row],[Active_months]]&gt;=1, 1, 0)</f>
        <v>1</v>
      </c>
    </row>
    <row r="136" spans="1:10" x14ac:dyDescent="0.3">
      <c r="A136">
        <v>155809043</v>
      </c>
      <c r="B136" s="1">
        <v>44822</v>
      </c>
      <c r="C136" s="1">
        <v>44903</v>
      </c>
      <c r="D136">
        <v>39</v>
      </c>
      <c r="E136" t="s">
        <v>6</v>
      </c>
      <c r="F136" t="s">
        <v>7</v>
      </c>
      <c r="G136" s="1">
        <f t="shared" si="6"/>
        <v>44903</v>
      </c>
      <c r="H136">
        <f t="shared" si="7"/>
        <v>3</v>
      </c>
      <c r="I136">
        <f t="shared" si="8"/>
        <v>0</v>
      </c>
      <c r="J136">
        <f>IF(Table1[[#This Row],[Active_months]]&gt;=1, 1, 0)</f>
        <v>1</v>
      </c>
    </row>
    <row r="137" spans="1:10" x14ac:dyDescent="0.3">
      <c r="A137">
        <v>155180991</v>
      </c>
      <c r="B137" s="1">
        <v>44822</v>
      </c>
      <c r="C137" s="1">
        <v>44877</v>
      </c>
      <c r="D137">
        <v>39</v>
      </c>
      <c r="E137" t="s">
        <v>6</v>
      </c>
      <c r="F137" t="s">
        <v>7</v>
      </c>
      <c r="G137" s="1">
        <f t="shared" si="6"/>
        <v>44877</v>
      </c>
      <c r="H137">
        <f t="shared" si="7"/>
        <v>2</v>
      </c>
      <c r="I137">
        <f t="shared" si="8"/>
        <v>0</v>
      </c>
      <c r="J137">
        <f>IF(Table1[[#This Row],[Active_months]]&gt;=1, 1, 0)</f>
        <v>1</v>
      </c>
    </row>
    <row r="138" spans="1:10" x14ac:dyDescent="0.3">
      <c r="A138">
        <v>155713732</v>
      </c>
      <c r="B138" s="1">
        <v>44822</v>
      </c>
      <c r="C138" s="1">
        <v>44834</v>
      </c>
      <c r="D138">
        <v>39</v>
      </c>
      <c r="E138" t="s">
        <v>6</v>
      </c>
      <c r="F138" t="s">
        <v>7</v>
      </c>
      <c r="G138" s="1">
        <f t="shared" si="6"/>
        <v>44834</v>
      </c>
      <c r="H138">
        <f t="shared" si="7"/>
        <v>0</v>
      </c>
      <c r="I138">
        <f t="shared" si="8"/>
        <v>0</v>
      </c>
      <c r="J138">
        <f>IF(Table1[[#This Row],[Active_months]]&gt;=1, 1, 0)</f>
        <v>0</v>
      </c>
    </row>
    <row r="139" spans="1:10" x14ac:dyDescent="0.3">
      <c r="A139">
        <v>155204060</v>
      </c>
      <c r="B139" s="1">
        <v>44822</v>
      </c>
      <c r="C139" s="1">
        <v>44851</v>
      </c>
      <c r="D139">
        <v>39</v>
      </c>
      <c r="E139" t="s">
        <v>6</v>
      </c>
      <c r="F139" t="s">
        <v>7</v>
      </c>
      <c r="G139" s="1">
        <f t="shared" si="6"/>
        <v>44851</v>
      </c>
      <c r="H139">
        <f t="shared" si="7"/>
        <v>1</v>
      </c>
      <c r="I139">
        <f t="shared" si="8"/>
        <v>0</v>
      </c>
      <c r="J139">
        <f>IF(Table1[[#This Row],[Active_months]]&gt;=1, 1, 0)</f>
        <v>1</v>
      </c>
    </row>
    <row r="140" spans="1:10" x14ac:dyDescent="0.3">
      <c r="A140">
        <v>136817161</v>
      </c>
      <c r="B140" s="1">
        <v>44823</v>
      </c>
      <c r="C140" s="1">
        <v>44851</v>
      </c>
      <c r="D140">
        <v>39</v>
      </c>
      <c r="E140" t="s">
        <v>6</v>
      </c>
      <c r="F140" t="s">
        <v>8</v>
      </c>
      <c r="G140" s="1">
        <f t="shared" si="6"/>
        <v>44851</v>
      </c>
      <c r="H140">
        <f t="shared" si="7"/>
        <v>1</v>
      </c>
      <c r="I140">
        <f t="shared" si="8"/>
        <v>0</v>
      </c>
      <c r="J140">
        <f>IF(Table1[[#This Row],[Active_months]]&gt;=1, 1, 0)</f>
        <v>1</v>
      </c>
    </row>
    <row r="141" spans="1:10" x14ac:dyDescent="0.3">
      <c r="A141">
        <v>126212861</v>
      </c>
      <c r="B141" s="1">
        <v>44823</v>
      </c>
      <c r="C141" s="1">
        <v>44823</v>
      </c>
      <c r="D141">
        <v>39</v>
      </c>
      <c r="E141" t="s">
        <v>6</v>
      </c>
      <c r="F141" t="s">
        <v>7</v>
      </c>
      <c r="G141" s="1">
        <f t="shared" si="6"/>
        <v>44823</v>
      </c>
      <c r="H141">
        <f t="shared" si="7"/>
        <v>0</v>
      </c>
      <c r="I141">
        <f t="shared" si="8"/>
        <v>0</v>
      </c>
      <c r="J141">
        <f>IF(Table1[[#This Row],[Active_months]]&gt;=1, 1, 0)</f>
        <v>0</v>
      </c>
    </row>
    <row r="142" spans="1:10" x14ac:dyDescent="0.3">
      <c r="A142">
        <v>155265877</v>
      </c>
      <c r="B142" s="1">
        <v>44823</v>
      </c>
      <c r="C142" s="1">
        <v>44967</v>
      </c>
      <c r="D142">
        <v>39</v>
      </c>
      <c r="E142" t="s">
        <v>6</v>
      </c>
      <c r="F142" t="s">
        <v>7</v>
      </c>
      <c r="G142" s="1">
        <f t="shared" si="6"/>
        <v>44967</v>
      </c>
      <c r="H142">
        <f t="shared" si="7"/>
        <v>5</v>
      </c>
      <c r="I142">
        <f t="shared" si="8"/>
        <v>1</v>
      </c>
      <c r="J142">
        <f>IF(Table1[[#This Row],[Active_months]]&gt;=1, 1, 0)</f>
        <v>1</v>
      </c>
    </row>
    <row r="143" spans="1:10" x14ac:dyDescent="0.3">
      <c r="A143">
        <v>155916753</v>
      </c>
      <c r="B143" s="1">
        <v>44823</v>
      </c>
      <c r="C143" s="1">
        <v>44976</v>
      </c>
      <c r="D143">
        <v>39</v>
      </c>
      <c r="E143" t="s">
        <v>6</v>
      </c>
      <c r="F143" t="s">
        <v>7</v>
      </c>
      <c r="G143" s="1">
        <f t="shared" si="6"/>
        <v>44976</v>
      </c>
      <c r="H143">
        <f t="shared" si="7"/>
        <v>5</v>
      </c>
      <c r="I143">
        <f t="shared" si="8"/>
        <v>1</v>
      </c>
      <c r="J143">
        <f>IF(Table1[[#This Row],[Active_months]]&gt;=1, 1, 0)</f>
        <v>1</v>
      </c>
    </row>
    <row r="144" spans="1:10" x14ac:dyDescent="0.3">
      <c r="A144">
        <v>155927984</v>
      </c>
      <c r="B144" s="1">
        <v>44823</v>
      </c>
      <c r="C144" s="1">
        <v>44912</v>
      </c>
      <c r="D144">
        <v>39</v>
      </c>
      <c r="E144" t="s">
        <v>6</v>
      </c>
      <c r="F144" t="s">
        <v>7</v>
      </c>
      <c r="G144" s="1">
        <f t="shared" si="6"/>
        <v>44912</v>
      </c>
      <c r="H144">
        <f t="shared" si="7"/>
        <v>3</v>
      </c>
      <c r="I144">
        <f t="shared" si="8"/>
        <v>0</v>
      </c>
      <c r="J144">
        <f>IF(Table1[[#This Row],[Active_months]]&gt;=1, 1, 0)</f>
        <v>1</v>
      </c>
    </row>
    <row r="145" spans="1:10" x14ac:dyDescent="0.3">
      <c r="A145">
        <v>155876104</v>
      </c>
      <c r="B145" s="1">
        <v>44823</v>
      </c>
      <c r="C145" s="1">
        <v>44909</v>
      </c>
      <c r="D145">
        <v>39</v>
      </c>
      <c r="E145" t="s">
        <v>6</v>
      </c>
      <c r="F145" t="s">
        <v>7</v>
      </c>
      <c r="G145" s="1">
        <f t="shared" si="6"/>
        <v>44909</v>
      </c>
      <c r="H145">
        <f t="shared" si="7"/>
        <v>3</v>
      </c>
      <c r="I145">
        <f t="shared" si="8"/>
        <v>0</v>
      </c>
      <c r="J145">
        <f>IF(Table1[[#This Row],[Active_months]]&gt;=1, 1, 0)</f>
        <v>1</v>
      </c>
    </row>
    <row r="146" spans="1:10" x14ac:dyDescent="0.3">
      <c r="A146">
        <v>155733164</v>
      </c>
      <c r="B146" s="1">
        <v>44823</v>
      </c>
      <c r="C146" s="1">
        <v>44823</v>
      </c>
      <c r="D146">
        <v>39</v>
      </c>
      <c r="E146" t="s">
        <v>6</v>
      </c>
      <c r="F146" t="s">
        <v>7</v>
      </c>
      <c r="G146" s="1">
        <f t="shared" si="6"/>
        <v>44823</v>
      </c>
      <c r="H146">
        <f t="shared" si="7"/>
        <v>0</v>
      </c>
      <c r="I146">
        <f t="shared" si="8"/>
        <v>0</v>
      </c>
      <c r="J146">
        <f>IF(Table1[[#This Row],[Active_months]]&gt;=1, 1, 0)</f>
        <v>0</v>
      </c>
    </row>
    <row r="147" spans="1:10" x14ac:dyDescent="0.3">
      <c r="A147">
        <v>153832728</v>
      </c>
      <c r="B147" s="1">
        <v>44823</v>
      </c>
      <c r="C147" s="1">
        <v>44852</v>
      </c>
      <c r="D147">
        <v>39</v>
      </c>
      <c r="E147" t="s">
        <v>6</v>
      </c>
      <c r="F147" t="s">
        <v>7</v>
      </c>
      <c r="G147" s="1">
        <f t="shared" si="6"/>
        <v>44852</v>
      </c>
      <c r="H147">
        <f t="shared" si="7"/>
        <v>1</v>
      </c>
      <c r="I147">
        <f t="shared" si="8"/>
        <v>0</v>
      </c>
      <c r="J147">
        <f>IF(Table1[[#This Row],[Active_months]]&gt;=1, 1, 0)</f>
        <v>1</v>
      </c>
    </row>
    <row r="148" spans="1:10" x14ac:dyDescent="0.3">
      <c r="A148">
        <v>155876188</v>
      </c>
      <c r="B148" s="1">
        <v>44823</v>
      </c>
      <c r="C148" s="1">
        <v>44854</v>
      </c>
      <c r="D148">
        <v>39</v>
      </c>
      <c r="E148" t="s">
        <v>6</v>
      </c>
      <c r="F148" t="s">
        <v>7</v>
      </c>
      <c r="G148" s="1">
        <f t="shared" si="6"/>
        <v>44854</v>
      </c>
      <c r="H148">
        <f t="shared" si="7"/>
        <v>1</v>
      </c>
      <c r="I148">
        <f t="shared" si="8"/>
        <v>0</v>
      </c>
      <c r="J148">
        <f>IF(Table1[[#This Row],[Active_months]]&gt;=1, 1, 0)</f>
        <v>1</v>
      </c>
    </row>
    <row r="149" spans="1:10" x14ac:dyDescent="0.3">
      <c r="A149">
        <v>150687940</v>
      </c>
      <c r="B149" s="1">
        <v>44823</v>
      </c>
      <c r="C149" s="1">
        <v>44852</v>
      </c>
      <c r="D149">
        <v>39</v>
      </c>
      <c r="E149" t="s">
        <v>6</v>
      </c>
      <c r="F149" t="s">
        <v>7</v>
      </c>
      <c r="G149" s="1">
        <f t="shared" si="6"/>
        <v>44852</v>
      </c>
      <c r="H149">
        <f t="shared" si="7"/>
        <v>1</v>
      </c>
      <c r="I149">
        <f t="shared" si="8"/>
        <v>0</v>
      </c>
      <c r="J149">
        <f>IF(Table1[[#This Row],[Active_months]]&gt;=1, 1, 0)</f>
        <v>1</v>
      </c>
    </row>
    <row r="150" spans="1:10" x14ac:dyDescent="0.3">
      <c r="A150">
        <v>155967446</v>
      </c>
      <c r="B150" s="1">
        <v>44824</v>
      </c>
      <c r="D150">
        <v>39</v>
      </c>
      <c r="E150" t="s">
        <v>6</v>
      </c>
      <c r="F150" t="s">
        <v>7</v>
      </c>
      <c r="G150" s="1">
        <f t="shared" si="6"/>
        <v>45199</v>
      </c>
      <c r="H150">
        <f t="shared" si="7"/>
        <v>12</v>
      </c>
      <c r="I150">
        <f t="shared" si="8"/>
        <v>1</v>
      </c>
      <c r="J150">
        <f>IF(Table1[[#This Row],[Active_months]]&gt;=1, 1, 0)</f>
        <v>1</v>
      </c>
    </row>
    <row r="151" spans="1:10" x14ac:dyDescent="0.3">
      <c r="A151">
        <v>155687378</v>
      </c>
      <c r="B151" s="1">
        <v>44824</v>
      </c>
      <c r="C151" s="1">
        <v>45012</v>
      </c>
      <c r="D151">
        <v>39</v>
      </c>
      <c r="E151" t="s">
        <v>6</v>
      </c>
      <c r="F151" t="s">
        <v>7</v>
      </c>
      <c r="G151" s="1">
        <f t="shared" si="6"/>
        <v>45012</v>
      </c>
      <c r="H151">
        <f t="shared" si="7"/>
        <v>6</v>
      </c>
      <c r="I151">
        <f t="shared" si="8"/>
        <v>1</v>
      </c>
      <c r="J151">
        <f>IF(Table1[[#This Row],[Active_months]]&gt;=1, 1, 0)</f>
        <v>1</v>
      </c>
    </row>
    <row r="152" spans="1:10" x14ac:dyDescent="0.3">
      <c r="A152">
        <v>156020667</v>
      </c>
      <c r="B152" s="1">
        <v>44824</v>
      </c>
      <c r="C152" s="1">
        <v>45055</v>
      </c>
      <c r="D152">
        <v>39</v>
      </c>
      <c r="E152" t="s">
        <v>6</v>
      </c>
      <c r="F152" t="s">
        <v>7</v>
      </c>
      <c r="G152" s="1">
        <f t="shared" si="6"/>
        <v>45055</v>
      </c>
      <c r="H152">
        <f t="shared" si="7"/>
        <v>8</v>
      </c>
      <c r="I152">
        <f t="shared" si="8"/>
        <v>1</v>
      </c>
      <c r="J152">
        <f>IF(Table1[[#This Row],[Active_months]]&gt;=1, 1, 0)</f>
        <v>1</v>
      </c>
    </row>
    <row r="153" spans="1:10" x14ac:dyDescent="0.3">
      <c r="A153">
        <v>155869412</v>
      </c>
      <c r="B153" s="1">
        <v>44824</v>
      </c>
      <c r="C153" s="1">
        <v>44916</v>
      </c>
      <c r="D153">
        <v>39</v>
      </c>
      <c r="E153" t="s">
        <v>6</v>
      </c>
      <c r="F153" t="s">
        <v>7</v>
      </c>
      <c r="G153" s="1">
        <f t="shared" si="6"/>
        <v>44916</v>
      </c>
      <c r="H153">
        <f t="shared" si="7"/>
        <v>3</v>
      </c>
      <c r="I153">
        <f t="shared" si="8"/>
        <v>0</v>
      </c>
      <c r="J153">
        <f>IF(Table1[[#This Row],[Active_months]]&gt;=1, 1, 0)</f>
        <v>1</v>
      </c>
    </row>
    <row r="154" spans="1:10" x14ac:dyDescent="0.3">
      <c r="A154">
        <v>156042204</v>
      </c>
      <c r="B154" s="1">
        <v>44824</v>
      </c>
      <c r="C154" s="1">
        <v>44873</v>
      </c>
      <c r="D154">
        <v>39</v>
      </c>
      <c r="E154" t="s">
        <v>6</v>
      </c>
      <c r="F154" t="s">
        <v>7</v>
      </c>
      <c r="G154" s="1">
        <f t="shared" si="6"/>
        <v>44873</v>
      </c>
      <c r="H154">
        <f t="shared" si="7"/>
        <v>2</v>
      </c>
      <c r="I154">
        <f t="shared" si="8"/>
        <v>0</v>
      </c>
      <c r="J154">
        <f>IF(Table1[[#This Row],[Active_months]]&gt;=1, 1, 0)</f>
        <v>1</v>
      </c>
    </row>
    <row r="155" spans="1:10" x14ac:dyDescent="0.3">
      <c r="A155">
        <v>153568990</v>
      </c>
      <c r="B155" s="1">
        <v>44824</v>
      </c>
      <c r="C155" s="1">
        <v>44834</v>
      </c>
      <c r="D155">
        <v>39</v>
      </c>
      <c r="E155" t="s">
        <v>6</v>
      </c>
      <c r="F155" t="s">
        <v>7</v>
      </c>
      <c r="G155" s="1">
        <f t="shared" si="6"/>
        <v>44834</v>
      </c>
      <c r="H155">
        <f t="shared" si="7"/>
        <v>0</v>
      </c>
      <c r="I155">
        <f t="shared" si="8"/>
        <v>0</v>
      </c>
      <c r="J155">
        <f>IF(Table1[[#This Row],[Active_months]]&gt;=1, 1, 0)</f>
        <v>0</v>
      </c>
    </row>
    <row r="156" spans="1:10" x14ac:dyDescent="0.3">
      <c r="A156">
        <v>155327111</v>
      </c>
      <c r="B156" s="1">
        <v>44824</v>
      </c>
      <c r="C156" s="1">
        <v>44865</v>
      </c>
      <c r="D156">
        <v>39</v>
      </c>
      <c r="E156" t="s">
        <v>6</v>
      </c>
      <c r="F156" t="s">
        <v>7</v>
      </c>
      <c r="G156" s="1">
        <f t="shared" si="6"/>
        <v>44865</v>
      </c>
      <c r="H156">
        <f t="shared" si="7"/>
        <v>1</v>
      </c>
      <c r="I156">
        <f t="shared" si="8"/>
        <v>0</v>
      </c>
      <c r="J156">
        <f>IF(Table1[[#This Row],[Active_months]]&gt;=1, 1, 0)</f>
        <v>1</v>
      </c>
    </row>
    <row r="157" spans="1:10" x14ac:dyDescent="0.3">
      <c r="A157">
        <v>155270521</v>
      </c>
      <c r="B157" s="1">
        <v>44824</v>
      </c>
      <c r="C157" s="1">
        <v>45146</v>
      </c>
      <c r="D157">
        <v>39</v>
      </c>
      <c r="E157" t="s">
        <v>6</v>
      </c>
      <c r="F157" t="s">
        <v>7</v>
      </c>
      <c r="G157" s="1">
        <f t="shared" si="6"/>
        <v>45146</v>
      </c>
      <c r="H157">
        <f t="shared" si="7"/>
        <v>11</v>
      </c>
      <c r="I157">
        <f t="shared" si="8"/>
        <v>1</v>
      </c>
      <c r="J157">
        <f>IF(Table1[[#This Row],[Active_months]]&gt;=1, 1, 0)</f>
        <v>1</v>
      </c>
    </row>
    <row r="158" spans="1:10" x14ac:dyDescent="0.3">
      <c r="A158">
        <v>155991618</v>
      </c>
      <c r="B158" s="1">
        <v>44825</v>
      </c>
      <c r="C158" s="1">
        <v>45105</v>
      </c>
      <c r="D158">
        <v>39</v>
      </c>
      <c r="E158" t="s">
        <v>6</v>
      </c>
      <c r="F158" t="s">
        <v>7</v>
      </c>
      <c r="G158" s="1">
        <f t="shared" si="6"/>
        <v>45105</v>
      </c>
      <c r="H158">
        <f t="shared" si="7"/>
        <v>9</v>
      </c>
      <c r="I158">
        <f t="shared" si="8"/>
        <v>1</v>
      </c>
      <c r="J158">
        <f>IF(Table1[[#This Row],[Active_months]]&gt;=1, 1, 0)</f>
        <v>1</v>
      </c>
    </row>
    <row r="159" spans="1:10" x14ac:dyDescent="0.3">
      <c r="A159">
        <v>156045144</v>
      </c>
      <c r="B159" s="1">
        <v>44825</v>
      </c>
      <c r="C159" s="1">
        <v>44901</v>
      </c>
      <c r="D159">
        <v>39</v>
      </c>
      <c r="E159" t="s">
        <v>6</v>
      </c>
      <c r="F159" t="s">
        <v>7</v>
      </c>
      <c r="G159" s="1">
        <f t="shared" si="6"/>
        <v>44901</v>
      </c>
      <c r="H159">
        <f t="shared" si="7"/>
        <v>3</v>
      </c>
      <c r="I159">
        <f t="shared" si="8"/>
        <v>0</v>
      </c>
      <c r="J159">
        <f>IF(Table1[[#This Row],[Active_months]]&gt;=1, 1, 0)</f>
        <v>1</v>
      </c>
    </row>
    <row r="160" spans="1:10" x14ac:dyDescent="0.3">
      <c r="A160">
        <v>155439932</v>
      </c>
      <c r="B160" s="1">
        <v>44825</v>
      </c>
      <c r="C160" s="1">
        <v>44879</v>
      </c>
      <c r="D160">
        <v>39</v>
      </c>
      <c r="E160" t="s">
        <v>6</v>
      </c>
      <c r="F160" t="s">
        <v>7</v>
      </c>
      <c r="G160" s="1">
        <f t="shared" si="6"/>
        <v>44879</v>
      </c>
      <c r="H160">
        <f t="shared" si="7"/>
        <v>2</v>
      </c>
      <c r="I160">
        <f t="shared" si="8"/>
        <v>0</v>
      </c>
      <c r="J160">
        <f>IF(Table1[[#This Row],[Active_months]]&gt;=1, 1, 0)</f>
        <v>1</v>
      </c>
    </row>
    <row r="161" spans="1:10" x14ac:dyDescent="0.3">
      <c r="A161">
        <v>152674430</v>
      </c>
      <c r="B161" s="1">
        <v>44825</v>
      </c>
      <c r="C161" s="1">
        <v>44837</v>
      </c>
      <c r="D161">
        <v>39</v>
      </c>
      <c r="E161" t="s">
        <v>6</v>
      </c>
      <c r="F161" t="s">
        <v>7</v>
      </c>
      <c r="G161" s="1">
        <f t="shared" si="6"/>
        <v>44837</v>
      </c>
      <c r="H161">
        <f t="shared" si="7"/>
        <v>1</v>
      </c>
      <c r="I161">
        <f t="shared" si="8"/>
        <v>0</v>
      </c>
      <c r="J161">
        <f>IF(Table1[[#This Row],[Active_months]]&gt;=1, 1, 0)</f>
        <v>1</v>
      </c>
    </row>
    <row r="162" spans="1:10" x14ac:dyDescent="0.3">
      <c r="A162">
        <v>156135106</v>
      </c>
      <c r="B162" s="1">
        <v>44826</v>
      </c>
      <c r="D162">
        <v>39</v>
      </c>
      <c r="E162" t="s">
        <v>6</v>
      </c>
      <c r="F162" t="s">
        <v>7</v>
      </c>
      <c r="G162" s="1">
        <f t="shared" si="6"/>
        <v>45199</v>
      </c>
      <c r="H162">
        <f t="shared" si="7"/>
        <v>12</v>
      </c>
      <c r="I162">
        <f t="shared" si="8"/>
        <v>1</v>
      </c>
      <c r="J162">
        <f>IF(Table1[[#This Row],[Active_months]]&gt;=1, 1, 0)</f>
        <v>1</v>
      </c>
    </row>
    <row r="163" spans="1:10" x14ac:dyDescent="0.3">
      <c r="A163">
        <v>156185490</v>
      </c>
      <c r="B163" s="1">
        <v>44826</v>
      </c>
      <c r="C163" s="1">
        <v>45048</v>
      </c>
      <c r="D163">
        <v>39</v>
      </c>
      <c r="E163" t="s">
        <v>6</v>
      </c>
      <c r="F163" t="s">
        <v>7</v>
      </c>
      <c r="G163" s="1">
        <f t="shared" si="6"/>
        <v>45048</v>
      </c>
      <c r="H163">
        <f t="shared" si="7"/>
        <v>8</v>
      </c>
      <c r="I163">
        <f t="shared" si="8"/>
        <v>1</v>
      </c>
      <c r="J163">
        <f>IF(Table1[[#This Row],[Active_months]]&gt;=1, 1, 0)</f>
        <v>1</v>
      </c>
    </row>
    <row r="164" spans="1:10" x14ac:dyDescent="0.3">
      <c r="A164">
        <v>156180312</v>
      </c>
      <c r="B164" s="1">
        <v>44826</v>
      </c>
      <c r="C164" s="1">
        <v>44880</v>
      </c>
      <c r="D164">
        <v>39</v>
      </c>
      <c r="E164" t="s">
        <v>6</v>
      </c>
      <c r="F164" t="s">
        <v>7</v>
      </c>
      <c r="G164" s="1">
        <f t="shared" si="6"/>
        <v>44880</v>
      </c>
      <c r="H164">
        <f t="shared" si="7"/>
        <v>2</v>
      </c>
      <c r="I164">
        <f t="shared" si="8"/>
        <v>0</v>
      </c>
      <c r="J164">
        <f>IF(Table1[[#This Row],[Active_months]]&gt;=1, 1, 0)</f>
        <v>1</v>
      </c>
    </row>
    <row r="165" spans="1:10" x14ac:dyDescent="0.3">
      <c r="A165">
        <v>151263484</v>
      </c>
      <c r="B165" s="1">
        <v>44826</v>
      </c>
      <c r="C165" s="1">
        <v>44863</v>
      </c>
      <c r="D165">
        <v>39</v>
      </c>
      <c r="E165" t="s">
        <v>6</v>
      </c>
      <c r="F165" t="s">
        <v>7</v>
      </c>
      <c r="G165" s="1">
        <f t="shared" si="6"/>
        <v>44863</v>
      </c>
      <c r="H165">
        <f t="shared" si="7"/>
        <v>1</v>
      </c>
      <c r="I165">
        <f t="shared" si="8"/>
        <v>0</v>
      </c>
      <c r="J165">
        <f>IF(Table1[[#This Row],[Active_months]]&gt;=1, 1, 0)</f>
        <v>1</v>
      </c>
    </row>
    <row r="166" spans="1:10" x14ac:dyDescent="0.3">
      <c r="A166">
        <v>156008989</v>
      </c>
      <c r="B166" s="1">
        <v>44826</v>
      </c>
      <c r="C166" s="1">
        <v>44855</v>
      </c>
      <c r="D166">
        <v>39</v>
      </c>
      <c r="E166" t="s">
        <v>6</v>
      </c>
      <c r="F166" t="s">
        <v>7</v>
      </c>
      <c r="G166" s="1">
        <f t="shared" si="6"/>
        <v>44855</v>
      </c>
      <c r="H166">
        <f t="shared" si="7"/>
        <v>1</v>
      </c>
      <c r="I166">
        <f t="shared" si="8"/>
        <v>0</v>
      </c>
      <c r="J166">
        <f>IF(Table1[[#This Row],[Active_months]]&gt;=1, 1, 0)</f>
        <v>1</v>
      </c>
    </row>
    <row r="167" spans="1:10" x14ac:dyDescent="0.3">
      <c r="A167">
        <v>147687218</v>
      </c>
      <c r="B167" s="1">
        <v>44826</v>
      </c>
      <c r="C167" s="1">
        <v>44863</v>
      </c>
      <c r="D167">
        <v>39</v>
      </c>
      <c r="E167" t="s">
        <v>6</v>
      </c>
      <c r="F167" t="s">
        <v>7</v>
      </c>
      <c r="G167" s="1">
        <f t="shared" si="6"/>
        <v>44863</v>
      </c>
      <c r="H167">
        <f t="shared" si="7"/>
        <v>1</v>
      </c>
      <c r="I167">
        <f t="shared" si="8"/>
        <v>0</v>
      </c>
      <c r="J167">
        <f>IF(Table1[[#This Row],[Active_months]]&gt;=1, 1, 0)</f>
        <v>1</v>
      </c>
    </row>
    <row r="168" spans="1:10" x14ac:dyDescent="0.3">
      <c r="A168">
        <v>156235650</v>
      </c>
      <c r="B168" s="1">
        <v>44827</v>
      </c>
      <c r="D168">
        <v>39</v>
      </c>
      <c r="E168" t="s">
        <v>6</v>
      </c>
      <c r="F168" t="s">
        <v>7</v>
      </c>
      <c r="G168" s="1">
        <f t="shared" si="6"/>
        <v>45199</v>
      </c>
      <c r="H168">
        <f t="shared" si="7"/>
        <v>12</v>
      </c>
      <c r="I168">
        <f t="shared" si="8"/>
        <v>1</v>
      </c>
      <c r="J168">
        <f>IF(Table1[[#This Row],[Active_months]]&gt;=1, 1, 0)</f>
        <v>1</v>
      </c>
    </row>
    <row r="169" spans="1:10" x14ac:dyDescent="0.3">
      <c r="A169">
        <v>131128612</v>
      </c>
      <c r="B169" s="1">
        <v>44827</v>
      </c>
      <c r="C169" s="1">
        <v>44942</v>
      </c>
      <c r="D169">
        <v>39</v>
      </c>
      <c r="E169" t="s">
        <v>6</v>
      </c>
      <c r="F169" t="s">
        <v>7</v>
      </c>
      <c r="G169" s="1">
        <f t="shared" si="6"/>
        <v>44942</v>
      </c>
      <c r="H169">
        <f t="shared" si="7"/>
        <v>4</v>
      </c>
      <c r="I169">
        <f t="shared" si="8"/>
        <v>0</v>
      </c>
      <c r="J169">
        <f>IF(Table1[[#This Row],[Active_months]]&gt;=1, 1, 0)</f>
        <v>1</v>
      </c>
    </row>
    <row r="170" spans="1:10" x14ac:dyDescent="0.3">
      <c r="A170">
        <v>156198840</v>
      </c>
      <c r="B170" s="1">
        <v>44827</v>
      </c>
      <c r="C170" s="1">
        <v>44947</v>
      </c>
      <c r="D170">
        <v>39</v>
      </c>
      <c r="E170" t="s">
        <v>6</v>
      </c>
      <c r="F170" t="s">
        <v>7</v>
      </c>
      <c r="G170" s="1">
        <f t="shared" si="6"/>
        <v>44947</v>
      </c>
      <c r="H170">
        <f t="shared" si="7"/>
        <v>4</v>
      </c>
      <c r="I170">
        <f t="shared" si="8"/>
        <v>0</v>
      </c>
      <c r="J170">
        <f>IF(Table1[[#This Row],[Active_months]]&gt;=1, 1, 0)</f>
        <v>1</v>
      </c>
    </row>
    <row r="171" spans="1:10" x14ac:dyDescent="0.3">
      <c r="A171">
        <v>144166296</v>
      </c>
      <c r="B171" s="1">
        <v>44827</v>
      </c>
      <c r="C171" s="1">
        <v>44853</v>
      </c>
      <c r="D171">
        <v>39</v>
      </c>
      <c r="E171" t="s">
        <v>6</v>
      </c>
      <c r="F171" t="s">
        <v>7</v>
      </c>
      <c r="G171" s="1">
        <f t="shared" si="6"/>
        <v>44853</v>
      </c>
      <c r="H171">
        <f t="shared" si="7"/>
        <v>1</v>
      </c>
      <c r="I171">
        <f t="shared" si="8"/>
        <v>0</v>
      </c>
      <c r="J171">
        <f>IF(Table1[[#This Row],[Active_months]]&gt;=1, 1, 0)</f>
        <v>1</v>
      </c>
    </row>
    <row r="172" spans="1:10" x14ac:dyDescent="0.3">
      <c r="A172">
        <v>136108848</v>
      </c>
      <c r="B172" s="1">
        <v>44827</v>
      </c>
      <c r="C172" s="1">
        <v>44895</v>
      </c>
      <c r="D172">
        <v>39</v>
      </c>
      <c r="E172" t="s">
        <v>6</v>
      </c>
      <c r="F172" t="s">
        <v>7</v>
      </c>
      <c r="G172" s="1">
        <f t="shared" si="6"/>
        <v>44895</v>
      </c>
      <c r="H172">
        <f t="shared" si="7"/>
        <v>2</v>
      </c>
      <c r="I172">
        <f t="shared" si="8"/>
        <v>0</v>
      </c>
      <c r="J172">
        <f>IF(Table1[[#This Row],[Active_months]]&gt;=1, 1, 0)</f>
        <v>1</v>
      </c>
    </row>
    <row r="173" spans="1:10" x14ac:dyDescent="0.3">
      <c r="A173">
        <v>156225482</v>
      </c>
      <c r="B173" s="1">
        <v>44827</v>
      </c>
      <c r="C173" s="1">
        <v>44848</v>
      </c>
      <c r="D173">
        <v>39</v>
      </c>
      <c r="E173" t="s">
        <v>6</v>
      </c>
      <c r="F173" t="s">
        <v>7</v>
      </c>
      <c r="G173" s="1">
        <f t="shared" si="6"/>
        <v>44848</v>
      </c>
      <c r="H173">
        <f t="shared" si="7"/>
        <v>1</v>
      </c>
      <c r="I173">
        <f t="shared" si="8"/>
        <v>0</v>
      </c>
      <c r="J173">
        <f>IF(Table1[[#This Row],[Active_months]]&gt;=1, 1, 0)</f>
        <v>1</v>
      </c>
    </row>
    <row r="174" spans="1:10" x14ac:dyDescent="0.3">
      <c r="A174">
        <v>156209360</v>
      </c>
      <c r="B174" s="1">
        <v>44827</v>
      </c>
      <c r="C174" s="1">
        <v>44864</v>
      </c>
      <c r="D174">
        <v>39</v>
      </c>
      <c r="E174" t="s">
        <v>6</v>
      </c>
      <c r="F174" t="s">
        <v>7</v>
      </c>
      <c r="G174" s="1">
        <f t="shared" si="6"/>
        <v>44864</v>
      </c>
      <c r="H174">
        <f t="shared" si="7"/>
        <v>1</v>
      </c>
      <c r="I174">
        <f t="shared" si="8"/>
        <v>0</v>
      </c>
      <c r="J174">
        <f>IF(Table1[[#This Row],[Active_months]]&gt;=1, 1, 0)</f>
        <v>1</v>
      </c>
    </row>
    <row r="175" spans="1:10" x14ac:dyDescent="0.3">
      <c r="A175">
        <v>153492199</v>
      </c>
      <c r="B175" s="1">
        <v>44828</v>
      </c>
      <c r="C175" s="1">
        <v>44896</v>
      </c>
      <c r="D175">
        <v>39</v>
      </c>
      <c r="E175" t="s">
        <v>6</v>
      </c>
      <c r="F175" t="s">
        <v>7</v>
      </c>
      <c r="G175" s="1">
        <f t="shared" si="6"/>
        <v>44896</v>
      </c>
      <c r="H175">
        <f t="shared" si="7"/>
        <v>3</v>
      </c>
      <c r="I175">
        <f t="shared" si="8"/>
        <v>0</v>
      </c>
      <c r="J175">
        <f>IF(Table1[[#This Row],[Active_months]]&gt;=1, 1, 0)</f>
        <v>1</v>
      </c>
    </row>
    <row r="176" spans="1:10" x14ac:dyDescent="0.3">
      <c r="A176">
        <v>156127439</v>
      </c>
      <c r="B176" s="1">
        <v>44828</v>
      </c>
      <c r="C176" s="1">
        <v>44866</v>
      </c>
      <c r="D176">
        <v>39</v>
      </c>
      <c r="E176" t="s">
        <v>6</v>
      </c>
      <c r="F176" t="s">
        <v>7</v>
      </c>
      <c r="G176" s="1">
        <f t="shared" si="6"/>
        <v>44866</v>
      </c>
      <c r="H176">
        <f t="shared" si="7"/>
        <v>2</v>
      </c>
      <c r="I176">
        <f t="shared" si="8"/>
        <v>0</v>
      </c>
      <c r="J176">
        <f>IF(Table1[[#This Row],[Active_months]]&gt;=1, 1, 0)</f>
        <v>1</v>
      </c>
    </row>
    <row r="177" spans="1:10" x14ac:dyDescent="0.3">
      <c r="A177">
        <v>156197748</v>
      </c>
      <c r="B177" s="1">
        <v>44828</v>
      </c>
      <c r="C177" s="1">
        <v>44860</v>
      </c>
      <c r="D177">
        <v>39</v>
      </c>
      <c r="E177" t="s">
        <v>6</v>
      </c>
      <c r="F177" t="s">
        <v>7</v>
      </c>
      <c r="G177" s="1">
        <f t="shared" si="6"/>
        <v>44860</v>
      </c>
      <c r="H177">
        <f t="shared" si="7"/>
        <v>1</v>
      </c>
      <c r="I177">
        <f t="shared" si="8"/>
        <v>0</v>
      </c>
      <c r="J177">
        <f>IF(Table1[[#This Row],[Active_months]]&gt;=1, 1, 0)</f>
        <v>1</v>
      </c>
    </row>
    <row r="178" spans="1:10" x14ac:dyDescent="0.3">
      <c r="A178">
        <v>156292980</v>
      </c>
      <c r="B178" s="1">
        <v>44829</v>
      </c>
      <c r="D178">
        <v>39</v>
      </c>
      <c r="E178" t="s">
        <v>6</v>
      </c>
      <c r="F178" t="s">
        <v>7</v>
      </c>
      <c r="G178" s="1">
        <f t="shared" si="6"/>
        <v>45199</v>
      </c>
      <c r="H178">
        <f t="shared" si="7"/>
        <v>12</v>
      </c>
      <c r="I178">
        <f t="shared" si="8"/>
        <v>1</v>
      </c>
      <c r="J178">
        <f>IF(Table1[[#This Row],[Active_months]]&gt;=1, 1, 0)</f>
        <v>1</v>
      </c>
    </row>
    <row r="179" spans="1:10" x14ac:dyDescent="0.3">
      <c r="A179">
        <v>129284681</v>
      </c>
      <c r="B179" s="1">
        <v>44829</v>
      </c>
      <c r="C179" s="1">
        <v>44866</v>
      </c>
      <c r="D179">
        <v>39</v>
      </c>
      <c r="E179" t="s">
        <v>6</v>
      </c>
      <c r="F179" t="s">
        <v>7</v>
      </c>
      <c r="G179" s="1">
        <f t="shared" si="6"/>
        <v>44866</v>
      </c>
      <c r="H179">
        <f t="shared" si="7"/>
        <v>2</v>
      </c>
      <c r="I179">
        <f t="shared" si="8"/>
        <v>0</v>
      </c>
      <c r="J179">
        <f>IF(Table1[[#This Row],[Active_months]]&gt;=1, 1, 0)</f>
        <v>1</v>
      </c>
    </row>
    <row r="180" spans="1:10" x14ac:dyDescent="0.3">
      <c r="A180">
        <v>156249750</v>
      </c>
      <c r="B180" s="1">
        <v>44829</v>
      </c>
      <c r="C180" s="1">
        <v>44867</v>
      </c>
      <c r="D180">
        <v>39</v>
      </c>
      <c r="E180" t="s">
        <v>6</v>
      </c>
      <c r="F180" t="s">
        <v>7</v>
      </c>
      <c r="G180" s="1">
        <f t="shared" si="6"/>
        <v>44867</v>
      </c>
      <c r="H180">
        <f t="shared" si="7"/>
        <v>2</v>
      </c>
      <c r="I180">
        <f t="shared" si="8"/>
        <v>0</v>
      </c>
      <c r="J180">
        <f>IF(Table1[[#This Row],[Active_months]]&gt;=1, 1, 0)</f>
        <v>1</v>
      </c>
    </row>
    <row r="181" spans="1:10" x14ac:dyDescent="0.3">
      <c r="A181">
        <v>155143974</v>
      </c>
      <c r="B181" s="1">
        <v>44829</v>
      </c>
      <c r="C181" s="1">
        <v>44883</v>
      </c>
      <c r="D181">
        <v>39</v>
      </c>
      <c r="E181" t="s">
        <v>6</v>
      </c>
      <c r="F181" t="s">
        <v>7</v>
      </c>
      <c r="G181" s="1">
        <f t="shared" si="6"/>
        <v>44883</v>
      </c>
      <c r="H181">
        <f t="shared" si="7"/>
        <v>2</v>
      </c>
      <c r="I181">
        <f t="shared" si="8"/>
        <v>0</v>
      </c>
      <c r="J181">
        <f>IF(Table1[[#This Row],[Active_months]]&gt;=1, 1, 0)</f>
        <v>1</v>
      </c>
    </row>
    <row r="182" spans="1:10" x14ac:dyDescent="0.3">
      <c r="A182">
        <v>151354965</v>
      </c>
      <c r="B182" s="1">
        <v>44829</v>
      </c>
      <c r="C182" s="1">
        <v>44863</v>
      </c>
      <c r="D182">
        <v>39</v>
      </c>
      <c r="E182" t="s">
        <v>6</v>
      </c>
      <c r="F182" t="s">
        <v>7</v>
      </c>
      <c r="G182" s="1">
        <f t="shared" si="6"/>
        <v>44863</v>
      </c>
      <c r="H182">
        <f t="shared" si="7"/>
        <v>1</v>
      </c>
      <c r="I182">
        <f t="shared" si="8"/>
        <v>0</v>
      </c>
      <c r="J182">
        <f>IF(Table1[[#This Row],[Active_months]]&gt;=1, 1, 0)</f>
        <v>1</v>
      </c>
    </row>
    <row r="183" spans="1:10" x14ac:dyDescent="0.3">
      <c r="A183">
        <v>156178486</v>
      </c>
      <c r="B183" s="1">
        <v>44829</v>
      </c>
      <c r="C183" s="1">
        <v>44858</v>
      </c>
      <c r="D183">
        <v>39</v>
      </c>
      <c r="E183" t="s">
        <v>6</v>
      </c>
      <c r="F183" t="s">
        <v>7</v>
      </c>
      <c r="G183" s="1">
        <f t="shared" si="6"/>
        <v>44858</v>
      </c>
      <c r="H183">
        <f t="shared" si="7"/>
        <v>1</v>
      </c>
      <c r="I183">
        <f t="shared" si="8"/>
        <v>0</v>
      </c>
      <c r="J183">
        <f>IF(Table1[[#This Row],[Active_months]]&gt;=1, 1, 0)</f>
        <v>1</v>
      </c>
    </row>
    <row r="184" spans="1:10" x14ac:dyDescent="0.3">
      <c r="A184">
        <v>132314522</v>
      </c>
      <c r="B184" s="1">
        <v>44830</v>
      </c>
      <c r="C184" s="1">
        <v>44899</v>
      </c>
      <c r="D184">
        <v>39</v>
      </c>
      <c r="E184" t="s">
        <v>6</v>
      </c>
      <c r="F184" t="s">
        <v>7</v>
      </c>
      <c r="G184" s="1">
        <f t="shared" si="6"/>
        <v>44899</v>
      </c>
      <c r="H184">
        <f t="shared" si="7"/>
        <v>3</v>
      </c>
      <c r="I184">
        <f t="shared" si="8"/>
        <v>0</v>
      </c>
      <c r="J184">
        <f>IF(Table1[[#This Row],[Active_months]]&gt;=1, 1, 0)</f>
        <v>1</v>
      </c>
    </row>
    <row r="185" spans="1:10" x14ac:dyDescent="0.3">
      <c r="A185">
        <v>152505897</v>
      </c>
      <c r="B185" s="1">
        <v>44830</v>
      </c>
      <c r="C185" s="1">
        <v>45023</v>
      </c>
      <c r="D185">
        <v>39</v>
      </c>
      <c r="E185" t="s">
        <v>6</v>
      </c>
      <c r="F185" t="s">
        <v>7</v>
      </c>
      <c r="G185" s="1">
        <f t="shared" si="6"/>
        <v>45023</v>
      </c>
      <c r="H185">
        <f t="shared" si="7"/>
        <v>7</v>
      </c>
      <c r="I185">
        <f t="shared" si="8"/>
        <v>1</v>
      </c>
      <c r="J185">
        <f>IF(Table1[[#This Row],[Active_months]]&gt;=1, 1, 0)</f>
        <v>1</v>
      </c>
    </row>
    <row r="186" spans="1:10" x14ac:dyDescent="0.3">
      <c r="A186">
        <v>151086770</v>
      </c>
      <c r="B186" s="1">
        <v>44830</v>
      </c>
      <c r="C186" s="1">
        <v>44949</v>
      </c>
      <c r="D186">
        <v>39</v>
      </c>
      <c r="E186" t="s">
        <v>6</v>
      </c>
      <c r="F186" t="s">
        <v>7</v>
      </c>
      <c r="G186" s="1">
        <f t="shared" si="6"/>
        <v>44949</v>
      </c>
      <c r="H186">
        <f t="shared" si="7"/>
        <v>4</v>
      </c>
      <c r="I186">
        <f t="shared" si="8"/>
        <v>0</v>
      </c>
      <c r="J186">
        <f>IF(Table1[[#This Row],[Active_months]]&gt;=1, 1, 0)</f>
        <v>1</v>
      </c>
    </row>
    <row r="187" spans="1:10" x14ac:dyDescent="0.3">
      <c r="A187">
        <v>148713821</v>
      </c>
      <c r="B187" s="1">
        <v>44830</v>
      </c>
      <c r="C187" s="1">
        <v>44967</v>
      </c>
      <c r="D187">
        <v>39</v>
      </c>
      <c r="E187" t="s">
        <v>6</v>
      </c>
      <c r="F187" t="s">
        <v>7</v>
      </c>
      <c r="G187" s="1">
        <f t="shared" si="6"/>
        <v>44967</v>
      </c>
      <c r="H187">
        <f t="shared" si="7"/>
        <v>5</v>
      </c>
      <c r="I187">
        <f t="shared" si="8"/>
        <v>1</v>
      </c>
      <c r="J187">
        <f>IF(Table1[[#This Row],[Active_months]]&gt;=1, 1, 0)</f>
        <v>1</v>
      </c>
    </row>
    <row r="188" spans="1:10" x14ac:dyDescent="0.3">
      <c r="A188">
        <v>146422602</v>
      </c>
      <c r="B188" s="1">
        <v>44830</v>
      </c>
      <c r="C188" s="1">
        <v>44868</v>
      </c>
      <c r="D188">
        <v>39</v>
      </c>
      <c r="E188" t="s">
        <v>6</v>
      </c>
      <c r="F188" t="s">
        <v>7</v>
      </c>
      <c r="G188" s="1">
        <f t="shared" si="6"/>
        <v>44868</v>
      </c>
      <c r="H188">
        <f t="shared" si="7"/>
        <v>2</v>
      </c>
      <c r="I188">
        <f t="shared" si="8"/>
        <v>0</v>
      </c>
      <c r="J188">
        <f>IF(Table1[[#This Row],[Active_months]]&gt;=1, 1, 0)</f>
        <v>1</v>
      </c>
    </row>
    <row r="189" spans="1:10" x14ac:dyDescent="0.3">
      <c r="A189">
        <v>156460574</v>
      </c>
      <c r="B189" s="1">
        <v>44830</v>
      </c>
      <c r="C189" s="1">
        <v>44882</v>
      </c>
      <c r="D189">
        <v>39</v>
      </c>
      <c r="E189" t="s">
        <v>6</v>
      </c>
      <c r="F189" t="s">
        <v>7</v>
      </c>
      <c r="G189" s="1">
        <f t="shared" si="6"/>
        <v>44882</v>
      </c>
      <c r="H189">
        <f t="shared" si="7"/>
        <v>2</v>
      </c>
      <c r="I189">
        <f t="shared" si="8"/>
        <v>0</v>
      </c>
      <c r="J189">
        <f>IF(Table1[[#This Row],[Active_months]]&gt;=1, 1, 0)</f>
        <v>1</v>
      </c>
    </row>
    <row r="190" spans="1:10" x14ac:dyDescent="0.3">
      <c r="A190">
        <v>156364063</v>
      </c>
      <c r="B190" s="1">
        <v>44830</v>
      </c>
      <c r="C190" s="1">
        <v>44879</v>
      </c>
      <c r="D190">
        <v>39</v>
      </c>
      <c r="E190" t="s">
        <v>6</v>
      </c>
      <c r="F190" t="s">
        <v>7</v>
      </c>
      <c r="G190" s="1">
        <f t="shared" si="6"/>
        <v>44879</v>
      </c>
      <c r="H190">
        <f t="shared" si="7"/>
        <v>2</v>
      </c>
      <c r="I190">
        <f t="shared" si="8"/>
        <v>0</v>
      </c>
      <c r="J190">
        <f>IF(Table1[[#This Row],[Active_months]]&gt;=1, 1, 0)</f>
        <v>1</v>
      </c>
    </row>
    <row r="191" spans="1:10" x14ac:dyDescent="0.3">
      <c r="A191">
        <v>149139298</v>
      </c>
      <c r="B191" s="1">
        <v>44830</v>
      </c>
      <c r="C191" s="1">
        <v>44860</v>
      </c>
      <c r="D191">
        <v>39</v>
      </c>
      <c r="E191" t="s">
        <v>6</v>
      </c>
      <c r="F191" t="s">
        <v>7</v>
      </c>
      <c r="G191" s="1">
        <f t="shared" si="6"/>
        <v>44860</v>
      </c>
      <c r="H191">
        <f t="shared" si="7"/>
        <v>1</v>
      </c>
      <c r="I191">
        <f t="shared" si="8"/>
        <v>0</v>
      </c>
      <c r="J191">
        <f>IF(Table1[[#This Row],[Active_months]]&gt;=1, 1, 0)</f>
        <v>1</v>
      </c>
    </row>
    <row r="192" spans="1:10" x14ac:dyDescent="0.3">
      <c r="A192">
        <v>156371514</v>
      </c>
      <c r="B192" s="1">
        <v>44830</v>
      </c>
      <c r="C192" s="1">
        <v>44858</v>
      </c>
      <c r="D192">
        <v>39</v>
      </c>
      <c r="E192" t="s">
        <v>6</v>
      </c>
      <c r="F192" t="s">
        <v>7</v>
      </c>
      <c r="G192" s="1">
        <f t="shared" si="6"/>
        <v>44858</v>
      </c>
      <c r="H192">
        <f t="shared" si="7"/>
        <v>1</v>
      </c>
      <c r="I192">
        <f t="shared" si="8"/>
        <v>0</v>
      </c>
      <c r="J192">
        <f>IF(Table1[[#This Row],[Active_months]]&gt;=1, 1, 0)</f>
        <v>1</v>
      </c>
    </row>
    <row r="193" spans="1:10" x14ac:dyDescent="0.3">
      <c r="A193">
        <v>156423167</v>
      </c>
      <c r="B193" s="1">
        <v>44831</v>
      </c>
      <c r="C193" s="1">
        <v>44944</v>
      </c>
      <c r="D193">
        <v>39</v>
      </c>
      <c r="E193" t="s">
        <v>6</v>
      </c>
      <c r="F193" t="s">
        <v>7</v>
      </c>
      <c r="G193" s="1">
        <f t="shared" si="6"/>
        <v>44944</v>
      </c>
      <c r="H193">
        <f t="shared" si="7"/>
        <v>4</v>
      </c>
      <c r="I193">
        <f t="shared" si="8"/>
        <v>0</v>
      </c>
      <c r="J193">
        <f>IF(Table1[[#This Row],[Active_months]]&gt;=1, 1, 0)</f>
        <v>1</v>
      </c>
    </row>
    <row r="194" spans="1:10" x14ac:dyDescent="0.3">
      <c r="A194">
        <v>155199164</v>
      </c>
      <c r="B194" s="1">
        <v>44831</v>
      </c>
      <c r="C194" s="1">
        <v>44929</v>
      </c>
      <c r="D194">
        <v>39</v>
      </c>
      <c r="E194" t="s">
        <v>6</v>
      </c>
      <c r="F194" t="s">
        <v>7</v>
      </c>
      <c r="G194" s="1">
        <f t="shared" si="6"/>
        <v>44929</v>
      </c>
      <c r="H194">
        <f t="shared" si="7"/>
        <v>4</v>
      </c>
      <c r="I194">
        <f t="shared" si="8"/>
        <v>0</v>
      </c>
      <c r="J194">
        <f>IF(Table1[[#This Row],[Active_months]]&gt;=1, 1, 0)</f>
        <v>1</v>
      </c>
    </row>
    <row r="195" spans="1:10" x14ac:dyDescent="0.3">
      <c r="A195">
        <v>156373191</v>
      </c>
      <c r="B195" s="1">
        <v>44831</v>
      </c>
      <c r="C195" s="1">
        <v>44923</v>
      </c>
      <c r="D195">
        <v>39</v>
      </c>
      <c r="E195" t="s">
        <v>6</v>
      </c>
      <c r="F195" t="s">
        <v>7</v>
      </c>
      <c r="G195" s="1">
        <f t="shared" ref="G195:G258" si="9">IF(ISBLANK(C195), DATE(2023,9,30), C195)</f>
        <v>44923</v>
      </c>
      <c r="H195">
        <f t="shared" ref="H195:H258" si="10">(YEAR(G195)-YEAR(B195))*12 + (MONTH(G195)-MONTH(B195))</f>
        <v>3</v>
      </c>
      <c r="I195">
        <f t="shared" ref="I195:I258" si="11">IF(H195 &gt;=5, 1, 0)</f>
        <v>0</v>
      </c>
      <c r="J195">
        <f>IF(Table1[[#This Row],[Active_months]]&gt;=1, 1, 0)</f>
        <v>1</v>
      </c>
    </row>
    <row r="196" spans="1:10" x14ac:dyDescent="0.3">
      <c r="A196">
        <v>156517374</v>
      </c>
      <c r="B196" s="1">
        <v>44831</v>
      </c>
      <c r="C196" s="1">
        <v>44831</v>
      </c>
      <c r="D196">
        <v>39</v>
      </c>
      <c r="E196" t="s">
        <v>6</v>
      </c>
      <c r="F196" t="s">
        <v>7</v>
      </c>
      <c r="G196" s="1">
        <f t="shared" si="9"/>
        <v>44831</v>
      </c>
      <c r="H196">
        <f t="shared" si="10"/>
        <v>0</v>
      </c>
      <c r="I196">
        <f t="shared" si="11"/>
        <v>0</v>
      </c>
      <c r="J196">
        <f>IF(Table1[[#This Row],[Active_months]]&gt;=1, 1, 0)</f>
        <v>0</v>
      </c>
    </row>
    <row r="197" spans="1:10" x14ac:dyDescent="0.3">
      <c r="A197">
        <v>156032089</v>
      </c>
      <c r="B197" s="1">
        <v>44832</v>
      </c>
      <c r="D197">
        <v>39</v>
      </c>
      <c r="E197" t="s">
        <v>6</v>
      </c>
      <c r="F197" t="s">
        <v>7</v>
      </c>
      <c r="G197" s="1">
        <f t="shared" si="9"/>
        <v>45199</v>
      </c>
      <c r="H197">
        <f t="shared" si="10"/>
        <v>12</v>
      </c>
      <c r="I197">
        <f t="shared" si="11"/>
        <v>1</v>
      </c>
      <c r="J197">
        <f>IF(Table1[[#This Row],[Active_months]]&gt;=1, 1, 0)</f>
        <v>1</v>
      </c>
    </row>
    <row r="198" spans="1:10" x14ac:dyDescent="0.3">
      <c r="A198">
        <v>154563706</v>
      </c>
      <c r="B198" s="1">
        <v>44832</v>
      </c>
      <c r="C198" s="1">
        <v>45010</v>
      </c>
      <c r="D198">
        <v>39</v>
      </c>
      <c r="E198" t="s">
        <v>6</v>
      </c>
      <c r="F198" t="s">
        <v>7</v>
      </c>
      <c r="G198" s="1">
        <f t="shared" si="9"/>
        <v>45010</v>
      </c>
      <c r="H198">
        <f t="shared" si="10"/>
        <v>6</v>
      </c>
      <c r="I198">
        <f t="shared" si="11"/>
        <v>1</v>
      </c>
      <c r="J198">
        <f>IF(Table1[[#This Row],[Active_months]]&gt;=1, 1, 0)</f>
        <v>1</v>
      </c>
    </row>
    <row r="199" spans="1:10" x14ac:dyDescent="0.3">
      <c r="A199">
        <v>124481723</v>
      </c>
      <c r="B199" s="1">
        <v>44832</v>
      </c>
      <c r="C199" s="1">
        <v>44887</v>
      </c>
      <c r="D199">
        <v>39</v>
      </c>
      <c r="E199" t="s">
        <v>6</v>
      </c>
      <c r="F199" t="s">
        <v>7</v>
      </c>
      <c r="G199" s="1">
        <f t="shared" si="9"/>
        <v>44887</v>
      </c>
      <c r="H199">
        <f t="shared" si="10"/>
        <v>2</v>
      </c>
      <c r="I199">
        <f t="shared" si="11"/>
        <v>0</v>
      </c>
      <c r="J199">
        <f>IF(Table1[[#This Row],[Active_months]]&gt;=1, 1, 0)</f>
        <v>1</v>
      </c>
    </row>
    <row r="200" spans="1:10" x14ac:dyDescent="0.3">
      <c r="A200">
        <v>146861757</v>
      </c>
      <c r="B200" s="1">
        <v>44832</v>
      </c>
      <c r="C200" s="1">
        <v>44917</v>
      </c>
      <c r="D200">
        <v>39</v>
      </c>
      <c r="E200" t="s">
        <v>6</v>
      </c>
      <c r="F200" t="s">
        <v>7</v>
      </c>
      <c r="G200" s="1">
        <f t="shared" si="9"/>
        <v>44917</v>
      </c>
      <c r="H200">
        <f t="shared" si="10"/>
        <v>3</v>
      </c>
      <c r="I200">
        <f t="shared" si="11"/>
        <v>0</v>
      </c>
      <c r="J200">
        <f>IF(Table1[[#This Row],[Active_months]]&gt;=1, 1, 0)</f>
        <v>1</v>
      </c>
    </row>
    <row r="201" spans="1:10" x14ac:dyDescent="0.3">
      <c r="A201">
        <v>152476124</v>
      </c>
      <c r="B201" s="1">
        <v>44832</v>
      </c>
      <c r="C201" s="1">
        <v>44893</v>
      </c>
      <c r="D201">
        <v>39</v>
      </c>
      <c r="E201" t="s">
        <v>6</v>
      </c>
      <c r="F201" t="s">
        <v>7</v>
      </c>
      <c r="G201" s="1">
        <f t="shared" si="9"/>
        <v>44893</v>
      </c>
      <c r="H201">
        <f t="shared" si="10"/>
        <v>2</v>
      </c>
      <c r="I201">
        <f t="shared" si="11"/>
        <v>0</v>
      </c>
      <c r="J201">
        <f>IF(Table1[[#This Row],[Active_months]]&gt;=1, 1, 0)</f>
        <v>1</v>
      </c>
    </row>
    <row r="202" spans="1:10" x14ac:dyDescent="0.3">
      <c r="A202">
        <v>156192628</v>
      </c>
      <c r="B202" s="1">
        <v>44832</v>
      </c>
      <c r="C202" s="1">
        <v>44885</v>
      </c>
      <c r="D202">
        <v>39</v>
      </c>
      <c r="E202" t="s">
        <v>6</v>
      </c>
      <c r="F202" t="s">
        <v>7</v>
      </c>
      <c r="G202" s="1">
        <f t="shared" si="9"/>
        <v>44885</v>
      </c>
      <c r="H202">
        <f t="shared" si="10"/>
        <v>2</v>
      </c>
      <c r="I202">
        <f t="shared" si="11"/>
        <v>0</v>
      </c>
      <c r="J202">
        <f>IF(Table1[[#This Row],[Active_months]]&gt;=1, 1, 0)</f>
        <v>1</v>
      </c>
    </row>
    <row r="203" spans="1:10" x14ac:dyDescent="0.3">
      <c r="A203">
        <v>152109538</v>
      </c>
      <c r="B203" s="1">
        <v>44832</v>
      </c>
      <c r="C203" s="1">
        <v>44853</v>
      </c>
      <c r="D203">
        <v>39</v>
      </c>
      <c r="E203" t="s">
        <v>6</v>
      </c>
      <c r="F203" t="s">
        <v>7</v>
      </c>
      <c r="G203" s="1">
        <f t="shared" si="9"/>
        <v>44853</v>
      </c>
      <c r="H203">
        <f t="shared" si="10"/>
        <v>1</v>
      </c>
      <c r="I203">
        <f t="shared" si="11"/>
        <v>0</v>
      </c>
      <c r="J203">
        <f>IF(Table1[[#This Row],[Active_months]]&gt;=1, 1, 0)</f>
        <v>1</v>
      </c>
    </row>
    <row r="204" spans="1:10" x14ac:dyDescent="0.3">
      <c r="A204">
        <v>156659071</v>
      </c>
      <c r="B204" s="1">
        <v>44832</v>
      </c>
      <c r="C204" s="1">
        <v>44833</v>
      </c>
      <c r="D204">
        <v>39</v>
      </c>
      <c r="E204" t="s">
        <v>6</v>
      </c>
      <c r="F204" t="s">
        <v>7</v>
      </c>
      <c r="G204" s="1">
        <f t="shared" si="9"/>
        <v>44833</v>
      </c>
      <c r="H204">
        <f t="shared" si="10"/>
        <v>0</v>
      </c>
      <c r="I204">
        <f t="shared" si="11"/>
        <v>0</v>
      </c>
      <c r="J204">
        <f>IF(Table1[[#This Row],[Active_months]]&gt;=1, 1, 0)</f>
        <v>0</v>
      </c>
    </row>
    <row r="205" spans="1:10" x14ac:dyDescent="0.3">
      <c r="A205">
        <v>156717075</v>
      </c>
      <c r="B205" s="1">
        <v>44833</v>
      </c>
      <c r="C205" s="1">
        <v>45030</v>
      </c>
      <c r="D205">
        <v>39</v>
      </c>
      <c r="E205" t="s">
        <v>6</v>
      </c>
      <c r="F205" t="s">
        <v>7</v>
      </c>
      <c r="G205" s="1">
        <f t="shared" si="9"/>
        <v>45030</v>
      </c>
      <c r="H205">
        <f t="shared" si="10"/>
        <v>7</v>
      </c>
      <c r="I205">
        <f t="shared" si="11"/>
        <v>1</v>
      </c>
      <c r="J205">
        <f>IF(Table1[[#This Row],[Active_months]]&gt;=1, 1, 0)</f>
        <v>1</v>
      </c>
    </row>
    <row r="206" spans="1:10" x14ac:dyDescent="0.3">
      <c r="A206">
        <v>156715443</v>
      </c>
      <c r="B206" s="1">
        <v>44833</v>
      </c>
      <c r="C206" s="1">
        <v>44924</v>
      </c>
      <c r="D206">
        <v>39</v>
      </c>
      <c r="E206" t="s">
        <v>6</v>
      </c>
      <c r="F206" t="s">
        <v>7</v>
      </c>
      <c r="G206" s="1">
        <f t="shared" si="9"/>
        <v>44924</v>
      </c>
      <c r="H206">
        <f t="shared" si="10"/>
        <v>3</v>
      </c>
      <c r="I206">
        <f t="shared" si="11"/>
        <v>0</v>
      </c>
      <c r="J206">
        <f>IF(Table1[[#This Row],[Active_months]]&gt;=1, 1, 0)</f>
        <v>1</v>
      </c>
    </row>
    <row r="207" spans="1:10" x14ac:dyDescent="0.3">
      <c r="A207">
        <v>147656952</v>
      </c>
      <c r="B207" s="1">
        <v>44833</v>
      </c>
      <c r="C207" s="1">
        <v>44923</v>
      </c>
      <c r="D207">
        <v>39</v>
      </c>
      <c r="E207" t="s">
        <v>6</v>
      </c>
      <c r="F207" t="s">
        <v>7</v>
      </c>
      <c r="G207" s="1">
        <f t="shared" si="9"/>
        <v>44923</v>
      </c>
      <c r="H207">
        <f t="shared" si="10"/>
        <v>3</v>
      </c>
      <c r="I207">
        <f t="shared" si="11"/>
        <v>0</v>
      </c>
      <c r="J207">
        <f>IF(Table1[[#This Row],[Active_months]]&gt;=1, 1, 0)</f>
        <v>1</v>
      </c>
    </row>
    <row r="208" spans="1:10" x14ac:dyDescent="0.3">
      <c r="A208">
        <v>152918862</v>
      </c>
      <c r="B208" s="1">
        <v>44833</v>
      </c>
      <c r="C208" s="1">
        <v>44885</v>
      </c>
      <c r="D208">
        <v>39</v>
      </c>
      <c r="E208" t="s">
        <v>6</v>
      </c>
      <c r="F208" t="s">
        <v>7</v>
      </c>
      <c r="G208" s="1">
        <f t="shared" si="9"/>
        <v>44885</v>
      </c>
      <c r="H208">
        <f t="shared" si="10"/>
        <v>2</v>
      </c>
      <c r="I208">
        <f t="shared" si="11"/>
        <v>0</v>
      </c>
      <c r="J208">
        <f>IF(Table1[[#This Row],[Active_months]]&gt;=1, 1, 0)</f>
        <v>1</v>
      </c>
    </row>
    <row r="209" spans="1:10" x14ac:dyDescent="0.3">
      <c r="A209">
        <v>146866890</v>
      </c>
      <c r="B209" s="1">
        <v>44833</v>
      </c>
      <c r="C209" s="1">
        <v>44858</v>
      </c>
      <c r="D209">
        <v>39</v>
      </c>
      <c r="E209" t="s">
        <v>6</v>
      </c>
      <c r="F209" t="s">
        <v>7</v>
      </c>
      <c r="G209" s="1">
        <f t="shared" si="9"/>
        <v>44858</v>
      </c>
      <c r="H209">
        <f t="shared" si="10"/>
        <v>1</v>
      </c>
      <c r="I209">
        <f t="shared" si="11"/>
        <v>0</v>
      </c>
      <c r="J209">
        <f>IF(Table1[[#This Row],[Active_months]]&gt;=1, 1, 0)</f>
        <v>1</v>
      </c>
    </row>
    <row r="210" spans="1:10" x14ac:dyDescent="0.3">
      <c r="A210">
        <v>151735444</v>
      </c>
      <c r="B210" s="1">
        <v>44834</v>
      </c>
      <c r="D210">
        <v>39</v>
      </c>
      <c r="E210" t="s">
        <v>6</v>
      </c>
      <c r="F210" t="s">
        <v>7</v>
      </c>
      <c r="G210" s="1">
        <f t="shared" si="9"/>
        <v>45199</v>
      </c>
      <c r="H210">
        <f t="shared" si="10"/>
        <v>12</v>
      </c>
      <c r="I210">
        <f t="shared" si="11"/>
        <v>1</v>
      </c>
      <c r="J210">
        <f>IF(Table1[[#This Row],[Active_months]]&gt;=1, 1, 0)</f>
        <v>1</v>
      </c>
    </row>
    <row r="211" spans="1:10" x14ac:dyDescent="0.3">
      <c r="A211">
        <v>155608371</v>
      </c>
      <c r="B211" s="1">
        <v>44834</v>
      </c>
      <c r="C211" s="1">
        <v>44835</v>
      </c>
      <c r="D211">
        <v>39</v>
      </c>
      <c r="E211" t="s">
        <v>6</v>
      </c>
      <c r="F211" t="s">
        <v>8</v>
      </c>
      <c r="G211" s="1">
        <f t="shared" si="9"/>
        <v>44835</v>
      </c>
      <c r="H211">
        <f t="shared" si="10"/>
        <v>1</v>
      </c>
      <c r="I211">
        <f t="shared" si="11"/>
        <v>0</v>
      </c>
      <c r="J211">
        <f>IF(Table1[[#This Row],[Active_months]]&gt;=1, 1, 0)</f>
        <v>1</v>
      </c>
    </row>
    <row r="212" spans="1:10" x14ac:dyDescent="0.3">
      <c r="A212">
        <v>156809544</v>
      </c>
      <c r="B212" s="1">
        <v>44834</v>
      </c>
      <c r="C212" s="1">
        <v>45013</v>
      </c>
      <c r="D212">
        <v>39</v>
      </c>
      <c r="E212" t="s">
        <v>6</v>
      </c>
      <c r="F212" t="s">
        <v>7</v>
      </c>
      <c r="G212" s="1">
        <f t="shared" si="9"/>
        <v>45013</v>
      </c>
      <c r="H212">
        <f t="shared" si="10"/>
        <v>6</v>
      </c>
      <c r="I212">
        <f t="shared" si="11"/>
        <v>1</v>
      </c>
      <c r="J212">
        <f>IF(Table1[[#This Row],[Active_months]]&gt;=1, 1, 0)</f>
        <v>1</v>
      </c>
    </row>
    <row r="213" spans="1:10" x14ac:dyDescent="0.3">
      <c r="A213">
        <v>156813288</v>
      </c>
      <c r="B213" s="1">
        <v>44834</v>
      </c>
      <c r="C213" s="1">
        <v>45066</v>
      </c>
      <c r="D213">
        <v>39</v>
      </c>
      <c r="E213" t="s">
        <v>6</v>
      </c>
      <c r="F213" t="s">
        <v>7</v>
      </c>
      <c r="G213" s="1">
        <f t="shared" si="9"/>
        <v>45066</v>
      </c>
      <c r="H213">
        <f t="shared" si="10"/>
        <v>8</v>
      </c>
      <c r="I213">
        <f t="shared" si="11"/>
        <v>1</v>
      </c>
      <c r="J213">
        <f>IF(Table1[[#This Row],[Active_months]]&gt;=1, 1, 0)</f>
        <v>1</v>
      </c>
    </row>
    <row r="214" spans="1:10" x14ac:dyDescent="0.3">
      <c r="A214">
        <v>156817946</v>
      </c>
      <c r="B214" s="1">
        <v>44834</v>
      </c>
      <c r="C214" s="1">
        <v>45080</v>
      </c>
      <c r="D214">
        <v>39</v>
      </c>
      <c r="E214" t="s">
        <v>6</v>
      </c>
      <c r="F214" t="s">
        <v>7</v>
      </c>
      <c r="G214" s="1">
        <f t="shared" si="9"/>
        <v>45080</v>
      </c>
      <c r="H214">
        <f t="shared" si="10"/>
        <v>9</v>
      </c>
      <c r="I214">
        <f t="shared" si="11"/>
        <v>1</v>
      </c>
      <c r="J214">
        <f>IF(Table1[[#This Row],[Active_months]]&gt;=1, 1, 0)</f>
        <v>1</v>
      </c>
    </row>
    <row r="215" spans="1:10" x14ac:dyDescent="0.3">
      <c r="A215">
        <v>156194905</v>
      </c>
      <c r="B215" s="1">
        <v>44834</v>
      </c>
      <c r="C215" s="1">
        <v>45022</v>
      </c>
      <c r="D215">
        <v>39</v>
      </c>
      <c r="E215" t="s">
        <v>6</v>
      </c>
      <c r="F215" t="s">
        <v>7</v>
      </c>
      <c r="G215" s="1">
        <f t="shared" si="9"/>
        <v>45022</v>
      </c>
      <c r="H215">
        <f t="shared" si="10"/>
        <v>7</v>
      </c>
      <c r="I215">
        <f t="shared" si="11"/>
        <v>1</v>
      </c>
      <c r="J215">
        <f>IF(Table1[[#This Row],[Active_months]]&gt;=1, 1, 0)</f>
        <v>1</v>
      </c>
    </row>
    <row r="216" spans="1:10" x14ac:dyDescent="0.3">
      <c r="A216">
        <v>148568942</v>
      </c>
      <c r="B216" s="1">
        <v>44834</v>
      </c>
      <c r="C216" s="1">
        <v>44932</v>
      </c>
      <c r="D216">
        <v>39</v>
      </c>
      <c r="E216" t="s">
        <v>6</v>
      </c>
      <c r="F216" t="s">
        <v>7</v>
      </c>
      <c r="G216" s="1">
        <f t="shared" si="9"/>
        <v>44932</v>
      </c>
      <c r="H216">
        <f t="shared" si="10"/>
        <v>4</v>
      </c>
      <c r="I216">
        <f t="shared" si="11"/>
        <v>0</v>
      </c>
      <c r="J216">
        <f>IF(Table1[[#This Row],[Active_months]]&gt;=1, 1, 0)</f>
        <v>1</v>
      </c>
    </row>
    <row r="217" spans="1:10" x14ac:dyDescent="0.3">
      <c r="A217">
        <v>151154171</v>
      </c>
      <c r="B217" s="1">
        <v>44834</v>
      </c>
      <c r="C217" s="1">
        <v>44894</v>
      </c>
      <c r="D217">
        <v>39</v>
      </c>
      <c r="E217" t="s">
        <v>6</v>
      </c>
      <c r="F217" t="s">
        <v>7</v>
      </c>
      <c r="G217" s="1">
        <f t="shared" si="9"/>
        <v>44894</v>
      </c>
      <c r="H217">
        <f t="shared" si="10"/>
        <v>2</v>
      </c>
      <c r="I217">
        <f t="shared" si="11"/>
        <v>0</v>
      </c>
      <c r="J217">
        <f>IF(Table1[[#This Row],[Active_months]]&gt;=1, 1, 0)</f>
        <v>1</v>
      </c>
    </row>
    <row r="218" spans="1:10" x14ac:dyDescent="0.3">
      <c r="A218">
        <v>122921842</v>
      </c>
      <c r="B218" s="1">
        <v>44834</v>
      </c>
      <c r="C218" s="1">
        <v>44871</v>
      </c>
      <c r="D218">
        <v>39</v>
      </c>
      <c r="E218" t="s">
        <v>6</v>
      </c>
      <c r="F218" t="s">
        <v>7</v>
      </c>
      <c r="G218" s="1">
        <f t="shared" si="9"/>
        <v>44871</v>
      </c>
      <c r="H218">
        <f t="shared" si="10"/>
        <v>2</v>
      </c>
      <c r="I218">
        <f t="shared" si="11"/>
        <v>0</v>
      </c>
      <c r="J218">
        <f>IF(Table1[[#This Row],[Active_months]]&gt;=1, 1, 0)</f>
        <v>1</v>
      </c>
    </row>
    <row r="219" spans="1:10" x14ac:dyDescent="0.3">
      <c r="A219">
        <v>156754286</v>
      </c>
      <c r="B219" s="1">
        <v>44835</v>
      </c>
      <c r="D219">
        <v>39</v>
      </c>
      <c r="E219" t="s">
        <v>6</v>
      </c>
      <c r="F219" t="s">
        <v>7</v>
      </c>
      <c r="G219" s="1">
        <f t="shared" si="9"/>
        <v>45199</v>
      </c>
      <c r="H219">
        <f t="shared" si="10"/>
        <v>11</v>
      </c>
      <c r="I219">
        <f t="shared" si="11"/>
        <v>1</v>
      </c>
      <c r="J219">
        <f>IF(Table1[[#This Row],[Active_months]]&gt;=1, 1, 0)</f>
        <v>1</v>
      </c>
    </row>
    <row r="220" spans="1:10" x14ac:dyDescent="0.3">
      <c r="A220">
        <v>144160302</v>
      </c>
      <c r="B220" s="1">
        <v>44835</v>
      </c>
      <c r="C220" s="1">
        <v>44836</v>
      </c>
      <c r="D220">
        <v>39</v>
      </c>
      <c r="E220" t="s">
        <v>6</v>
      </c>
      <c r="F220" t="s">
        <v>7</v>
      </c>
      <c r="G220" s="1">
        <f t="shared" si="9"/>
        <v>44836</v>
      </c>
      <c r="H220">
        <f t="shared" si="10"/>
        <v>0</v>
      </c>
      <c r="I220">
        <f t="shared" si="11"/>
        <v>0</v>
      </c>
      <c r="J220">
        <f>IF(Table1[[#This Row],[Active_months]]&gt;=1, 1, 0)</f>
        <v>0</v>
      </c>
    </row>
    <row r="221" spans="1:10" x14ac:dyDescent="0.3">
      <c r="A221">
        <v>155045053</v>
      </c>
      <c r="B221" s="1">
        <v>44835</v>
      </c>
      <c r="C221" s="1">
        <v>44927</v>
      </c>
      <c r="D221">
        <v>39</v>
      </c>
      <c r="E221" t="s">
        <v>6</v>
      </c>
      <c r="F221" t="s">
        <v>7</v>
      </c>
      <c r="G221" s="1">
        <f t="shared" si="9"/>
        <v>44927</v>
      </c>
      <c r="H221">
        <f t="shared" si="10"/>
        <v>3</v>
      </c>
      <c r="I221">
        <f t="shared" si="11"/>
        <v>0</v>
      </c>
      <c r="J221">
        <f>IF(Table1[[#This Row],[Active_months]]&gt;=1, 1, 0)</f>
        <v>1</v>
      </c>
    </row>
    <row r="222" spans="1:10" x14ac:dyDescent="0.3">
      <c r="A222">
        <v>133869989</v>
      </c>
      <c r="B222" s="1">
        <v>44835</v>
      </c>
      <c r="C222" s="1">
        <v>44867</v>
      </c>
      <c r="D222">
        <v>39</v>
      </c>
      <c r="E222" t="s">
        <v>6</v>
      </c>
      <c r="F222" t="s">
        <v>7</v>
      </c>
      <c r="G222" s="1">
        <f t="shared" si="9"/>
        <v>44867</v>
      </c>
      <c r="H222">
        <f t="shared" si="10"/>
        <v>1</v>
      </c>
      <c r="I222">
        <f t="shared" si="11"/>
        <v>0</v>
      </c>
      <c r="J222">
        <f>IF(Table1[[#This Row],[Active_months]]&gt;=1, 1, 0)</f>
        <v>1</v>
      </c>
    </row>
    <row r="223" spans="1:10" x14ac:dyDescent="0.3">
      <c r="A223">
        <v>156863940</v>
      </c>
      <c r="B223" s="1">
        <v>44835</v>
      </c>
      <c r="C223" s="1">
        <v>44867</v>
      </c>
      <c r="D223">
        <v>39</v>
      </c>
      <c r="E223" t="s">
        <v>6</v>
      </c>
      <c r="F223" t="s">
        <v>7</v>
      </c>
      <c r="G223" s="1">
        <f t="shared" si="9"/>
        <v>44867</v>
      </c>
      <c r="H223">
        <f t="shared" si="10"/>
        <v>1</v>
      </c>
      <c r="I223">
        <f t="shared" si="11"/>
        <v>0</v>
      </c>
      <c r="J223">
        <f>IF(Table1[[#This Row],[Active_months]]&gt;=1, 1, 0)</f>
        <v>1</v>
      </c>
    </row>
    <row r="224" spans="1:10" x14ac:dyDescent="0.3">
      <c r="A224">
        <v>156884323</v>
      </c>
      <c r="B224" s="1">
        <v>44835</v>
      </c>
      <c r="C224" s="1">
        <v>44859</v>
      </c>
      <c r="D224">
        <v>39</v>
      </c>
      <c r="E224" t="s">
        <v>6</v>
      </c>
      <c r="F224" t="s">
        <v>7</v>
      </c>
      <c r="G224" s="1">
        <f t="shared" si="9"/>
        <v>44859</v>
      </c>
      <c r="H224">
        <f t="shared" si="10"/>
        <v>0</v>
      </c>
      <c r="I224">
        <f t="shared" si="11"/>
        <v>0</v>
      </c>
      <c r="J224">
        <f>IF(Table1[[#This Row],[Active_months]]&gt;=1, 1, 0)</f>
        <v>0</v>
      </c>
    </row>
    <row r="225" spans="1:10" x14ac:dyDescent="0.3">
      <c r="A225">
        <v>156365410</v>
      </c>
      <c r="B225" s="1">
        <v>44835</v>
      </c>
      <c r="C225" s="1">
        <v>44863</v>
      </c>
      <c r="D225">
        <v>39</v>
      </c>
      <c r="E225" t="s">
        <v>6</v>
      </c>
      <c r="F225" t="s">
        <v>7</v>
      </c>
      <c r="G225" s="1">
        <f t="shared" si="9"/>
        <v>44863</v>
      </c>
      <c r="H225">
        <f t="shared" si="10"/>
        <v>0</v>
      </c>
      <c r="I225">
        <f t="shared" si="11"/>
        <v>0</v>
      </c>
      <c r="J225">
        <f>IF(Table1[[#This Row],[Active_months]]&gt;=1, 1, 0)</f>
        <v>0</v>
      </c>
    </row>
    <row r="226" spans="1:10" x14ac:dyDescent="0.3">
      <c r="A226">
        <v>153957162</v>
      </c>
      <c r="B226" s="1">
        <v>44836</v>
      </c>
      <c r="D226">
        <v>39</v>
      </c>
      <c r="E226" t="s">
        <v>6</v>
      </c>
      <c r="F226" t="s">
        <v>7</v>
      </c>
      <c r="G226" s="1">
        <f t="shared" si="9"/>
        <v>45199</v>
      </c>
      <c r="H226">
        <f t="shared" si="10"/>
        <v>11</v>
      </c>
      <c r="I226">
        <f t="shared" si="11"/>
        <v>1</v>
      </c>
      <c r="J226">
        <f>IF(Table1[[#This Row],[Active_months]]&gt;=1, 1, 0)</f>
        <v>1</v>
      </c>
    </row>
    <row r="227" spans="1:10" x14ac:dyDescent="0.3">
      <c r="A227">
        <v>152436949</v>
      </c>
      <c r="B227" s="1">
        <v>44836</v>
      </c>
      <c r="C227" s="1">
        <v>44837</v>
      </c>
      <c r="D227">
        <v>39</v>
      </c>
      <c r="E227" t="s">
        <v>6</v>
      </c>
      <c r="F227" t="s">
        <v>8</v>
      </c>
      <c r="G227" s="1">
        <f t="shared" si="9"/>
        <v>44837</v>
      </c>
      <c r="H227">
        <f t="shared" si="10"/>
        <v>0</v>
      </c>
      <c r="I227">
        <f t="shared" si="11"/>
        <v>0</v>
      </c>
      <c r="J227">
        <f>IF(Table1[[#This Row],[Active_months]]&gt;=1, 1, 0)</f>
        <v>0</v>
      </c>
    </row>
    <row r="228" spans="1:10" x14ac:dyDescent="0.3">
      <c r="A228">
        <v>156403612</v>
      </c>
      <c r="B228" s="1">
        <v>44836</v>
      </c>
      <c r="C228" s="1">
        <v>44952</v>
      </c>
      <c r="D228">
        <v>39</v>
      </c>
      <c r="E228" t="s">
        <v>6</v>
      </c>
      <c r="F228" t="s">
        <v>7</v>
      </c>
      <c r="G228" s="1">
        <f t="shared" si="9"/>
        <v>44952</v>
      </c>
      <c r="H228">
        <f t="shared" si="10"/>
        <v>3</v>
      </c>
      <c r="I228">
        <f t="shared" si="11"/>
        <v>0</v>
      </c>
      <c r="J228">
        <f>IF(Table1[[#This Row],[Active_months]]&gt;=1, 1, 0)</f>
        <v>1</v>
      </c>
    </row>
    <row r="229" spans="1:10" x14ac:dyDescent="0.3">
      <c r="A229">
        <v>154198756</v>
      </c>
      <c r="B229" s="1">
        <v>44836</v>
      </c>
      <c r="C229" s="1">
        <v>44879</v>
      </c>
      <c r="D229">
        <v>39</v>
      </c>
      <c r="E229" t="s">
        <v>6</v>
      </c>
      <c r="F229" t="s">
        <v>7</v>
      </c>
      <c r="G229" s="1">
        <f t="shared" si="9"/>
        <v>44879</v>
      </c>
      <c r="H229">
        <f t="shared" si="10"/>
        <v>1</v>
      </c>
      <c r="I229">
        <f t="shared" si="11"/>
        <v>0</v>
      </c>
      <c r="J229">
        <f>IF(Table1[[#This Row],[Active_months]]&gt;=1, 1, 0)</f>
        <v>1</v>
      </c>
    </row>
    <row r="230" spans="1:10" x14ac:dyDescent="0.3">
      <c r="A230">
        <v>156917754</v>
      </c>
      <c r="B230" s="1">
        <v>44836</v>
      </c>
      <c r="C230" s="1">
        <v>44862</v>
      </c>
      <c r="D230">
        <v>39</v>
      </c>
      <c r="E230" t="s">
        <v>6</v>
      </c>
      <c r="F230" t="s">
        <v>7</v>
      </c>
      <c r="G230" s="1">
        <f t="shared" si="9"/>
        <v>44862</v>
      </c>
      <c r="H230">
        <f t="shared" si="10"/>
        <v>0</v>
      </c>
      <c r="I230">
        <f t="shared" si="11"/>
        <v>0</v>
      </c>
      <c r="J230">
        <f>IF(Table1[[#This Row],[Active_months]]&gt;=1, 1, 0)</f>
        <v>0</v>
      </c>
    </row>
    <row r="231" spans="1:10" x14ac:dyDescent="0.3">
      <c r="A231">
        <v>134975906</v>
      </c>
      <c r="B231" s="1">
        <v>44837</v>
      </c>
      <c r="C231" s="1">
        <v>44861</v>
      </c>
      <c r="D231">
        <v>39</v>
      </c>
      <c r="E231" t="s">
        <v>6</v>
      </c>
      <c r="F231" t="s">
        <v>7</v>
      </c>
      <c r="G231" s="1">
        <f t="shared" si="9"/>
        <v>44861</v>
      </c>
      <c r="H231">
        <f t="shared" si="10"/>
        <v>0</v>
      </c>
      <c r="I231">
        <f t="shared" si="11"/>
        <v>0</v>
      </c>
      <c r="J231">
        <f>IF(Table1[[#This Row],[Active_months]]&gt;=1, 1, 0)</f>
        <v>0</v>
      </c>
    </row>
    <row r="232" spans="1:10" x14ac:dyDescent="0.3">
      <c r="A232">
        <v>156955735</v>
      </c>
      <c r="B232" s="1">
        <v>44837</v>
      </c>
      <c r="C232" s="1">
        <v>45109</v>
      </c>
      <c r="D232">
        <v>39</v>
      </c>
      <c r="E232" t="s">
        <v>6</v>
      </c>
      <c r="F232" t="s">
        <v>7</v>
      </c>
      <c r="G232" s="1">
        <f t="shared" si="9"/>
        <v>45109</v>
      </c>
      <c r="H232">
        <f t="shared" si="10"/>
        <v>9</v>
      </c>
      <c r="I232">
        <f t="shared" si="11"/>
        <v>1</v>
      </c>
      <c r="J232">
        <f>IF(Table1[[#This Row],[Active_months]]&gt;=1, 1, 0)</f>
        <v>1</v>
      </c>
    </row>
    <row r="233" spans="1:10" x14ac:dyDescent="0.3">
      <c r="A233">
        <v>156982750</v>
      </c>
      <c r="B233" s="1">
        <v>44837</v>
      </c>
      <c r="C233" s="1">
        <v>44963</v>
      </c>
      <c r="D233">
        <v>39</v>
      </c>
      <c r="E233" t="s">
        <v>6</v>
      </c>
      <c r="F233" t="s">
        <v>7</v>
      </c>
      <c r="G233" s="1">
        <f t="shared" si="9"/>
        <v>44963</v>
      </c>
      <c r="H233">
        <f t="shared" si="10"/>
        <v>4</v>
      </c>
      <c r="I233">
        <f t="shared" si="11"/>
        <v>0</v>
      </c>
      <c r="J233">
        <f>IF(Table1[[#This Row],[Active_months]]&gt;=1, 1, 0)</f>
        <v>1</v>
      </c>
    </row>
    <row r="234" spans="1:10" x14ac:dyDescent="0.3">
      <c r="A234">
        <v>156953312</v>
      </c>
      <c r="B234" s="1">
        <v>44837</v>
      </c>
      <c r="C234" s="1">
        <v>45002</v>
      </c>
      <c r="D234">
        <v>39</v>
      </c>
      <c r="E234" t="s">
        <v>6</v>
      </c>
      <c r="F234" t="s">
        <v>7</v>
      </c>
      <c r="G234" s="1">
        <f t="shared" si="9"/>
        <v>45002</v>
      </c>
      <c r="H234">
        <f t="shared" si="10"/>
        <v>5</v>
      </c>
      <c r="I234">
        <f t="shared" si="11"/>
        <v>1</v>
      </c>
      <c r="J234">
        <f>IF(Table1[[#This Row],[Active_months]]&gt;=1, 1, 0)</f>
        <v>1</v>
      </c>
    </row>
    <row r="235" spans="1:10" x14ac:dyDescent="0.3">
      <c r="A235">
        <v>124642102</v>
      </c>
      <c r="B235" s="1">
        <v>44837</v>
      </c>
      <c r="C235" s="1">
        <v>44929</v>
      </c>
      <c r="D235">
        <v>39</v>
      </c>
      <c r="E235" t="s">
        <v>6</v>
      </c>
      <c r="F235" t="s">
        <v>7</v>
      </c>
      <c r="G235" s="1">
        <f t="shared" si="9"/>
        <v>44929</v>
      </c>
      <c r="H235">
        <f t="shared" si="10"/>
        <v>3</v>
      </c>
      <c r="I235">
        <f t="shared" si="11"/>
        <v>0</v>
      </c>
      <c r="J235">
        <f>IF(Table1[[#This Row],[Active_months]]&gt;=1, 1, 0)</f>
        <v>1</v>
      </c>
    </row>
    <row r="236" spans="1:10" x14ac:dyDescent="0.3">
      <c r="A236">
        <v>156940530</v>
      </c>
      <c r="B236" s="1">
        <v>44837</v>
      </c>
      <c r="C236" s="1">
        <v>44936</v>
      </c>
      <c r="D236">
        <v>39</v>
      </c>
      <c r="E236" t="s">
        <v>6</v>
      </c>
      <c r="F236" t="s">
        <v>7</v>
      </c>
      <c r="G236" s="1">
        <f t="shared" si="9"/>
        <v>44936</v>
      </c>
      <c r="H236">
        <f t="shared" si="10"/>
        <v>3</v>
      </c>
      <c r="I236">
        <f t="shared" si="11"/>
        <v>0</v>
      </c>
      <c r="J236">
        <f>IF(Table1[[#This Row],[Active_months]]&gt;=1, 1, 0)</f>
        <v>1</v>
      </c>
    </row>
    <row r="237" spans="1:10" x14ac:dyDescent="0.3">
      <c r="A237">
        <v>155602780</v>
      </c>
      <c r="B237" s="1">
        <v>44837</v>
      </c>
      <c r="C237" s="1">
        <v>44946</v>
      </c>
      <c r="D237">
        <v>39</v>
      </c>
      <c r="E237" t="s">
        <v>6</v>
      </c>
      <c r="F237" t="s">
        <v>7</v>
      </c>
      <c r="G237" s="1">
        <f t="shared" si="9"/>
        <v>44946</v>
      </c>
      <c r="H237">
        <f t="shared" si="10"/>
        <v>3</v>
      </c>
      <c r="I237">
        <f t="shared" si="11"/>
        <v>0</v>
      </c>
      <c r="J237">
        <f>IF(Table1[[#This Row],[Active_months]]&gt;=1, 1, 0)</f>
        <v>1</v>
      </c>
    </row>
    <row r="238" spans="1:10" x14ac:dyDescent="0.3">
      <c r="A238">
        <v>149635726</v>
      </c>
      <c r="B238" s="1">
        <v>44837</v>
      </c>
      <c r="C238" s="1">
        <v>44873</v>
      </c>
      <c r="D238">
        <v>39</v>
      </c>
      <c r="E238" t="s">
        <v>6</v>
      </c>
      <c r="F238" t="s">
        <v>7</v>
      </c>
      <c r="G238" s="1">
        <f t="shared" si="9"/>
        <v>44873</v>
      </c>
      <c r="H238">
        <f t="shared" si="10"/>
        <v>1</v>
      </c>
      <c r="I238">
        <f t="shared" si="11"/>
        <v>0</v>
      </c>
      <c r="J238">
        <f>IF(Table1[[#This Row],[Active_months]]&gt;=1, 1, 0)</f>
        <v>1</v>
      </c>
    </row>
    <row r="239" spans="1:10" x14ac:dyDescent="0.3">
      <c r="A239">
        <v>152660102</v>
      </c>
      <c r="B239" s="1">
        <v>44837</v>
      </c>
      <c r="C239" s="1">
        <v>44893</v>
      </c>
      <c r="D239">
        <v>39</v>
      </c>
      <c r="E239" t="s">
        <v>6</v>
      </c>
      <c r="F239" t="s">
        <v>7</v>
      </c>
      <c r="G239" s="1">
        <f t="shared" si="9"/>
        <v>44893</v>
      </c>
      <c r="H239">
        <f t="shared" si="10"/>
        <v>1</v>
      </c>
      <c r="I239">
        <f t="shared" si="11"/>
        <v>0</v>
      </c>
      <c r="J239">
        <f>IF(Table1[[#This Row],[Active_months]]&gt;=1, 1, 0)</f>
        <v>1</v>
      </c>
    </row>
    <row r="240" spans="1:10" x14ac:dyDescent="0.3">
      <c r="A240">
        <v>153620734</v>
      </c>
      <c r="B240" s="1">
        <v>44837</v>
      </c>
      <c r="C240" s="1">
        <v>44894</v>
      </c>
      <c r="D240">
        <v>39</v>
      </c>
      <c r="E240" t="s">
        <v>6</v>
      </c>
      <c r="F240" t="s">
        <v>7</v>
      </c>
      <c r="G240" s="1">
        <f t="shared" si="9"/>
        <v>44894</v>
      </c>
      <c r="H240">
        <f t="shared" si="10"/>
        <v>1</v>
      </c>
      <c r="I240">
        <f t="shared" si="11"/>
        <v>0</v>
      </c>
      <c r="J240">
        <f>IF(Table1[[#This Row],[Active_months]]&gt;=1, 1, 0)</f>
        <v>1</v>
      </c>
    </row>
    <row r="241" spans="1:10" x14ac:dyDescent="0.3">
      <c r="A241">
        <v>156940254</v>
      </c>
      <c r="B241" s="1">
        <v>44837</v>
      </c>
      <c r="C241" s="1">
        <v>44837</v>
      </c>
      <c r="D241">
        <v>39</v>
      </c>
      <c r="E241" t="s">
        <v>6</v>
      </c>
      <c r="F241" t="s">
        <v>7</v>
      </c>
      <c r="G241" s="1">
        <f t="shared" si="9"/>
        <v>44837</v>
      </c>
      <c r="H241">
        <f t="shared" si="10"/>
        <v>0</v>
      </c>
      <c r="I241">
        <f t="shared" si="11"/>
        <v>0</v>
      </c>
      <c r="J241">
        <f>IF(Table1[[#This Row],[Active_months]]&gt;=1, 1, 0)</f>
        <v>0</v>
      </c>
    </row>
    <row r="242" spans="1:10" x14ac:dyDescent="0.3">
      <c r="A242">
        <v>156940060</v>
      </c>
      <c r="B242" s="1">
        <v>44837</v>
      </c>
      <c r="C242" s="1">
        <v>44844</v>
      </c>
      <c r="D242">
        <v>39</v>
      </c>
      <c r="E242" t="s">
        <v>6</v>
      </c>
      <c r="F242" t="s">
        <v>7</v>
      </c>
      <c r="G242" s="1">
        <f t="shared" si="9"/>
        <v>44844</v>
      </c>
      <c r="H242">
        <f t="shared" si="10"/>
        <v>0</v>
      </c>
      <c r="I242">
        <f t="shared" si="11"/>
        <v>0</v>
      </c>
      <c r="J242">
        <f>IF(Table1[[#This Row],[Active_months]]&gt;=1, 1, 0)</f>
        <v>0</v>
      </c>
    </row>
    <row r="243" spans="1:10" x14ac:dyDescent="0.3">
      <c r="A243">
        <v>156938938</v>
      </c>
      <c r="B243" s="1">
        <v>44837</v>
      </c>
      <c r="C243" s="1">
        <v>44837</v>
      </c>
      <c r="D243">
        <v>39</v>
      </c>
      <c r="E243" t="s">
        <v>6</v>
      </c>
      <c r="F243" t="s">
        <v>7</v>
      </c>
      <c r="G243" s="1">
        <f t="shared" si="9"/>
        <v>44837</v>
      </c>
      <c r="H243">
        <f t="shared" si="10"/>
        <v>0</v>
      </c>
      <c r="I243">
        <f t="shared" si="11"/>
        <v>0</v>
      </c>
      <c r="J243">
        <f>IF(Table1[[#This Row],[Active_months]]&gt;=1, 1, 0)</f>
        <v>0</v>
      </c>
    </row>
    <row r="244" spans="1:10" x14ac:dyDescent="0.3">
      <c r="A244">
        <v>156955272</v>
      </c>
      <c r="B244" s="1">
        <v>44838</v>
      </c>
      <c r="C244" s="1">
        <v>45037</v>
      </c>
      <c r="D244">
        <v>39</v>
      </c>
      <c r="E244" t="s">
        <v>6</v>
      </c>
      <c r="F244" t="s">
        <v>7</v>
      </c>
      <c r="G244" s="1">
        <f t="shared" si="9"/>
        <v>45037</v>
      </c>
      <c r="H244">
        <f t="shared" si="10"/>
        <v>6</v>
      </c>
      <c r="I244">
        <f t="shared" si="11"/>
        <v>1</v>
      </c>
      <c r="J244">
        <f>IF(Table1[[#This Row],[Active_months]]&gt;=1, 1, 0)</f>
        <v>1</v>
      </c>
    </row>
    <row r="245" spans="1:10" x14ac:dyDescent="0.3">
      <c r="A245">
        <v>156941638</v>
      </c>
      <c r="B245" s="1">
        <v>44838</v>
      </c>
      <c r="C245" s="1">
        <v>45000</v>
      </c>
      <c r="D245">
        <v>39</v>
      </c>
      <c r="E245" t="s">
        <v>6</v>
      </c>
      <c r="F245" t="s">
        <v>7</v>
      </c>
      <c r="G245" s="1">
        <f t="shared" si="9"/>
        <v>45000</v>
      </c>
      <c r="H245">
        <f t="shared" si="10"/>
        <v>5</v>
      </c>
      <c r="I245">
        <f t="shared" si="11"/>
        <v>1</v>
      </c>
      <c r="J245">
        <f>IF(Table1[[#This Row],[Active_months]]&gt;=1, 1, 0)</f>
        <v>1</v>
      </c>
    </row>
    <row r="246" spans="1:10" x14ac:dyDescent="0.3">
      <c r="A246">
        <v>157154624</v>
      </c>
      <c r="B246" s="1">
        <v>44838</v>
      </c>
      <c r="C246" s="1">
        <v>44956</v>
      </c>
      <c r="D246">
        <v>39</v>
      </c>
      <c r="E246" t="s">
        <v>6</v>
      </c>
      <c r="F246" t="s">
        <v>7</v>
      </c>
      <c r="G246" s="1">
        <f t="shared" si="9"/>
        <v>44956</v>
      </c>
      <c r="H246">
        <f t="shared" si="10"/>
        <v>3</v>
      </c>
      <c r="I246">
        <f t="shared" si="11"/>
        <v>0</v>
      </c>
      <c r="J246">
        <f>IF(Table1[[#This Row],[Active_months]]&gt;=1, 1, 0)</f>
        <v>1</v>
      </c>
    </row>
    <row r="247" spans="1:10" x14ac:dyDescent="0.3">
      <c r="A247">
        <v>151677119</v>
      </c>
      <c r="B247" s="1">
        <v>44838</v>
      </c>
      <c r="C247" s="1">
        <v>44909</v>
      </c>
      <c r="D247">
        <v>39</v>
      </c>
      <c r="E247" t="s">
        <v>6</v>
      </c>
      <c r="F247" t="s">
        <v>7</v>
      </c>
      <c r="G247" s="1">
        <f t="shared" si="9"/>
        <v>44909</v>
      </c>
      <c r="H247">
        <f t="shared" si="10"/>
        <v>2</v>
      </c>
      <c r="I247">
        <f t="shared" si="11"/>
        <v>0</v>
      </c>
      <c r="J247">
        <f>IF(Table1[[#This Row],[Active_months]]&gt;=1, 1, 0)</f>
        <v>1</v>
      </c>
    </row>
    <row r="248" spans="1:10" x14ac:dyDescent="0.3">
      <c r="A248">
        <v>139465940</v>
      </c>
      <c r="B248" s="1">
        <v>44838</v>
      </c>
      <c r="C248" s="1">
        <v>44870</v>
      </c>
      <c r="D248">
        <v>39</v>
      </c>
      <c r="E248" t="s">
        <v>6</v>
      </c>
      <c r="F248" t="s">
        <v>7</v>
      </c>
      <c r="G248" s="1">
        <f t="shared" si="9"/>
        <v>44870</v>
      </c>
      <c r="H248">
        <f t="shared" si="10"/>
        <v>1</v>
      </c>
      <c r="I248">
        <f t="shared" si="11"/>
        <v>0</v>
      </c>
      <c r="J248">
        <f>IF(Table1[[#This Row],[Active_months]]&gt;=1, 1, 0)</f>
        <v>1</v>
      </c>
    </row>
    <row r="249" spans="1:10" x14ac:dyDescent="0.3">
      <c r="A249">
        <v>156895692</v>
      </c>
      <c r="B249" s="1">
        <v>44839</v>
      </c>
      <c r="D249">
        <v>39</v>
      </c>
      <c r="E249" t="s">
        <v>6</v>
      </c>
      <c r="F249" t="s">
        <v>7</v>
      </c>
      <c r="G249" s="1">
        <f t="shared" si="9"/>
        <v>45199</v>
      </c>
      <c r="H249">
        <f t="shared" si="10"/>
        <v>11</v>
      </c>
      <c r="I249">
        <f t="shared" si="11"/>
        <v>1</v>
      </c>
      <c r="J249">
        <f>IF(Table1[[#This Row],[Active_months]]&gt;=1, 1, 0)</f>
        <v>1</v>
      </c>
    </row>
    <row r="250" spans="1:10" x14ac:dyDescent="0.3">
      <c r="A250">
        <v>153587226</v>
      </c>
      <c r="B250" s="1">
        <v>44839</v>
      </c>
      <c r="D250">
        <v>39</v>
      </c>
      <c r="E250" t="s">
        <v>6</v>
      </c>
      <c r="F250" t="s">
        <v>7</v>
      </c>
      <c r="G250" s="1">
        <f t="shared" si="9"/>
        <v>45199</v>
      </c>
      <c r="H250">
        <f t="shared" si="10"/>
        <v>11</v>
      </c>
      <c r="I250">
        <f t="shared" si="11"/>
        <v>1</v>
      </c>
      <c r="J250">
        <f>IF(Table1[[#This Row],[Active_months]]&gt;=1, 1, 0)</f>
        <v>1</v>
      </c>
    </row>
    <row r="251" spans="1:10" x14ac:dyDescent="0.3">
      <c r="A251">
        <v>157295262</v>
      </c>
      <c r="B251" s="1">
        <v>44839</v>
      </c>
      <c r="C251" s="1">
        <v>45019</v>
      </c>
      <c r="D251">
        <v>39</v>
      </c>
      <c r="E251" t="s">
        <v>6</v>
      </c>
      <c r="F251" t="s">
        <v>7</v>
      </c>
      <c r="G251" s="1">
        <f t="shared" si="9"/>
        <v>45019</v>
      </c>
      <c r="H251">
        <f t="shared" si="10"/>
        <v>6</v>
      </c>
      <c r="I251">
        <f t="shared" si="11"/>
        <v>1</v>
      </c>
      <c r="J251">
        <f>IF(Table1[[#This Row],[Active_months]]&gt;=1, 1, 0)</f>
        <v>1</v>
      </c>
    </row>
    <row r="252" spans="1:10" x14ac:dyDescent="0.3">
      <c r="A252">
        <v>157284386</v>
      </c>
      <c r="B252" s="1">
        <v>44839</v>
      </c>
      <c r="C252" s="1">
        <v>45018</v>
      </c>
      <c r="D252">
        <v>39</v>
      </c>
      <c r="E252" t="s">
        <v>6</v>
      </c>
      <c r="F252" t="s">
        <v>7</v>
      </c>
      <c r="G252" s="1">
        <f t="shared" si="9"/>
        <v>45018</v>
      </c>
      <c r="H252">
        <f t="shared" si="10"/>
        <v>6</v>
      </c>
      <c r="I252">
        <f t="shared" si="11"/>
        <v>1</v>
      </c>
      <c r="J252">
        <f>IF(Table1[[#This Row],[Active_months]]&gt;=1, 1, 0)</f>
        <v>1</v>
      </c>
    </row>
    <row r="253" spans="1:10" x14ac:dyDescent="0.3">
      <c r="A253">
        <v>148762867</v>
      </c>
      <c r="B253" s="1">
        <v>44839</v>
      </c>
      <c r="C253" s="1">
        <v>45100</v>
      </c>
      <c r="D253">
        <v>39</v>
      </c>
      <c r="E253" t="s">
        <v>6</v>
      </c>
      <c r="F253" t="s">
        <v>7</v>
      </c>
      <c r="G253" s="1">
        <f t="shared" si="9"/>
        <v>45100</v>
      </c>
      <c r="H253">
        <f t="shared" si="10"/>
        <v>8</v>
      </c>
      <c r="I253">
        <f t="shared" si="11"/>
        <v>1</v>
      </c>
      <c r="J253">
        <f>IF(Table1[[#This Row],[Active_months]]&gt;=1, 1, 0)</f>
        <v>1</v>
      </c>
    </row>
    <row r="254" spans="1:10" x14ac:dyDescent="0.3">
      <c r="A254">
        <v>150433978</v>
      </c>
      <c r="B254" s="1">
        <v>44839</v>
      </c>
      <c r="C254" s="1">
        <v>44870</v>
      </c>
      <c r="D254">
        <v>39</v>
      </c>
      <c r="E254" t="s">
        <v>6</v>
      </c>
      <c r="F254" t="s">
        <v>7</v>
      </c>
      <c r="G254" s="1">
        <f t="shared" si="9"/>
        <v>44870</v>
      </c>
      <c r="H254">
        <f t="shared" si="10"/>
        <v>1</v>
      </c>
      <c r="I254">
        <f t="shared" si="11"/>
        <v>0</v>
      </c>
      <c r="J254">
        <f>IF(Table1[[#This Row],[Active_months]]&gt;=1, 1, 0)</f>
        <v>1</v>
      </c>
    </row>
    <row r="255" spans="1:10" x14ac:dyDescent="0.3">
      <c r="A255">
        <v>157272487</v>
      </c>
      <c r="B255" s="1">
        <v>44839</v>
      </c>
      <c r="C255" s="1">
        <v>44902</v>
      </c>
      <c r="D255">
        <v>39</v>
      </c>
      <c r="E255" t="s">
        <v>6</v>
      </c>
      <c r="F255" t="s">
        <v>7</v>
      </c>
      <c r="G255" s="1">
        <f t="shared" si="9"/>
        <v>44902</v>
      </c>
      <c r="H255">
        <f t="shared" si="10"/>
        <v>2</v>
      </c>
      <c r="I255">
        <f t="shared" si="11"/>
        <v>0</v>
      </c>
      <c r="J255">
        <f>IF(Table1[[#This Row],[Active_months]]&gt;=1, 1, 0)</f>
        <v>1</v>
      </c>
    </row>
    <row r="256" spans="1:10" x14ac:dyDescent="0.3">
      <c r="A256">
        <v>153776370</v>
      </c>
      <c r="B256" s="1">
        <v>44840</v>
      </c>
      <c r="C256" s="1">
        <v>44901</v>
      </c>
      <c r="D256">
        <v>39</v>
      </c>
      <c r="E256" t="s">
        <v>6</v>
      </c>
      <c r="F256" t="s">
        <v>7</v>
      </c>
      <c r="G256" s="1">
        <f t="shared" si="9"/>
        <v>44901</v>
      </c>
      <c r="H256">
        <f t="shared" si="10"/>
        <v>2</v>
      </c>
      <c r="I256">
        <f t="shared" si="11"/>
        <v>0</v>
      </c>
      <c r="J256">
        <f>IF(Table1[[#This Row],[Active_months]]&gt;=1, 1, 0)</f>
        <v>1</v>
      </c>
    </row>
    <row r="257" spans="1:10" x14ac:dyDescent="0.3">
      <c r="A257">
        <v>157371444</v>
      </c>
      <c r="B257" s="1">
        <v>44840</v>
      </c>
      <c r="C257" s="1">
        <v>44903</v>
      </c>
      <c r="D257">
        <v>39</v>
      </c>
      <c r="E257" t="s">
        <v>6</v>
      </c>
      <c r="F257" t="s">
        <v>7</v>
      </c>
      <c r="G257" s="1">
        <f t="shared" si="9"/>
        <v>44903</v>
      </c>
      <c r="H257">
        <f t="shared" si="10"/>
        <v>2</v>
      </c>
      <c r="I257">
        <f t="shared" si="11"/>
        <v>0</v>
      </c>
      <c r="J257">
        <f>IF(Table1[[#This Row],[Active_months]]&gt;=1, 1, 0)</f>
        <v>1</v>
      </c>
    </row>
    <row r="258" spans="1:10" x14ac:dyDescent="0.3">
      <c r="A258">
        <v>157095464</v>
      </c>
      <c r="B258" s="1">
        <v>44840</v>
      </c>
      <c r="C258" s="1">
        <v>45120</v>
      </c>
      <c r="D258">
        <v>39</v>
      </c>
      <c r="E258" t="s">
        <v>6</v>
      </c>
      <c r="F258" t="s">
        <v>7</v>
      </c>
      <c r="G258" s="1">
        <f t="shared" si="9"/>
        <v>45120</v>
      </c>
      <c r="H258">
        <f t="shared" si="10"/>
        <v>9</v>
      </c>
      <c r="I258">
        <f t="shared" si="11"/>
        <v>1</v>
      </c>
      <c r="J258">
        <f>IF(Table1[[#This Row],[Active_months]]&gt;=1, 1, 0)</f>
        <v>1</v>
      </c>
    </row>
    <row r="259" spans="1:10" x14ac:dyDescent="0.3">
      <c r="A259">
        <v>153554190</v>
      </c>
      <c r="B259" s="1">
        <v>44841</v>
      </c>
      <c r="D259">
        <v>39</v>
      </c>
      <c r="E259" t="s">
        <v>6</v>
      </c>
      <c r="F259" t="s">
        <v>7</v>
      </c>
      <c r="G259" s="1">
        <f t="shared" ref="G259:G322" si="12">IF(ISBLANK(C259), DATE(2023,9,30), C259)</f>
        <v>45199</v>
      </c>
      <c r="H259">
        <f t="shared" ref="H259:H322" si="13">(YEAR(G259)-YEAR(B259))*12 + (MONTH(G259)-MONTH(B259))</f>
        <v>11</v>
      </c>
      <c r="I259">
        <f t="shared" ref="I259:I322" si="14">IF(H259 &gt;=5, 1, 0)</f>
        <v>1</v>
      </c>
      <c r="J259">
        <f>IF(Table1[[#This Row],[Active_months]]&gt;=1, 1, 0)</f>
        <v>1</v>
      </c>
    </row>
    <row r="260" spans="1:10" x14ac:dyDescent="0.3">
      <c r="A260">
        <v>157411994</v>
      </c>
      <c r="B260" s="1">
        <v>44841</v>
      </c>
      <c r="D260">
        <v>39</v>
      </c>
      <c r="E260" t="s">
        <v>6</v>
      </c>
      <c r="F260" t="s">
        <v>7</v>
      </c>
      <c r="G260" s="1">
        <f t="shared" si="12"/>
        <v>45199</v>
      </c>
      <c r="H260">
        <f t="shared" si="13"/>
        <v>11</v>
      </c>
      <c r="I260">
        <f t="shared" si="14"/>
        <v>1</v>
      </c>
      <c r="J260">
        <f>IF(Table1[[#This Row],[Active_months]]&gt;=1, 1, 0)</f>
        <v>1</v>
      </c>
    </row>
    <row r="261" spans="1:10" x14ac:dyDescent="0.3">
      <c r="A261">
        <v>157374056</v>
      </c>
      <c r="B261" s="1">
        <v>44841</v>
      </c>
      <c r="C261" s="1">
        <v>44872</v>
      </c>
      <c r="D261">
        <v>39</v>
      </c>
      <c r="E261" t="s">
        <v>6</v>
      </c>
      <c r="F261" t="s">
        <v>7</v>
      </c>
      <c r="G261" s="1">
        <f t="shared" si="12"/>
        <v>44872</v>
      </c>
      <c r="H261">
        <f t="shared" si="13"/>
        <v>1</v>
      </c>
      <c r="I261">
        <f t="shared" si="14"/>
        <v>0</v>
      </c>
      <c r="J261">
        <f>IF(Table1[[#This Row],[Active_months]]&gt;=1, 1, 0)</f>
        <v>1</v>
      </c>
    </row>
    <row r="262" spans="1:10" x14ac:dyDescent="0.3">
      <c r="A262">
        <v>157397941</v>
      </c>
      <c r="B262" s="1">
        <v>44841</v>
      </c>
      <c r="C262" s="1">
        <v>44868</v>
      </c>
      <c r="D262">
        <v>39</v>
      </c>
      <c r="E262" t="s">
        <v>6</v>
      </c>
      <c r="F262" t="s">
        <v>7</v>
      </c>
      <c r="G262" s="1">
        <f t="shared" si="12"/>
        <v>44868</v>
      </c>
      <c r="H262">
        <f t="shared" si="13"/>
        <v>1</v>
      </c>
      <c r="I262">
        <f t="shared" si="14"/>
        <v>0</v>
      </c>
      <c r="J262">
        <f>IF(Table1[[#This Row],[Active_months]]&gt;=1, 1, 0)</f>
        <v>1</v>
      </c>
    </row>
    <row r="263" spans="1:10" x14ac:dyDescent="0.3">
      <c r="A263">
        <v>157234944</v>
      </c>
      <c r="B263" s="1">
        <v>44841</v>
      </c>
      <c r="C263" s="1">
        <v>44858</v>
      </c>
      <c r="D263">
        <v>39</v>
      </c>
      <c r="E263" t="s">
        <v>6</v>
      </c>
      <c r="F263" t="s">
        <v>7</v>
      </c>
      <c r="G263" s="1">
        <f t="shared" si="12"/>
        <v>44858</v>
      </c>
      <c r="H263">
        <f t="shared" si="13"/>
        <v>0</v>
      </c>
      <c r="I263">
        <f t="shared" si="14"/>
        <v>0</v>
      </c>
      <c r="J263">
        <f>IF(Table1[[#This Row],[Active_months]]&gt;=1, 1, 0)</f>
        <v>0</v>
      </c>
    </row>
    <row r="264" spans="1:10" x14ac:dyDescent="0.3">
      <c r="A264">
        <v>157490039</v>
      </c>
      <c r="B264" s="1">
        <v>44842</v>
      </c>
      <c r="C264" s="1">
        <v>45000</v>
      </c>
      <c r="D264">
        <v>39</v>
      </c>
      <c r="E264" t="s">
        <v>6</v>
      </c>
      <c r="F264" t="s">
        <v>7</v>
      </c>
      <c r="G264" s="1">
        <f t="shared" si="12"/>
        <v>45000</v>
      </c>
      <c r="H264">
        <f t="shared" si="13"/>
        <v>5</v>
      </c>
      <c r="I264">
        <f t="shared" si="14"/>
        <v>1</v>
      </c>
      <c r="J264">
        <f>IF(Table1[[#This Row],[Active_months]]&gt;=1, 1, 0)</f>
        <v>1</v>
      </c>
    </row>
    <row r="265" spans="1:10" x14ac:dyDescent="0.3">
      <c r="A265">
        <v>157484010</v>
      </c>
      <c r="B265" s="1">
        <v>44842</v>
      </c>
      <c r="C265" s="1">
        <v>45000</v>
      </c>
      <c r="D265">
        <v>39</v>
      </c>
      <c r="E265" t="s">
        <v>6</v>
      </c>
      <c r="F265" t="s">
        <v>7</v>
      </c>
      <c r="G265" s="1">
        <f t="shared" si="12"/>
        <v>45000</v>
      </c>
      <c r="H265">
        <f t="shared" si="13"/>
        <v>5</v>
      </c>
      <c r="I265">
        <f t="shared" si="14"/>
        <v>1</v>
      </c>
      <c r="J265">
        <f>IF(Table1[[#This Row],[Active_months]]&gt;=1, 1, 0)</f>
        <v>1</v>
      </c>
    </row>
    <row r="266" spans="1:10" x14ac:dyDescent="0.3">
      <c r="A266">
        <v>125038257</v>
      </c>
      <c r="B266" s="1">
        <v>44842</v>
      </c>
      <c r="C266" s="1">
        <v>44882</v>
      </c>
      <c r="D266">
        <v>39</v>
      </c>
      <c r="E266" t="s">
        <v>6</v>
      </c>
      <c r="F266" t="s">
        <v>7</v>
      </c>
      <c r="G266" s="1">
        <f t="shared" si="12"/>
        <v>44882</v>
      </c>
      <c r="H266">
        <f t="shared" si="13"/>
        <v>1</v>
      </c>
      <c r="I266">
        <f t="shared" si="14"/>
        <v>0</v>
      </c>
      <c r="J266">
        <f>IF(Table1[[#This Row],[Active_months]]&gt;=1, 1, 0)</f>
        <v>1</v>
      </c>
    </row>
    <row r="267" spans="1:10" x14ac:dyDescent="0.3">
      <c r="A267">
        <v>157400730</v>
      </c>
      <c r="B267" s="1">
        <v>44842</v>
      </c>
      <c r="C267" s="1">
        <v>44860</v>
      </c>
      <c r="D267">
        <v>39</v>
      </c>
      <c r="E267" t="s">
        <v>6</v>
      </c>
      <c r="F267" t="s">
        <v>7</v>
      </c>
      <c r="G267" s="1">
        <f t="shared" si="12"/>
        <v>44860</v>
      </c>
      <c r="H267">
        <f t="shared" si="13"/>
        <v>0</v>
      </c>
      <c r="I267">
        <f t="shared" si="14"/>
        <v>0</v>
      </c>
      <c r="J267">
        <f>IF(Table1[[#This Row],[Active_months]]&gt;=1, 1, 0)</f>
        <v>0</v>
      </c>
    </row>
    <row r="268" spans="1:10" x14ac:dyDescent="0.3">
      <c r="A268">
        <v>157450645</v>
      </c>
      <c r="B268" s="1">
        <v>44842</v>
      </c>
      <c r="C268" s="1">
        <v>44852</v>
      </c>
      <c r="D268">
        <v>39</v>
      </c>
      <c r="E268" t="s">
        <v>6</v>
      </c>
      <c r="F268" t="s">
        <v>7</v>
      </c>
      <c r="G268" s="1">
        <f t="shared" si="12"/>
        <v>44852</v>
      </c>
      <c r="H268">
        <f t="shared" si="13"/>
        <v>0</v>
      </c>
      <c r="I268">
        <f t="shared" si="14"/>
        <v>0</v>
      </c>
      <c r="J268">
        <f>IF(Table1[[#This Row],[Active_months]]&gt;=1, 1, 0)</f>
        <v>0</v>
      </c>
    </row>
    <row r="269" spans="1:10" x14ac:dyDescent="0.3">
      <c r="A269">
        <v>156943008</v>
      </c>
      <c r="B269" s="1">
        <v>44843</v>
      </c>
      <c r="C269" s="1">
        <v>44844</v>
      </c>
      <c r="D269">
        <v>39</v>
      </c>
      <c r="E269" t="s">
        <v>6</v>
      </c>
      <c r="F269" t="s">
        <v>7</v>
      </c>
      <c r="G269" s="1">
        <f t="shared" si="12"/>
        <v>44844</v>
      </c>
      <c r="H269">
        <f t="shared" si="13"/>
        <v>0</v>
      </c>
      <c r="I269">
        <f t="shared" si="14"/>
        <v>0</v>
      </c>
      <c r="J269">
        <f>IF(Table1[[#This Row],[Active_months]]&gt;=1, 1, 0)</f>
        <v>0</v>
      </c>
    </row>
    <row r="270" spans="1:10" x14ac:dyDescent="0.3">
      <c r="A270">
        <v>127328047</v>
      </c>
      <c r="B270" s="1">
        <v>44843</v>
      </c>
      <c r="C270" s="1">
        <v>44942</v>
      </c>
      <c r="D270">
        <v>39</v>
      </c>
      <c r="E270" t="s">
        <v>6</v>
      </c>
      <c r="F270" t="s">
        <v>7</v>
      </c>
      <c r="G270" s="1">
        <f t="shared" si="12"/>
        <v>44942</v>
      </c>
      <c r="H270">
        <f t="shared" si="13"/>
        <v>3</v>
      </c>
      <c r="I270">
        <f t="shared" si="14"/>
        <v>0</v>
      </c>
      <c r="J270">
        <f>IF(Table1[[#This Row],[Active_months]]&gt;=1, 1, 0)</f>
        <v>1</v>
      </c>
    </row>
    <row r="271" spans="1:10" x14ac:dyDescent="0.3">
      <c r="A271">
        <v>157506842</v>
      </c>
      <c r="B271" s="1">
        <v>44843</v>
      </c>
      <c r="C271" s="1">
        <v>44880</v>
      </c>
      <c r="D271">
        <v>39</v>
      </c>
      <c r="E271" t="s">
        <v>6</v>
      </c>
      <c r="F271" t="s">
        <v>7</v>
      </c>
      <c r="G271" s="1">
        <f t="shared" si="12"/>
        <v>44880</v>
      </c>
      <c r="H271">
        <f t="shared" si="13"/>
        <v>1</v>
      </c>
      <c r="I271">
        <f t="shared" si="14"/>
        <v>0</v>
      </c>
      <c r="J271">
        <f>IF(Table1[[#This Row],[Active_months]]&gt;=1, 1, 0)</f>
        <v>1</v>
      </c>
    </row>
    <row r="272" spans="1:10" x14ac:dyDescent="0.3">
      <c r="A272">
        <v>150924853</v>
      </c>
      <c r="B272" s="1">
        <v>44843</v>
      </c>
      <c r="C272" s="1">
        <v>44888</v>
      </c>
      <c r="D272">
        <v>39</v>
      </c>
      <c r="E272" t="s">
        <v>6</v>
      </c>
      <c r="F272" t="s">
        <v>7</v>
      </c>
      <c r="G272" s="1">
        <f t="shared" si="12"/>
        <v>44888</v>
      </c>
      <c r="H272">
        <f t="shared" si="13"/>
        <v>1</v>
      </c>
      <c r="I272">
        <f t="shared" si="14"/>
        <v>0</v>
      </c>
      <c r="J272">
        <f>IF(Table1[[#This Row],[Active_months]]&gt;=1, 1, 0)</f>
        <v>1</v>
      </c>
    </row>
    <row r="273" spans="1:10" x14ac:dyDescent="0.3">
      <c r="A273">
        <v>156996568</v>
      </c>
      <c r="B273" s="1">
        <v>44844</v>
      </c>
      <c r="D273">
        <v>39</v>
      </c>
      <c r="E273" t="s">
        <v>6</v>
      </c>
      <c r="F273" t="s">
        <v>7</v>
      </c>
      <c r="G273" s="1">
        <f t="shared" si="12"/>
        <v>45199</v>
      </c>
      <c r="H273">
        <f t="shared" si="13"/>
        <v>11</v>
      </c>
      <c r="I273">
        <f t="shared" si="14"/>
        <v>1</v>
      </c>
      <c r="J273">
        <f>IF(Table1[[#This Row],[Active_months]]&gt;=1, 1, 0)</f>
        <v>1</v>
      </c>
    </row>
    <row r="274" spans="1:10" x14ac:dyDescent="0.3">
      <c r="A274">
        <v>157627904</v>
      </c>
      <c r="B274" s="1">
        <v>44844</v>
      </c>
      <c r="C274" s="1">
        <v>44937</v>
      </c>
      <c r="D274">
        <v>39</v>
      </c>
      <c r="E274" t="s">
        <v>6</v>
      </c>
      <c r="F274" t="s">
        <v>7</v>
      </c>
      <c r="G274" s="1">
        <f t="shared" si="12"/>
        <v>44937</v>
      </c>
      <c r="H274">
        <f t="shared" si="13"/>
        <v>3</v>
      </c>
      <c r="I274">
        <f t="shared" si="14"/>
        <v>0</v>
      </c>
      <c r="J274">
        <f>IF(Table1[[#This Row],[Active_months]]&gt;=1, 1, 0)</f>
        <v>1</v>
      </c>
    </row>
    <row r="275" spans="1:10" x14ac:dyDescent="0.3">
      <c r="A275">
        <v>157058101</v>
      </c>
      <c r="B275" s="1">
        <v>44844</v>
      </c>
      <c r="C275" s="1">
        <v>44874</v>
      </c>
      <c r="D275">
        <v>39</v>
      </c>
      <c r="E275" t="s">
        <v>6</v>
      </c>
      <c r="F275" t="s">
        <v>7</v>
      </c>
      <c r="G275" s="1">
        <f t="shared" si="12"/>
        <v>44874</v>
      </c>
      <c r="H275">
        <f t="shared" si="13"/>
        <v>1</v>
      </c>
      <c r="I275">
        <f t="shared" si="14"/>
        <v>0</v>
      </c>
      <c r="J275">
        <f>IF(Table1[[#This Row],[Active_months]]&gt;=1, 1, 0)</f>
        <v>1</v>
      </c>
    </row>
    <row r="276" spans="1:10" x14ac:dyDescent="0.3">
      <c r="A276">
        <v>157394598</v>
      </c>
      <c r="B276" s="1">
        <v>44845</v>
      </c>
      <c r="C276" s="1">
        <v>44846</v>
      </c>
      <c r="D276">
        <v>39</v>
      </c>
      <c r="E276" t="s">
        <v>6</v>
      </c>
      <c r="F276" t="s">
        <v>8</v>
      </c>
      <c r="G276" s="1">
        <f t="shared" si="12"/>
        <v>44846</v>
      </c>
      <c r="H276">
        <f t="shared" si="13"/>
        <v>0</v>
      </c>
      <c r="I276">
        <f t="shared" si="14"/>
        <v>0</v>
      </c>
      <c r="J276">
        <f>IF(Table1[[#This Row],[Active_months]]&gt;=1, 1, 0)</f>
        <v>0</v>
      </c>
    </row>
    <row r="277" spans="1:10" x14ac:dyDescent="0.3">
      <c r="A277">
        <v>157765918</v>
      </c>
      <c r="B277" s="1">
        <v>44845</v>
      </c>
      <c r="C277" s="1">
        <v>44846</v>
      </c>
      <c r="D277">
        <v>39</v>
      </c>
      <c r="E277" t="s">
        <v>6</v>
      </c>
      <c r="F277" t="s">
        <v>8</v>
      </c>
      <c r="G277" s="1">
        <f t="shared" si="12"/>
        <v>44846</v>
      </c>
      <c r="H277">
        <f t="shared" si="13"/>
        <v>0</v>
      </c>
      <c r="I277">
        <f t="shared" si="14"/>
        <v>0</v>
      </c>
      <c r="J277">
        <f>IF(Table1[[#This Row],[Active_months]]&gt;=1, 1, 0)</f>
        <v>0</v>
      </c>
    </row>
    <row r="278" spans="1:10" x14ac:dyDescent="0.3">
      <c r="A278">
        <v>157746458</v>
      </c>
      <c r="B278" s="1">
        <v>44845</v>
      </c>
      <c r="C278" s="1">
        <v>45041</v>
      </c>
      <c r="D278">
        <v>39</v>
      </c>
      <c r="E278" t="s">
        <v>6</v>
      </c>
      <c r="F278" t="s">
        <v>7</v>
      </c>
      <c r="G278" s="1">
        <f t="shared" si="12"/>
        <v>45041</v>
      </c>
      <c r="H278">
        <f t="shared" si="13"/>
        <v>6</v>
      </c>
      <c r="I278">
        <f t="shared" si="14"/>
        <v>1</v>
      </c>
      <c r="J278">
        <f>IF(Table1[[#This Row],[Active_months]]&gt;=1, 1, 0)</f>
        <v>1</v>
      </c>
    </row>
    <row r="279" spans="1:10" x14ac:dyDescent="0.3">
      <c r="A279">
        <v>157590918</v>
      </c>
      <c r="B279" s="1">
        <v>44845</v>
      </c>
      <c r="C279" s="1">
        <v>44969</v>
      </c>
      <c r="D279">
        <v>39</v>
      </c>
      <c r="E279" t="s">
        <v>6</v>
      </c>
      <c r="F279" t="s">
        <v>7</v>
      </c>
      <c r="G279" s="1">
        <f t="shared" si="12"/>
        <v>44969</v>
      </c>
      <c r="H279">
        <f t="shared" si="13"/>
        <v>4</v>
      </c>
      <c r="I279">
        <f t="shared" si="14"/>
        <v>0</v>
      </c>
      <c r="J279">
        <f>IF(Table1[[#This Row],[Active_months]]&gt;=1, 1, 0)</f>
        <v>1</v>
      </c>
    </row>
    <row r="280" spans="1:10" x14ac:dyDescent="0.3">
      <c r="A280">
        <v>157290992</v>
      </c>
      <c r="B280" s="1">
        <v>44845</v>
      </c>
      <c r="C280" s="1">
        <v>44936</v>
      </c>
      <c r="D280">
        <v>39</v>
      </c>
      <c r="E280" t="s">
        <v>6</v>
      </c>
      <c r="F280" t="s">
        <v>7</v>
      </c>
      <c r="G280" s="1">
        <f t="shared" si="12"/>
        <v>44936</v>
      </c>
      <c r="H280">
        <f t="shared" si="13"/>
        <v>3</v>
      </c>
      <c r="I280">
        <f t="shared" si="14"/>
        <v>0</v>
      </c>
      <c r="J280">
        <f>IF(Table1[[#This Row],[Active_months]]&gt;=1, 1, 0)</f>
        <v>1</v>
      </c>
    </row>
    <row r="281" spans="1:10" x14ac:dyDescent="0.3">
      <c r="A281">
        <v>156895701</v>
      </c>
      <c r="B281" s="1">
        <v>44845</v>
      </c>
      <c r="C281" s="1">
        <v>44913</v>
      </c>
      <c r="D281">
        <v>39</v>
      </c>
      <c r="E281" t="s">
        <v>6</v>
      </c>
      <c r="F281" t="s">
        <v>7</v>
      </c>
      <c r="G281" s="1">
        <f t="shared" si="12"/>
        <v>44913</v>
      </c>
      <c r="H281">
        <f t="shared" si="13"/>
        <v>2</v>
      </c>
      <c r="I281">
        <f t="shared" si="14"/>
        <v>0</v>
      </c>
      <c r="J281">
        <f>IF(Table1[[#This Row],[Active_months]]&gt;=1, 1, 0)</f>
        <v>1</v>
      </c>
    </row>
    <row r="282" spans="1:10" x14ac:dyDescent="0.3">
      <c r="A282">
        <v>155926313</v>
      </c>
      <c r="B282" s="1">
        <v>44845</v>
      </c>
      <c r="C282" s="1">
        <v>44893</v>
      </c>
      <c r="D282">
        <v>39</v>
      </c>
      <c r="E282" t="s">
        <v>6</v>
      </c>
      <c r="F282" t="s">
        <v>7</v>
      </c>
      <c r="G282" s="1">
        <f t="shared" si="12"/>
        <v>44893</v>
      </c>
      <c r="H282">
        <f t="shared" si="13"/>
        <v>1</v>
      </c>
      <c r="I282">
        <f t="shared" si="14"/>
        <v>0</v>
      </c>
      <c r="J282">
        <f>IF(Table1[[#This Row],[Active_months]]&gt;=1, 1, 0)</f>
        <v>1</v>
      </c>
    </row>
    <row r="283" spans="1:10" x14ac:dyDescent="0.3">
      <c r="A283">
        <v>156110000</v>
      </c>
      <c r="B283" s="1">
        <v>44845</v>
      </c>
      <c r="C283" s="1">
        <v>44881</v>
      </c>
      <c r="D283">
        <v>39</v>
      </c>
      <c r="E283" t="s">
        <v>6</v>
      </c>
      <c r="F283" t="s">
        <v>7</v>
      </c>
      <c r="G283" s="1">
        <f t="shared" si="12"/>
        <v>44881</v>
      </c>
      <c r="H283">
        <f t="shared" si="13"/>
        <v>1</v>
      </c>
      <c r="I283">
        <f t="shared" si="14"/>
        <v>0</v>
      </c>
      <c r="J283">
        <f>IF(Table1[[#This Row],[Active_months]]&gt;=1, 1, 0)</f>
        <v>1</v>
      </c>
    </row>
    <row r="284" spans="1:10" x14ac:dyDescent="0.3">
      <c r="A284">
        <v>157851493</v>
      </c>
      <c r="B284" s="1">
        <v>44846</v>
      </c>
      <c r="C284" s="1">
        <v>45020</v>
      </c>
      <c r="D284">
        <v>39</v>
      </c>
      <c r="E284" t="s">
        <v>6</v>
      </c>
      <c r="F284" t="s">
        <v>7</v>
      </c>
      <c r="G284" s="1">
        <f t="shared" si="12"/>
        <v>45020</v>
      </c>
      <c r="H284">
        <f t="shared" si="13"/>
        <v>6</v>
      </c>
      <c r="I284">
        <f t="shared" si="14"/>
        <v>1</v>
      </c>
      <c r="J284">
        <f>IF(Table1[[#This Row],[Active_months]]&gt;=1, 1, 0)</f>
        <v>1</v>
      </c>
    </row>
    <row r="285" spans="1:10" x14ac:dyDescent="0.3">
      <c r="A285">
        <v>157792408</v>
      </c>
      <c r="B285" s="1">
        <v>44846</v>
      </c>
      <c r="C285" s="1">
        <v>45087</v>
      </c>
      <c r="D285">
        <v>39</v>
      </c>
      <c r="E285" t="s">
        <v>6</v>
      </c>
      <c r="F285" t="s">
        <v>7</v>
      </c>
      <c r="G285" s="1">
        <f t="shared" si="12"/>
        <v>45087</v>
      </c>
      <c r="H285">
        <f t="shared" si="13"/>
        <v>8</v>
      </c>
      <c r="I285">
        <f t="shared" si="14"/>
        <v>1</v>
      </c>
      <c r="J285">
        <f>IF(Table1[[#This Row],[Active_months]]&gt;=1, 1, 0)</f>
        <v>1</v>
      </c>
    </row>
    <row r="286" spans="1:10" x14ac:dyDescent="0.3">
      <c r="A286">
        <v>157868778</v>
      </c>
      <c r="B286" s="1">
        <v>44846</v>
      </c>
      <c r="C286" s="1">
        <v>44872</v>
      </c>
      <c r="D286">
        <v>39</v>
      </c>
      <c r="E286" t="s">
        <v>6</v>
      </c>
      <c r="F286" t="s">
        <v>7</v>
      </c>
      <c r="G286" s="1">
        <f t="shared" si="12"/>
        <v>44872</v>
      </c>
      <c r="H286">
        <f t="shared" si="13"/>
        <v>1</v>
      </c>
      <c r="I286">
        <f t="shared" si="14"/>
        <v>0</v>
      </c>
      <c r="J286">
        <f>IF(Table1[[#This Row],[Active_months]]&gt;=1, 1, 0)</f>
        <v>1</v>
      </c>
    </row>
    <row r="287" spans="1:10" x14ac:dyDescent="0.3">
      <c r="A287">
        <v>157833252</v>
      </c>
      <c r="B287" s="1">
        <v>44846</v>
      </c>
      <c r="C287" s="1">
        <v>44857</v>
      </c>
      <c r="D287">
        <v>39</v>
      </c>
      <c r="E287" t="s">
        <v>6</v>
      </c>
      <c r="F287" t="s">
        <v>7</v>
      </c>
      <c r="G287" s="1">
        <f t="shared" si="12"/>
        <v>44857</v>
      </c>
      <c r="H287">
        <f t="shared" si="13"/>
        <v>0</v>
      </c>
      <c r="I287">
        <f t="shared" si="14"/>
        <v>0</v>
      </c>
      <c r="J287">
        <f>IF(Table1[[#This Row],[Active_months]]&gt;=1, 1, 0)</f>
        <v>0</v>
      </c>
    </row>
    <row r="288" spans="1:10" x14ac:dyDescent="0.3">
      <c r="A288">
        <v>149662340</v>
      </c>
      <c r="B288" s="1">
        <v>44847</v>
      </c>
      <c r="D288">
        <v>39</v>
      </c>
      <c r="E288" t="s">
        <v>6</v>
      </c>
      <c r="F288" t="s">
        <v>7</v>
      </c>
      <c r="G288" s="1">
        <f t="shared" si="12"/>
        <v>45199</v>
      </c>
      <c r="H288">
        <f t="shared" si="13"/>
        <v>11</v>
      </c>
      <c r="I288">
        <f t="shared" si="14"/>
        <v>1</v>
      </c>
      <c r="J288">
        <f>IF(Table1[[#This Row],[Active_months]]&gt;=1, 1, 0)</f>
        <v>1</v>
      </c>
    </row>
    <row r="289" spans="1:10" x14ac:dyDescent="0.3">
      <c r="A289">
        <v>126918448</v>
      </c>
      <c r="B289" s="1">
        <v>44847</v>
      </c>
      <c r="D289">
        <v>39</v>
      </c>
      <c r="E289" t="s">
        <v>6</v>
      </c>
      <c r="F289" t="s">
        <v>7</v>
      </c>
      <c r="G289" s="1">
        <f t="shared" si="12"/>
        <v>45199</v>
      </c>
      <c r="H289">
        <f t="shared" si="13"/>
        <v>11</v>
      </c>
      <c r="I289">
        <f t="shared" si="14"/>
        <v>1</v>
      </c>
      <c r="J289">
        <f>IF(Table1[[#This Row],[Active_months]]&gt;=1, 1, 0)</f>
        <v>1</v>
      </c>
    </row>
    <row r="290" spans="1:10" x14ac:dyDescent="0.3">
      <c r="A290">
        <v>136897370</v>
      </c>
      <c r="B290" s="1">
        <v>44847</v>
      </c>
      <c r="C290" s="1">
        <v>44943</v>
      </c>
      <c r="D290">
        <v>39</v>
      </c>
      <c r="E290" t="s">
        <v>6</v>
      </c>
      <c r="F290" t="s">
        <v>7</v>
      </c>
      <c r="G290" s="1">
        <f t="shared" si="12"/>
        <v>44943</v>
      </c>
      <c r="H290">
        <f t="shared" si="13"/>
        <v>3</v>
      </c>
      <c r="I290">
        <f t="shared" si="14"/>
        <v>0</v>
      </c>
      <c r="J290">
        <f>IF(Table1[[#This Row],[Active_months]]&gt;=1, 1, 0)</f>
        <v>1</v>
      </c>
    </row>
    <row r="291" spans="1:10" x14ac:dyDescent="0.3">
      <c r="A291">
        <v>157921307</v>
      </c>
      <c r="B291" s="1">
        <v>44847</v>
      </c>
      <c r="C291" s="1">
        <v>45076</v>
      </c>
      <c r="D291">
        <v>39</v>
      </c>
      <c r="E291" t="s">
        <v>6</v>
      </c>
      <c r="F291" t="s">
        <v>7</v>
      </c>
      <c r="G291" s="1">
        <f t="shared" si="12"/>
        <v>45076</v>
      </c>
      <c r="H291">
        <f t="shared" si="13"/>
        <v>7</v>
      </c>
      <c r="I291">
        <f t="shared" si="14"/>
        <v>1</v>
      </c>
      <c r="J291">
        <f>IF(Table1[[#This Row],[Active_months]]&gt;=1, 1, 0)</f>
        <v>1</v>
      </c>
    </row>
    <row r="292" spans="1:10" x14ac:dyDescent="0.3">
      <c r="A292">
        <v>157905868</v>
      </c>
      <c r="B292" s="1">
        <v>44847</v>
      </c>
      <c r="C292" s="1">
        <v>44963</v>
      </c>
      <c r="D292">
        <v>39</v>
      </c>
      <c r="E292" t="s">
        <v>6</v>
      </c>
      <c r="F292" t="s">
        <v>7</v>
      </c>
      <c r="G292" s="1">
        <f t="shared" si="12"/>
        <v>44963</v>
      </c>
      <c r="H292">
        <f t="shared" si="13"/>
        <v>4</v>
      </c>
      <c r="I292">
        <f t="shared" si="14"/>
        <v>0</v>
      </c>
      <c r="J292">
        <f>IF(Table1[[#This Row],[Active_months]]&gt;=1, 1, 0)</f>
        <v>1</v>
      </c>
    </row>
    <row r="293" spans="1:10" x14ac:dyDescent="0.3">
      <c r="A293">
        <v>152377785</v>
      </c>
      <c r="B293" s="1">
        <v>44847</v>
      </c>
      <c r="C293" s="1">
        <v>44937</v>
      </c>
      <c r="D293">
        <v>39</v>
      </c>
      <c r="E293" t="s">
        <v>6</v>
      </c>
      <c r="F293" t="s">
        <v>7</v>
      </c>
      <c r="G293" s="1">
        <f t="shared" si="12"/>
        <v>44937</v>
      </c>
      <c r="H293">
        <f t="shared" si="13"/>
        <v>3</v>
      </c>
      <c r="I293">
        <f t="shared" si="14"/>
        <v>0</v>
      </c>
      <c r="J293">
        <f>IF(Table1[[#This Row],[Active_months]]&gt;=1, 1, 0)</f>
        <v>1</v>
      </c>
    </row>
    <row r="294" spans="1:10" x14ac:dyDescent="0.3">
      <c r="A294">
        <v>157567612</v>
      </c>
      <c r="B294" s="1">
        <v>44847</v>
      </c>
      <c r="C294" s="1">
        <v>44868</v>
      </c>
      <c r="D294">
        <v>39</v>
      </c>
      <c r="E294" t="s">
        <v>6</v>
      </c>
      <c r="F294" t="s">
        <v>7</v>
      </c>
      <c r="G294" s="1">
        <f t="shared" si="12"/>
        <v>44868</v>
      </c>
      <c r="H294">
        <f t="shared" si="13"/>
        <v>1</v>
      </c>
      <c r="I294">
        <f t="shared" si="14"/>
        <v>0</v>
      </c>
      <c r="J294">
        <f>IF(Table1[[#This Row],[Active_months]]&gt;=1, 1, 0)</f>
        <v>1</v>
      </c>
    </row>
    <row r="295" spans="1:10" x14ac:dyDescent="0.3">
      <c r="A295">
        <v>157993772</v>
      </c>
      <c r="B295" s="1">
        <v>44849</v>
      </c>
      <c r="C295" s="1">
        <v>44849</v>
      </c>
      <c r="D295">
        <v>39</v>
      </c>
      <c r="E295" t="s">
        <v>6</v>
      </c>
      <c r="F295" t="s">
        <v>8</v>
      </c>
      <c r="G295" s="1">
        <f t="shared" si="12"/>
        <v>44849</v>
      </c>
      <c r="H295">
        <f t="shared" si="13"/>
        <v>0</v>
      </c>
      <c r="I295">
        <f t="shared" si="14"/>
        <v>0</v>
      </c>
      <c r="J295">
        <f>IF(Table1[[#This Row],[Active_months]]&gt;=1, 1, 0)</f>
        <v>0</v>
      </c>
    </row>
    <row r="296" spans="1:10" x14ac:dyDescent="0.3">
      <c r="A296">
        <v>148769034</v>
      </c>
      <c r="B296" s="1">
        <v>44849</v>
      </c>
      <c r="C296" s="1">
        <v>44998</v>
      </c>
      <c r="D296">
        <v>39</v>
      </c>
      <c r="E296" t="s">
        <v>6</v>
      </c>
      <c r="F296" t="s">
        <v>7</v>
      </c>
      <c r="G296" s="1">
        <f t="shared" si="12"/>
        <v>44998</v>
      </c>
      <c r="H296">
        <f t="shared" si="13"/>
        <v>5</v>
      </c>
      <c r="I296">
        <f t="shared" si="14"/>
        <v>1</v>
      </c>
      <c r="J296">
        <f>IF(Table1[[#This Row],[Active_months]]&gt;=1, 1, 0)</f>
        <v>1</v>
      </c>
    </row>
    <row r="297" spans="1:10" x14ac:dyDescent="0.3">
      <c r="A297">
        <v>158050283</v>
      </c>
      <c r="B297" s="1">
        <v>44849</v>
      </c>
      <c r="C297" s="1">
        <v>45114</v>
      </c>
      <c r="D297">
        <v>39</v>
      </c>
      <c r="E297" t="s">
        <v>6</v>
      </c>
      <c r="F297" t="s">
        <v>7</v>
      </c>
      <c r="G297" s="1">
        <f t="shared" si="12"/>
        <v>45114</v>
      </c>
      <c r="H297">
        <f t="shared" si="13"/>
        <v>9</v>
      </c>
      <c r="I297">
        <f t="shared" si="14"/>
        <v>1</v>
      </c>
      <c r="J297">
        <f>IF(Table1[[#This Row],[Active_months]]&gt;=1, 1, 0)</f>
        <v>1</v>
      </c>
    </row>
    <row r="298" spans="1:10" x14ac:dyDescent="0.3">
      <c r="A298">
        <v>157436507</v>
      </c>
      <c r="B298" s="1">
        <v>44850</v>
      </c>
      <c r="D298">
        <v>39</v>
      </c>
      <c r="E298" t="s">
        <v>6</v>
      </c>
      <c r="F298" t="s">
        <v>7</v>
      </c>
      <c r="G298" s="1">
        <f t="shared" si="12"/>
        <v>45199</v>
      </c>
      <c r="H298">
        <f t="shared" si="13"/>
        <v>11</v>
      </c>
      <c r="I298">
        <f t="shared" si="14"/>
        <v>1</v>
      </c>
      <c r="J298">
        <f>IF(Table1[[#This Row],[Active_months]]&gt;=1, 1, 0)</f>
        <v>1</v>
      </c>
    </row>
    <row r="299" spans="1:10" x14ac:dyDescent="0.3">
      <c r="A299">
        <v>123808301</v>
      </c>
      <c r="B299" s="1">
        <v>44850</v>
      </c>
      <c r="C299" s="1">
        <v>44861</v>
      </c>
      <c r="D299">
        <v>39</v>
      </c>
      <c r="E299" t="s">
        <v>6</v>
      </c>
      <c r="F299" t="s">
        <v>7</v>
      </c>
      <c r="G299" s="1">
        <f t="shared" si="12"/>
        <v>44861</v>
      </c>
      <c r="H299">
        <f t="shared" si="13"/>
        <v>0</v>
      </c>
      <c r="I299">
        <f t="shared" si="14"/>
        <v>0</v>
      </c>
      <c r="J299">
        <f>IF(Table1[[#This Row],[Active_months]]&gt;=1, 1, 0)</f>
        <v>0</v>
      </c>
    </row>
    <row r="300" spans="1:10" x14ac:dyDescent="0.3">
      <c r="A300">
        <v>158033452</v>
      </c>
      <c r="B300" s="1">
        <v>44850</v>
      </c>
      <c r="C300" s="1">
        <v>44987</v>
      </c>
      <c r="D300">
        <v>39</v>
      </c>
      <c r="E300" t="s">
        <v>6</v>
      </c>
      <c r="F300" t="s">
        <v>7</v>
      </c>
      <c r="G300" s="1">
        <f t="shared" si="12"/>
        <v>44987</v>
      </c>
      <c r="H300">
        <f t="shared" si="13"/>
        <v>5</v>
      </c>
      <c r="I300">
        <f t="shared" si="14"/>
        <v>1</v>
      </c>
      <c r="J300">
        <f>IF(Table1[[#This Row],[Active_months]]&gt;=1, 1, 0)</f>
        <v>1</v>
      </c>
    </row>
    <row r="301" spans="1:10" x14ac:dyDescent="0.3">
      <c r="A301">
        <v>156796659</v>
      </c>
      <c r="B301" s="1">
        <v>44850</v>
      </c>
      <c r="C301" s="1">
        <v>44994</v>
      </c>
      <c r="D301">
        <v>39</v>
      </c>
      <c r="E301" t="s">
        <v>6</v>
      </c>
      <c r="F301" t="s">
        <v>7</v>
      </c>
      <c r="G301" s="1">
        <f t="shared" si="12"/>
        <v>44994</v>
      </c>
      <c r="H301">
        <f t="shared" si="13"/>
        <v>5</v>
      </c>
      <c r="I301">
        <f t="shared" si="14"/>
        <v>1</v>
      </c>
      <c r="J301">
        <f>IF(Table1[[#This Row],[Active_months]]&gt;=1, 1, 0)</f>
        <v>1</v>
      </c>
    </row>
    <row r="302" spans="1:10" x14ac:dyDescent="0.3">
      <c r="A302">
        <v>158093021</v>
      </c>
      <c r="B302" s="1">
        <v>44850</v>
      </c>
      <c r="C302" s="1">
        <v>44922</v>
      </c>
      <c r="D302">
        <v>39</v>
      </c>
      <c r="E302" t="s">
        <v>6</v>
      </c>
      <c r="F302" t="s">
        <v>7</v>
      </c>
      <c r="G302" s="1">
        <f t="shared" si="12"/>
        <v>44922</v>
      </c>
      <c r="H302">
        <f t="shared" si="13"/>
        <v>2</v>
      </c>
      <c r="I302">
        <f t="shared" si="14"/>
        <v>0</v>
      </c>
      <c r="J302">
        <f>IF(Table1[[#This Row],[Active_months]]&gt;=1, 1, 0)</f>
        <v>1</v>
      </c>
    </row>
    <row r="303" spans="1:10" x14ac:dyDescent="0.3">
      <c r="A303">
        <v>157900412</v>
      </c>
      <c r="B303" s="1">
        <v>44850</v>
      </c>
      <c r="C303" s="1">
        <v>44874</v>
      </c>
      <c r="D303">
        <v>39</v>
      </c>
      <c r="E303" t="s">
        <v>6</v>
      </c>
      <c r="F303" t="s">
        <v>7</v>
      </c>
      <c r="G303" s="1">
        <f t="shared" si="12"/>
        <v>44874</v>
      </c>
      <c r="H303">
        <f t="shared" si="13"/>
        <v>1</v>
      </c>
      <c r="I303">
        <f t="shared" si="14"/>
        <v>0</v>
      </c>
      <c r="J303">
        <f>IF(Table1[[#This Row],[Active_months]]&gt;=1, 1, 0)</f>
        <v>1</v>
      </c>
    </row>
    <row r="304" spans="1:10" x14ac:dyDescent="0.3">
      <c r="A304">
        <v>152892719</v>
      </c>
      <c r="B304" s="1">
        <v>44850</v>
      </c>
      <c r="C304" s="1">
        <v>44850</v>
      </c>
      <c r="D304">
        <v>39</v>
      </c>
      <c r="E304" t="s">
        <v>6</v>
      </c>
      <c r="F304" t="s">
        <v>7</v>
      </c>
      <c r="G304" s="1">
        <f t="shared" si="12"/>
        <v>44850</v>
      </c>
      <c r="H304">
        <f t="shared" si="13"/>
        <v>0</v>
      </c>
      <c r="I304">
        <f t="shared" si="14"/>
        <v>0</v>
      </c>
      <c r="J304">
        <f>IF(Table1[[#This Row],[Active_months]]&gt;=1, 1, 0)</f>
        <v>0</v>
      </c>
    </row>
    <row r="305" spans="1:10" x14ac:dyDescent="0.3">
      <c r="A305">
        <v>158009130</v>
      </c>
      <c r="B305" s="1">
        <v>44851</v>
      </c>
      <c r="D305">
        <v>39</v>
      </c>
      <c r="E305" t="s">
        <v>6</v>
      </c>
      <c r="F305" t="s">
        <v>7</v>
      </c>
      <c r="G305" s="1">
        <f t="shared" si="12"/>
        <v>45199</v>
      </c>
      <c r="H305">
        <f t="shared" si="13"/>
        <v>11</v>
      </c>
      <c r="I305">
        <f t="shared" si="14"/>
        <v>1</v>
      </c>
      <c r="J305">
        <f>IF(Table1[[#This Row],[Active_months]]&gt;=1, 1, 0)</f>
        <v>1</v>
      </c>
    </row>
    <row r="306" spans="1:10" x14ac:dyDescent="0.3">
      <c r="A306">
        <v>157904656</v>
      </c>
      <c r="B306" s="1">
        <v>44851</v>
      </c>
      <c r="C306" s="1">
        <v>44910</v>
      </c>
      <c r="D306">
        <v>39</v>
      </c>
      <c r="E306" t="s">
        <v>6</v>
      </c>
      <c r="F306" t="s">
        <v>7</v>
      </c>
      <c r="G306" s="1">
        <f t="shared" si="12"/>
        <v>44910</v>
      </c>
      <c r="H306">
        <f t="shared" si="13"/>
        <v>2</v>
      </c>
      <c r="I306">
        <f t="shared" si="14"/>
        <v>0</v>
      </c>
      <c r="J306">
        <f>IF(Table1[[#This Row],[Active_months]]&gt;=1, 1, 0)</f>
        <v>1</v>
      </c>
    </row>
    <row r="307" spans="1:10" x14ac:dyDescent="0.3">
      <c r="A307">
        <v>157838980</v>
      </c>
      <c r="B307" s="1">
        <v>44851</v>
      </c>
      <c r="C307" s="1">
        <v>44973</v>
      </c>
      <c r="D307">
        <v>39</v>
      </c>
      <c r="E307" t="s">
        <v>6</v>
      </c>
      <c r="F307" t="s">
        <v>7</v>
      </c>
      <c r="G307" s="1">
        <f t="shared" si="12"/>
        <v>44973</v>
      </c>
      <c r="H307">
        <f t="shared" si="13"/>
        <v>4</v>
      </c>
      <c r="I307">
        <f t="shared" si="14"/>
        <v>0</v>
      </c>
      <c r="J307">
        <f>IF(Table1[[#This Row],[Active_months]]&gt;=1, 1, 0)</f>
        <v>1</v>
      </c>
    </row>
    <row r="308" spans="1:10" x14ac:dyDescent="0.3">
      <c r="A308">
        <v>123402996</v>
      </c>
      <c r="B308" s="1">
        <v>44851</v>
      </c>
      <c r="C308" s="1">
        <v>44930</v>
      </c>
      <c r="D308">
        <v>39</v>
      </c>
      <c r="E308" t="s">
        <v>6</v>
      </c>
      <c r="F308" t="s">
        <v>7</v>
      </c>
      <c r="G308" s="1">
        <f t="shared" si="12"/>
        <v>44930</v>
      </c>
      <c r="H308">
        <f t="shared" si="13"/>
        <v>3</v>
      </c>
      <c r="I308">
        <f t="shared" si="14"/>
        <v>0</v>
      </c>
      <c r="J308">
        <f>IF(Table1[[#This Row],[Active_months]]&gt;=1, 1, 0)</f>
        <v>1</v>
      </c>
    </row>
    <row r="309" spans="1:10" x14ac:dyDescent="0.3">
      <c r="A309">
        <v>158112356</v>
      </c>
      <c r="B309" s="1">
        <v>44851</v>
      </c>
      <c r="C309" s="1">
        <v>44925</v>
      </c>
      <c r="D309">
        <v>39</v>
      </c>
      <c r="E309" t="s">
        <v>6</v>
      </c>
      <c r="F309" t="s">
        <v>7</v>
      </c>
      <c r="G309" s="1">
        <f t="shared" si="12"/>
        <v>44925</v>
      </c>
      <c r="H309">
        <f t="shared" si="13"/>
        <v>2</v>
      </c>
      <c r="I309">
        <f t="shared" si="14"/>
        <v>0</v>
      </c>
      <c r="J309">
        <f>IF(Table1[[#This Row],[Active_months]]&gt;=1, 1, 0)</f>
        <v>1</v>
      </c>
    </row>
    <row r="310" spans="1:10" x14ac:dyDescent="0.3">
      <c r="A310">
        <v>152410420</v>
      </c>
      <c r="B310" s="1">
        <v>44851</v>
      </c>
      <c r="C310" s="1">
        <v>44883</v>
      </c>
      <c r="D310">
        <v>39</v>
      </c>
      <c r="E310" t="s">
        <v>6</v>
      </c>
      <c r="F310" t="s">
        <v>7</v>
      </c>
      <c r="G310" s="1">
        <f t="shared" si="12"/>
        <v>44883</v>
      </c>
      <c r="H310">
        <f t="shared" si="13"/>
        <v>1</v>
      </c>
      <c r="I310">
        <f t="shared" si="14"/>
        <v>0</v>
      </c>
      <c r="J310">
        <f>IF(Table1[[#This Row],[Active_months]]&gt;=1, 1, 0)</f>
        <v>1</v>
      </c>
    </row>
    <row r="311" spans="1:10" x14ac:dyDescent="0.3">
      <c r="A311">
        <v>158164441</v>
      </c>
      <c r="B311" s="1">
        <v>44851</v>
      </c>
      <c r="C311" s="1">
        <v>44882</v>
      </c>
      <c r="D311">
        <v>39</v>
      </c>
      <c r="E311" t="s">
        <v>6</v>
      </c>
      <c r="F311" t="s">
        <v>7</v>
      </c>
      <c r="G311" s="1">
        <f t="shared" si="12"/>
        <v>44882</v>
      </c>
      <c r="H311">
        <f t="shared" si="13"/>
        <v>1</v>
      </c>
      <c r="I311">
        <f t="shared" si="14"/>
        <v>0</v>
      </c>
      <c r="J311">
        <f>IF(Table1[[#This Row],[Active_months]]&gt;=1, 1, 0)</f>
        <v>1</v>
      </c>
    </row>
    <row r="312" spans="1:10" x14ac:dyDescent="0.3">
      <c r="A312">
        <v>153956466</v>
      </c>
      <c r="B312" s="1">
        <v>44851</v>
      </c>
      <c r="C312" s="1">
        <v>44882</v>
      </c>
      <c r="D312">
        <v>39</v>
      </c>
      <c r="E312" t="s">
        <v>6</v>
      </c>
      <c r="F312" t="s">
        <v>7</v>
      </c>
      <c r="G312" s="1">
        <f t="shared" si="12"/>
        <v>44882</v>
      </c>
      <c r="H312">
        <f t="shared" si="13"/>
        <v>1</v>
      </c>
      <c r="I312">
        <f t="shared" si="14"/>
        <v>0</v>
      </c>
      <c r="J312">
        <f>IF(Table1[[#This Row],[Active_months]]&gt;=1, 1, 0)</f>
        <v>1</v>
      </c>
    </row>
    <row r="313" spans="1:10" x14ac:dyDescent="0.3">
      <c r="A313">
        <v>158100990</v>
      </c>
      <c r="B313" s="1">
        <v>44851</v>
      </c>
      <c r="C313" s="1">
        <v>44879</v>
      </c>
      <c r="D313">
        <v>39</v>
      </c>
      <c r="E313" t="s">
        <v>6</v>
      </c>
      <c r="F313" t="s">
        <v>7</v>
      </c>
      <c r="G313" s="1">
        <f t="shared" si="12"/>
        <v>44879</v>
      </c>
      <c r="H313">
        <f t="shared" si="13"/>
        <v>1</v>
      </c>
      <c r="I313">
        <f t="shared" si="14"/>
        <v>0</v>
      </c>
      <c r="J313">
        <f>IF(Table1[[#This Row],[Active_months]]&gt;=1, 1, 0)</f>
        <v>1</v>
      </c>
    </row>
    <row r="314" spans="1:10" x14ac:dyDescent="0.3">
      <c r="A314">
        <v>158096894</v>
      </c>
      <c r="B314" s="1">
        <v>44851</v>
      </c>
      <c r="C314" s="1">
        <v>44879</v>
      </c>
      <c r="D314">
        <v>39</v>
      </c>
      <c r="E314" t="s">
        <v>6</v>
      </c>
      <c r="F314" t="s">
        <v>7</v>
      </c>
      <c r="G314" s="1">
        <f t="shared" si="12"/>
        <v>44879</v>
      </c>
      <c r="H314">
        <f t="shared" si="13"/>
        <v>1</v>
      </c>
      <c r="I314">
        <f t="shared" si="14"/>
        <v>0</v>
      </c>
      <c r="J314">
        <f>IF(Table1[[#This Row],[Active_months]]&gt;=1, 1, 0)</f>
        <v>1</v>
      </c>
    </row>
    <row r="315" spans="1:10" x14ac:dyDescent="0.3">
      <c r="A315">
        <v>158066376</v>
      </c>
      <c r="B315" s="1">
        <v>44851</v>
      </c>
      <c r="C315" s="1">
        <v>44873</v>
      </c>
      <c r="D315">
        <v>39</v>
      </c>
      <c r="E315" t="s">
        <v>6</v>
      </c>
      <c r="F315" t="s">
        <v>7</v>
      </c>
      <c r="G315" s="1">
        <f t="shared" si="12"/>
        <v>44873</v>
      </c>
      <c r="H315">
        <f t="shared" si="13"/>
        <v>1</v>
      </c>
      <c r="I315">
        <f t="shared" si="14"/>
        <v>0</v>
      </c>
      <c r="J315">
        <f>IF(Table1[[#This Row],[Active_months]]&gt;=1, 1, 0)</f>
        <v>1</v>
      </c>
    </row>
    <row r="316" spans="1:10" x14ac:dyDescent="0.3">
      <c r="A316">
        <v>158220808</v>
      </c>
      <c r="B316" s="1">
        <v>44852</v>
      </c>
      <c r="D316">
        <v>39</v>
      </c>
      <c r="E316" t="s">
        <v>6</v>
      </c>
      <c r="F316" t="s">
        <v>8</v>
      </c>
      <c r="G316" s="1">
        <f t="shared" si="12"/>
        <v>45199</v>
      </c>
      <c r="H316">
        <f t="shared" si="13"/>
        <v>11</v>
      </c>
      <c r="I316">
        <f t="shared" si="14"/>
        <v>1</v>
      </c>
      <c r="J316">
        <f>IF(Table1[[#This Row],[Active_months]]&gt;=1, 1, 0)</f>
        <v>1</v>
      </c>
    </row>
    <row r="317" spans="1:10" x14ac:dyDescent="0.3">
      <c r="A317">
        <v>131779624</v>
      </c>
      <c r="B317" s="1">
        <v>44852</v>
      </c>
      <c r="C317" s="1">
        <v>44890</v>
      </c>
      <c r="D317">
        <v>39</v>
      </c>
      <c r="E317" t="s">
        <v>6</v>
      </c>
      <c r="F317" t="s">
        <v>7</v>
      </c>
      <c r="G317" s="1">
        <f t="shared" si="12"/>
        <v>44890</v>
      </c>
      <c r="H317">
        <f t="shared" si="13"/>
        <v>1</v>
      </c>
      <c r="I317">
        <f t="shared" si="14"/>
        <v>0</v>
      </c>
      <c r="J317">
        <f>IF(Table1[[#This Row],[Active_months]]&gt;=1, 1, 0)</f>
        <v>1</v>
      </c>
    </row>
    <row r="318" spans="1:10" x14ac:dyDescent="0.3">
      <c r="A318">
        <v>158267390</v>
      </c>
      <c r="B318" s="1">
        <v>44852</v>
      </c>
      <c r="C318" s="1">
        <v>44920</v>
      </c>
      <c r="D318">
        <v>39</v>
      </c>
      <c r="E318" t="s">
        <v>6</v>
      </c>
      <c r="F318" t="s">
        <v>7</v>
      </c>
      <c r="G318" s="1">
        <f t="shared" si="12"/>
        <v>44920</v>
      </c>
      <c r="H318">
        <f t="shared" si="13"/>
        <v>2</v>
      </c>
      <c r="I318">
        <f t="shared" si="14"/>
        <v>0</v>
      </c>
      <c r="J318">
        <f>IF(Table1[[#This Row],[Active_months]]&gt;=1, 1, 0)</f>
        <v>1</v>
      </c>
    </row>
    <row r="319" spans="1:10" x14ac:dyDescent="0.3">
      <c r="A319">
        <v>152354478</v>
      </c>
      <c r="B319" s="1">
        <v>44852</v>
      </c>
      <c r="C319" s="1">
        <v>44959</v>
      </c>
      <c r="D319">
        <v>39</v>
      </c>
      <c r="E319" t="s">
        <v>6</v>
      </c>
      <c r="F319" t="s">
        <v>7</v>
      </c>
      <c r="G319" s="1">
        <f t="shared" si="12"/>
        <v>44959</v>
      </c>
      <c r="H319">
        <f t="shared" si="13"/>
        <v>4</v>
      </c>
      <c r="I319">
        <f t="shared" si="14"/>
        <v>0</v>
      </c>
      <c r="J319">
        <f>IF(Table1[[#This Row],[Active_months]]&gt;=1, 1, 0)</f>
        <v>1</v>
      </c>
    </row>
    <row r="320" spans="1:10" x14ac:dyDescent="0.3">
      <c r="A320">
        <v>146376235</v>
      </c>
      <c r="B320" s="1">
        <v>44852</v>
      </c>
      <c r="C320" s="1">
        <v>44902</v>
      </c>
      <c r="D320">
        <v>39</v>
      </c>
      <c r="E320" t="s">
        <v>6</v>
      </c>
      <c r="F320" t="s">
        <v>7</v>
      </c>
      <c r="G320" s="1">
        <f t="shared" si="12"/>
        <v>44902</v>
      </c>
      <c r="H320">
        <f t="shared" si="13"/>
        <v>2</v>
      </c>
      <c r="I320">
        <f t="shared" si="14"/>
        <v>0</v>
      </c>
      <c r="J320">
        <f>IF(Table1[[#This Row],[Active_months]]&gt;=1, 1, 0)</f>
        <v>1</v>
      </c>
    </row>
    <row r="321" spans="1:10" x14ac:dyDescent="0.3">
      <c r="A321">
        <v>153953296</v>
      </c>
      <c r="B321" s="1">
        <v>44852</v>
      </c>
      <c r="C321" s="1">
        <v>44867</v>
      </c>
      <c r="D321">
        <v>39</v>
      </c>
      <c r="E321" t="s">
        <v>6</v>
      </c>
      <c r="F321" t="s">
        <v>7</v>
      </c>
      <c r="G321" s="1">
        <f t="shared" si="12"/>
        <v>44867</v>
      </c>
      <c r="H321">
        <f t="shared" si="13"/>
        <v>1</v>
      </c>
      <c r="I321">
        <f t="shared" si="14"/>
        <v>0</v>
      </c>
      <c r="J321">
        <f>IF(Table1[[#This Row],[Active_months]]&gt;=1, 1, 0)</f>
        <v>1</v>
      </c>
    </row>
    <row r="322" spans="1:10" x14ac:dyDescent="0.3">
      <c r="A322">
        <v>154659594</v>
      </c>
      <c r="B322" s="1">
        <v>44852</v>
      </c>
      <c r="C322" s="1">
        <v>44879</v>
      </c>
      <c r="D322">
        <v>39</v>
      </c>
      <c r="E322" t="s">
        <v>6</v>
      </c>
      <c r="F322" t="s">
        <v>7</v>
      </c>
      <c r="G322" s="1">
        <f t="shared" si="12"/>
        <v>44879</v>
      </c>
      <c r="H322">
        <f t="shared" si="13"/>
        <v>1</v>
      </c>
      <c r="I322">
        <f t="shared" si="14"/>
        <v>0</v>
      </c>
      <c r="J322">
        <f>IF(Table1[[#This Row],[Active_months]]&gt;=1, 1, 0)</f>
        <v>1</v>
      </c>
    </row>
    <row r="323" spans="1:10" x14ac:dyDescent="0.3">
      <c r="A323">
        <v>157998778</v>
      </c>
      <c r="B323" s="1">
        <v>44852</v>
      </c>
      <c r="C323" s="1">
        <v>44890</v>
      </c>
      <c r="D323">
        <v>39</v>
      </c>
      <c r="E323" t="s">
        <v>6</v>
      </c>
      <c r="F323" t="s">
        <v>7</v>
      </c>
      <c r="G323" s="1">
        <f t="shared" ref="G323:G386" si="15">IF(ISBLANK(C323), DATE(2023,9,30), C323)</f>
        <v>44890</v>
      </c>
      <c r="H323">
        <f t="shared" ref="H323:H386" si="16">(YEAR(G323)-YEAR(B323))*12 + (MONTH(G323)-MONTH(B323))</f>
        <v>1</v>
      </c>
      <c r="I323">
        <f t="shared" ref="I323:I386" si="17">IF(H323 &gt;=5, 1, 0)</f>
        <v>0</v>
      </c>
      <c r="J323">
        <f>IF(Table1[[#This Row],[Active_months]]&gt;=1, 1, 0)</f>
        <v>1</v>
      </c>
    </row>
    <row r="324" spans="1:10" x14ac:dyDescent="0.3">
      <c r="A324">
        <v>150668840</v>
      </c>
      <c r="B324" s="1">
        <v>44852</v>
      </c>
      <c r="C324" s="1">
        <v>44866</v>
      </c>
      <c r="D324">
        <v>39</v>
      </c>
      <c r="E324" t="s">
        <v>6</v>
      </c>
      <c r="F324" t="s">
        <v>7</v>
      </c>
      <c r="G324" s="1">
        <f t="shared" si="15"/>
        <v>44866</v>
      </c>
      <c r="H324">
        <f t="shared" si="16"/>
        <v>1</v>
      </c>
      <c r="I324">
        <f t="shared" si="17"/>
        <v>0</v>
      </c>
      <c r="J324">
        <f>IF(Table1[[#This Row],[Active_months]]&gt;=1, 1, 0)</f>
        <v>1</v>
      </c>
    </row>
    <row r="325" spans="1:10" x14ac:dyDescent="0.3">
      <c r="A325">
        <v>158184958</v>
      </c>
      <c r="B325" s="1">
        <v>44852</v>
      </c>
      <c r="C325" s="1">
        <v>44867</v>
      </c>
      <c r="D325">
        <v>39</v>
      </c>
      <c r="E325" t="s">
        <v>6</v>
      </c>
      <c r="F325" t="s">
        <v>7</v>
      </c>
      <c r="G325" s="1">
        <f t="shared" si="15"/>
        <v>44867</v>
      </c>
      <c r="H325">
        <f t="shared" si="16"/>
        <v>1</v>
      </c>
      <c r="I325">
        <f t="shared" si="17"/>
        <v>0</v>
      </c>
      <c r="J325">
        <f>IF(Table1[[#This Row],[Active_months]]&gt;=1, 1, 0)</f>
        <v>1</v>
      </c>
    </row>
    <row r="326" spans="1:10" x14ac:dyDescent="0.3">
      <c r="A326">
        <v>158362440</v>
      </c>
      <c r="B326" s="1">
        <v>44853</v>
      </c>
      <c r="C326" s="1">
        <v>45065</v>
      </c>
      <c r="D326">
        <v>39</v>
      </c>
      <c r="E326" t="s">
        <v>6</v>
      </c>
      <c r="F326" t="s">
        <v>7</v>
      </c>
      <c r="G326" s="1">
        <f t="shared" si="15"/>
        <v>45065</v>
      </c>
      <c r="H326">
        <f t="shared" si="16"/>
        <v>7</v>
      </c>
      <c r="I326">
        <f t="shared" si="17"/>
        <v>1</v>
      </c>
      <c r="J326">
        <f>IF(Table1[[#This Row],[Active_months]]&gt;=1, 1, 0)</f>
        <v>1</v>
      </c>
    </row>
    <row r="327" spans="1:10" x14ac:dyDescent="0.3">
      <c r="A327">
        <v>158477370</v>
      </c>
      <c r="B327" s="1">
        <v>44853</v>
      </c>
      <c r="C327" s="1">
        <v>44978</v>
      </c>
      <c r="D327">
        <v>39</v>
      </c>
      <c r="E327" t="s">
        <v>6</v>
      </c>
      <c r="F327" t="s">
        <v>7</v>
      </c>
      <c r="G327" s="1">
        <f t="shared" si="15"/>
        <v>44978</v>
      </c>
      <c r="H327">
        <f t="shared" si="16"/>
        <v>4</v>
      </c>
      <c r="I327">
        <f t="shared" si="17"/>
        <v>0</v>
      </c>
      <c r="J327">
        <f>IF(Table1[[#This Row],[Active_months]]&gt;=1, 1, 0)</f>
        <v>1</v>
      </c>
    </row>
    <row r="328" spans="1:10" x14ac:dyDescent="0.3">
      <c r="A328">
        <v>158047538</v>
      </c>
      <c r="B328" s="1">
        <v>44853</v>
      </c>
      <c r="C328" s="1">
        <v>44948</v>
      </c>
      <c r="D328">
        <v>39</v>
      </c>
      <c r="E328" t="s">
        <v>6</v>
      </c>
      <c r="F328" t="s">
        <v>7</v>
      </c>
      <c r="G328" s="1">
        <f t="shared" si="15"/>
        <v>44948</v>
      </c>
      <c r="H328">
        <f t="shared" si="16"/>
        <v>3</v>
      </c>
      <c r="I328">
        <f t="shared" si="17"/>
        <v>0</v>
      </c>
      <c r="J328">
        <f>IF(Table1[[#This Row],[Active_months]]&gt;=1, 1, 0)</f>
        <v>1</v>
      </c>
    </row>
    <row r="329" spans="1:10" x14ac:dyDescent="0.3">
      <c r="A329">
        <v>157910445</v>
      </c>
      <c r="B329" s="1">
        <v>44853</v>
      </c>
      <c r="C329" s="1">
        <v>44941</v>
      </c>
      <c r="D329">
        <v>39</v>
      </c>
      <c r="E329" t="s">
        <v>6</v>
      </c>
      <c r="F329" t="s">
        <v>7</v>
      </c>
      <c r="G329" s="1">
        <f t="shared" si="15"/>
        <v>44941</v>
      </c>
      <c r="H329">
        <f t="shared" si="16"/>
        <v>3</v>
      </c>
      <c r="I329">
        <f t="shared" si="17"/>
        <v>0</v>
      </c>
      <c r="J329">
        <f>IF(Table1[[#This Row],[Active_months]]&gt;=1, 1, 0)</f>
        <v>1</v>
      </c>
    </row>
    <row r="330" spans="1:10" x14ac:dyDescent="0.3">
      <c r="A330">
        <v>154091460</v>
      </c>
      <c r="B330" s="1">
        <v>44853</v>
      </c>
      <c r="C330" s="1">
        <v>45098</v>
      </c>
      <c r="D330">
        <v>39</v>
      </c>
      <c r="E330" t="s">
        <v>6</v>
      </c>
      <c r="F330" t="s">
        <v>7</v>
      </c>
      <c r="G330" s="1">
        <f t="shared" si="15"/>
        <v>45098</v>
      </c>
      <c r="H330">
        <f t="shared" si="16"/>
        <v>8</v>
      </c>
      <c r="I330">
        <f t="shared" si="17"/>
        <v>1</v>
      </c>
      <c r="J330">
        <f>IF(Table1[[#This Row],[Active_months]]&gt;=1, 1, 0)</f>
        <v>1</v>
      </c>
    </row>
    <row r="331" spans="1:10" x14ac:dyDescent="0.3">
      <c r="A331">
        <v>158532103</v>
      </c>
      <c r="B331" s="1">
        <v>44854</v>
      </c>
      <c r="C331" s="1">
        <v>45059</v>
      </c>
      <c r="D331">
        <v>39</v>
      </c>
      <c r="E331" t="s">
        <v>6</v>
      </c>
      <c r="F331" t="s">
        <v>7</v>
      </c>
      <c r="G331" s="1">
        <f t="shared" si="15"/>
        <v>45059</v>
      </c>
      <c r="H331">
        <f t="shared" si="16"/>
        <v>7</v>
      </c>
      <c r="I331">
        <f t="shared" si="17"/>
        <v>1</v>
      </c>
      <c r="J331">
        <f>IF(Table1[[#This Row],[Active_months]]&gt;=1, 1, 0)</f>
        <v>1</v>
      </c>
    </row>
    <row r="332" spans="1:10" x14ac:dyDescent="0.3">
      <c r="A332">
        <v>158591698</v>
      </c>
      <c r="B332" s="1">
        <v>44854</v>
      </c>
      <c r="C332" s="1">
        <v>45002</v>
      </c>
      <c r="D332">
        <v>39</v>
      </c>
      <c r="E332" t="s">
        <v>6</v>
      </c>
      <c r="F332" t="s">
        <v>7</v>
      </c>
      <c r="G332" s="1">
        <f t="shared" si="15"/>
        <v>45002</v>
      </c>
      <c r="H332">
        <f t="shared" si="16"/>
        <v>5</v>
      </c>
      <c r="I332">
        <f t="shared" si="17"/>
        <v>1</v>
      </c>
      <c r="J332">
        <f>IF(Table1[[#This Row],[Active_months]]&gt;=1, 1, 0)</f>
        <v>1</v>
      </c>
    </row>
    <row r="333" spans="1:10" x14ac:dyDescent="0.3">
      <c r="A333">
        <v>158533909</v>
      </c>
      <c r="B333" s="1">
        <v>44854</v>
      </c>
      <c r="C333" s="1">
        <v>44953</v>
      </c>
      <c r="D333">
        <v>39</v>
      </c>
      <c r="E333" t="s">
        <v>6</v>
      </c>
      <c r="F333" t="s">
        <v>7</v>
      </c>
      <c r="G333" s="1">
        <f t="shared" si="15"/>
        <v>44953</v>
      </c>
      <c r="H333">
        <f t="shared" si="16"/>
        <v>3</v>
      </c>
      <c r="I333">
        <f t="shared" si="17"/>
        <v>0</v>
      </c>
      <c r="J333">
        <f>IF(Table1[[#This Row],[Active_months]]&gt;=1, 1, 0)</f>
        <v>1</v>
      </c>
    </row>
    <row r="334" spans="1:10" x14ac:dyDescent="0.3">
      <c r="A334">
        <v>156372496</v>
      </c>
      <c r="B334" s="1">
        <v>44854</v>
      </c>
      <c r="C334" s="1">
        <v>44910</v>
      </c>
      <c r="D334">
        <v>39</v>
      </c>
      <c r="E334" t="s">
        <v>6</v>
      </c>
      <c r="F334" t="s">
        <v>7</v>
      </c>
      <c r="G334" s="1">
        <f t="shared" si="15"/>
        <v>44910</v>
      </c>
      <c r="H334">
        <f t="shared" si="16"/>
        <v>2</v>
      </c>
      <c r="I334">
        <f t="shared" si="17"/>
        <v>0</v>
      </c>
      <c r="J334">
        <f>IF(Table1[[#This Row],[Active_months]]&gt;=1, 1, 0)</f>
        <v>1</v>
      </c>
    </row>
    <row r="335" spans="1:10" x14ac:dyDescent="0.3">
      <c r="A335">
        <v>158620475</v>
      </c>
      <c r="B335" s="1">
        <v>44854</v>
      </c>
      <c r="C335" s="1">
        <v>45135</v>
      </c>
      <c r="D335">
        <v>39</v>
      </c>
      <c r="E335" t="s">
        <v>6</v>
      </c>
      <c r="F335" t="s">
        <v>7</v>
      </c>
      <c r="G335" s="1">
        <f t="shared" si="15"/>
        <v>45135</v>
      </c>
      <c r="H335">
        <f t="shared" si="16"/>
        <v>9</v>
      </c>
      <c r="I335">
        <f t="shared" si="17"/>
        <v>1</v>
      </c>
      <c r="J335">
        <f>IF(Table1[[#This Row],[Active_months]]&gt;=1, 1, 0)</f>
        <v>1</v>
      </c>
    </row>
    <row r="336" spans="1:10" x14ac:dyDescent="0.3">
      <c r="A336">
        <v>158539824</v>
      </c>
      <c r="B336" s="1">
        <v>44854</v>
      </c>
      <c r="C336" s="1">
        <v>45097</v>
      </c>
      <c r="D336">
        <v>39</v>
      </c>
      <c r="E336" t="s">
        <v>6</v>
      </c>
      <c r="F336" t="s">
        <v>7</v>
      </c>
      <c r="G336" s="1">
        <f t="shared" si="15"/>
        <v>45097</v>
      </c>
      <c r="H336">
        <f t="shared" si="16"/>
        <v>8</v>
      </c>
      <c r="I336">
        <f t="shared" si="17"/>
        <v>1</v>
      </c>
      <c r="J336">
        <f>IF(Table1[[#This Row],[Active_months]]&gt;=1, 1, 0)</f>
        <v>1</v>
      </c>
    </row>
    <row r="337" spans="1:10" x14ac:dyDescent="0.3">
      <c r="A337">
        <v>158499042</v>
      </c>
      <c r="B337" s="1">
        <v>44855</v>
      </c>
      <c r="D337">
        <v>39</v>
      </c>
      <c r="E337" t="s">
        <v>6</v>
      </c>
      <c r="F337" t="s">
        <v>7</v>
      </c>
      <c r="G337" s="1">
        <f t="shared" si="15"/>
        <v>45199</v>
      </c>
      <c r="H337">
        <f t="shared" si="16"/>
        <v>11</v>
      </c>
      <c r="I337">
        <f t="shared" si="17"/>
        <v>1</v>
      </c>
      <c r="J337">
        <f>IF(Table1[[#This Row],[Active_months]]&gt;=1, 1, 0)</f>
        <v>1</v>
      </c>
    </row>
    <row r="338" spans="1:10" x14ac:dyDescent="0.3">
      <c r="A338">
        <v>158755464</v>
      </c>
      <c r="B338" s="1">
        <v>44855</v>
      </c>
      <c r="C338" s="1">
        <v>44893</v>
      </c>
      <c r="D338">
        <v>39</v>
      </c>
      <c r="E338" t="s">
        <v>6</v>
      </c>
      <c r="F338" t="s">
        <v>7</v>
      </c>
      <c r="G338" s="1">
        <f t="shared" si="15"/>
        <v>44893</v>
      </c>
      <c r="H338">
        <f t="shared" si="16"/>
        <v>1</v>
      </c>
      <c r="I338">
        <f t="shared" si="17"/>
        <v>0</v>
      </c>
      <c r="J338">
        <f>IF(Table1[[#This Row],[Active_months]]&gt;=1, 1, 0)</f>
        <v>1</v>
      </c>
    </row>
    <row r="339" spans="1:10" x14ac:dyDescent="0.3">
      <c r="A339">
        <v>149112756</v>
      </c>
      <c r="B339" s="1">
        <v>44855</v>
      </c>
      <c r="C339" s="1">
        <v>45074</v>
      </c>
      <c r="D339">
        <v>39</v>
      </c>
      <c r="E339" t="s">
        <v>6</v>
      </c>
      <c r="F339" t="s">
        <v>7</v>
      </c>
      <c r="G339" s="1">
        <f t="shared" si="15"/>
        <v>45074</v>
      </c>
      <c r="H339">
        <f t="shared" si="16"/>
        <v>7</v>
      </c>
      <c r="I339">
        <f t="shared" si="17"/>
        <v>1</v>
      </c>
      <c r="J339">
        <f>IF(Table1[[#This Row],[Active_months]]&gt;=1, 1, 0)</f>
        <v>1</v>
      </c>
    </row>
    <row r="340" spans="1:10" x14ac:dyDescent="0.3">
      <c r="A340">
        <v>149065622</v>
      </c>
      <c r="B340" s="1">
        <v>44855</v>
      </c>
      <c r="C340" s="1">
        <v>44923</v>
      </c>
      <c r="D340">
        <v>39</v>
      </c>
      <c r="E340" t="s">
        <v>6</v>
      </c>
      <c r="F340" t="s">
        <v>7</v>
      </c>
      <c r="G340" s="1">
        <f t="shared" si="15"/>
        <v>44923</v>
      </c>
      <c r="H340">
        <f t="shared" si="16"/>
        <v>2</v>
      </c>
      <c r="I340">
        <f t="shared" si="17"/>
        <v>0</v>
      </c>
      <c r="J340">
        <f>IF(Table1[[#This Row],[Active_months]]&gt;=1, 1, 0)</f>
        <v>1</v>
      </c>
    </row>
    <row r="341" spans="1:10" x14ac:dyDescent="0.3">
      <c r="A341">
        <v>158656065</v>
      </c>
      <c r="B341" s="1">
        <v>44855</v>
      </c>
      <c r="C341" s="1">
        <v>44925</v>
      </c>
      <c r="D341">
        <v>39</v>
      </c>
      <c r="E341" t="s">
        <v>6</v>
      </c>
      <c r="F341" t="s">
        <v>7</v>
      </c>
      <c r="G341" s="1">
        <f t="shared" si="15"/>
        <v>44925</v>
      </c>
      <c r="H341">
        <f t="shared" si="16"/>
        <v>2</v>
      </c>
      <c r="I341">
        <f t="shared" si="17"/>
        <v>0</v>
      </c>
      <c r="J341">
        <f>IF(Table1[[#This Row],[Active_months]]&gt;=1, 1, 0)</f>
        <v>1</v>
      </c>
    </row>
    <row r="342" spans="1:10" x14ac:dyDescent="0.3">
      <c r="A342">
        <v>158756090</v>
      </c>
      <c r="B342" s="1">
        <v>44855</v>
      </c>
      <c r="C342" s="1">
        <v>44867</v>
      </c>
      <c r="D342">
        <v>39</v>
      </c>
      <c r="E342" t="s">
        <v>6</v>
      </c>
      <c r="F342" t="s">
        <v>7</v>
      </c>
      <c r="G342" s="1">
        <f t="shared" si="15"/>
        <v>44867</v>
      </c>
      <c r="H342">
        <f t="shared" si="16"/>
        <v>1</v>
      </c>
      <c r="I342">
        <f t="shared" si="17"/>
        <v>0</v>
      </c>
      <c r="J342">
        <f>IF(Table1[[#This Row],[Active_months]]&gt;=1, 1, 0)</f>
        <v>1</v>
      </c>
    </row>
    <row r="343" spans="1:10" x14ac:dyDescent="0.3">
      <c r="A343">
        <v>158447710</v>
      </c>
      <c r="B343" s="1">
        <v>44855</v>
      </c>
      <c r="C343" s="1">
        <v>44883</v>
      </c>
      <c r="D343">
        <v>39</v>
      </c>
      <c r="E343" t="s">
        <v>6</v>
      </c>
      <c r="F343" t="s">
        <v>7</v>
      </c>
      <c r="G343" s="1">
        <f t="shared" si="15"/>
        <v>44883</v>
      </c>
      <c r="H343">
        <f t="shared" si="16"/>
        <v>1</v>
      </c>
      <c r="I343">
        <f t="shared" si="17"/>
        <v>0</v>
      </c>
      <c r="J343">
        <f>IF(Table1[[#This Row],[Active_months]]&gt;=1, 1, 0)</f>
        <v>1</v>
      </c>
    </row>
    <row r="344" spans="1:10" x14ac:dyDescent="0.3">
      <c r="A344">
        <v>157568391</v>
      </c>
      <c r="B344" s="1">
        <v>44855</v>
      </c>
      <c r="C344" s="1">
        <v>44886</v>
      </c>
      <c r="D344">
        <v>39</v>
      </c>
      <c r="E344" t="s">
        <v>6</v>
      </c>
      <c r="F344" t="s">
        <v>7</v>
      </c>
      <c r="G344" s="1">
        <f t="shared" si="15"/>
        <v>44886</v>
      </c>
      <c r="H344">
        <f t="shared" si="16"/>
        <v>1</v>
      </c>
      <c r="I344">
        <f t="shared" si="17"/>
        <v>0</v>
      </c>
      <c r="J344">
        <f>IF(Table1[[#This Row],[Active_months]]&gt;=1, 1, 0)</f>
        <v>1</v>
      </c>
    </row>
    <row r="345" spans="1:10" x14ac:dyDescent="0.3">
      <c r="A345">
        <v>157505106</v>
      </c>
      <c r="B345" s="1">
        <v>44856</v>
      </c>
      <c r="D345">
        <v>39</v>
      </c>
      <c r="E345" t="s">
        <v>6</v>
      </c>
      <c r="F345" t="s">
        <v>7</v>
      </c>
      <c r="G345" s="1">
        <f t="shared" si="15"/>
        <v>45199</v>
      </c>
      <c r="H345">
        <f t="shared" si="16"/>
        <v>11</v>
      </c>
      <c r="I345">
        <f t="shared" si="17"/>
        <v>1</v>
      </c>
      <c r="J345">
        <f>IF(Table1[[#This Row],[Active_months]]&gt;=1, 1, 0)</f>
        <v>1</v>
      </c>
    </row>
    <row r="346" spans="1:10" x14ac:dyDescent="0.3">
      <c r="A346">
        <v>158761363</v>
      </c>
      <c r="B346" s="1">
        <v>44856</v>
      </c>
      <c r="C346" s="1">
        <v>44983</v>
      </c>
      <c r="D346">
        <v>39</v>
      </c>
      <c r="E346" t="s">
        <v>6</v>
      </c>
      <c r="F346" t="s">
        <v>7</v>
      </c>
      <c r="G346" s="1">
        <f t="shared" si="15"/>
        <v>44983</v>
      </c>
      <c r="H346">
        <f t="shared" si="16"/>
        <v>4</v>
      </c>
      <c r="I346">
        <f t="shared" si="17"/>
        <v>0</v>
      </c>
      <c r="J346">
        <f>IF(Table1[[#This Row],[Active_months]]&gt;=1, 1, 0)</f>
        <v>1</v>
      </c>
    </row>
    <row r="347" spans="1:10" x14ac:dyDescent="0.3">
      <c r="A347">
        <v>144858980</v>
      </c>
      <c r="B347" s="1">
        <v>44856</v>
      </c>
      <c r="C347" s="1">
        <v>44917</v>
      </c>
      <c r="D347">
        <v>39</v>
      </c>
      <c r="E347" t="s">
        <v>6</v>
      </c>
      <c r="F347" t="s">
        <v>7</v>
      </c>
      <c r="G347" s="1">
        <f t="shared" si="15"/>
        <v>44917</v>
      </c>
      <c r="H347">
        <f t="shared" si="16"/>
        <v>2</v>
      </c>
      <c r="I347">
        <f t="shared" si="17"/>
        <v>0</v>
      </c>
      <c r="J347">
        <f>IF(Table1[[#This Row],[Active_months]]&gt;=1, 1, 0)</f>
        <v>1</v>
      </c>
    </row>
    <row r="348" spans="1:10" x14ac:dyDescent="0.3">
      <c r="A348">
        <v>151000288</v>
      </c>
      <c r="B348" s="1">
        <v>44856</v>
      </c>
      <c r="C348" s="1">
        <v>44917</v>
      </c>
      <c r="D348">
        <v>39</v>
      </c>
      <c r="E348" t="s">
        <v>6</v>
      </c>
      <c r="F348" t="s">
        <v>7</v>
      </c>
      <c r="G348" s="1">
        <f t="shared" si="15"/>
        <v>44917</v>
      </c>
      <c r="H348">
        <f t="shared" si="16"/>
        <v>2</v>
      </c>
      <c r="I348">
        <f t="shared" si="17"/>
        <v>0</v>
      </c>
      <c r="J348">
        <f>IF(Table1[[#This Row],[Active_months]]&gt;=1, 1, 0)</f>
        <v>1</v>
      </c>
    </row>
    <row r="349" spans="1:10" x14ac:dyDescent="0.3">
      <c r="A349">
        <v>136276852</v>
      </c>
      <c r="B349" s="1">
        <v>44856</v>
      </c>
      <c r="C349" s="1">
        <v>44887</v>
      </c>
      <c r="D349">
        <v>39</v>
      </c>
      <c r="E349" t="s">
        <v>6</v>
      </c>
      <c r="F349" t="s">
        <v>7</v>
      </c>
      <c r="G349" s="1">
        <f t="shared" si="15"/>
        <v>44887</v>
      </c>
      <c r="H349">
        <f t="shared" si="16"/>
        <v>1</v>
      </c>
      <c r="I349">
        <f t="shared" si="17"/>
        <v>0</v>
      </c>
      <c r="J349">
        <f>IF(Table1[[#This Row],[Active_months]]&gt;=1, 1, 0)</f>
        <v>1</v>
      </c>
    </row>
    <row r="350" spans="1:10" x14ac:dyDescent="0.3">
      <c r="A350">
        <v>158767852</v>
      </c>
      <c r="B350" s="1">
        <v>44856</v>
      </c>
      <c r="C350" s="1">
        <v>44894</v>
      </c>
      <c r="D350">
        <v>39</v>
      </c>
      <c r="E350" t="s">
        <v>6</v>
      </c>
      <c r="F350" t="s">
        <v>7</v>
      </c>
      <c r="G350" s="1">
        <f t="shared" si="15"/>
        <v>44894</v>
      </c>
      <c r="H350">
        <f t="shared" si="16"/>
        <v>1</v>
      </c>
      <c r="I350">
        <f t="shared" si="17"/>
        <v>0</v>
      </c>
      <c r="J350">
        <f>IF(Table1[[#This Row],[Active_months]]&gt;=1, 1, 0)</f>
        <v>1</v>
      </c>
    </row>
    <row r="351" spans="1:10" x14ac:dyDescent="0.3">
      <c r="A351">
        <v>158849640</v>
      </c>
      <c r="B351" s="1">
        <v>44857</v>
      </c>
      <c r="D351">
        <v>39</v>
      </c>
      <c r="E351" t="s">
        <v>6</v>
      </c>
      <c r="F351" t="s">
        <v>7</v>
      </c>
      <c r="G351" s="1">
        <f t="shared" si="15"/>
        <v>45199</v>
      </c>
      <c r="H351">
        <f t="shared" si="16"/>
        <v>11</v>
      </c>
      <c r="I351">
        <f t="shared" si="17"/>
        <v>1</v>
      </c>
      <c r="J351">
        <f>IF(Table1[[#This Row],[Active_months]]&gt;=1, 1, 0)</f>
        <v>1</v>
      </c>
    </row>
    <row r="352" spans="1:10" x14ac:dyDescent="0.3">
      <c r="A352">
        <v>151491892</v>
      </c>
      <c r="B352" s="1">
        <v>44857</v>
      </c>
      <c r="C352" s="1">
        <v>44858</v>
      </c>
      <c r="D352">
        <v>39</v>
      </c>
      <c r="E352" t="s">
        <v>6</v>
      </c>
      <c r="F352" t="s">
        <v>7</v>
      </c>
      <c r="G352" s="1">
        <f t="shared" si="15"/>
        <v>44858</v>
      </c>
      <c r="H352">
        <f t="shared" si="16"/>
        <v>0</v>
      </c>
      <c r="I352">
        <f t="shared" si="17"/>
        <v>0</v>
      </c>
      <c r="J352">
        <f>IF(Table1[[#This Row],[Active_months]]&gt;=1, 1, 0)</f>
        <v>0</v>
      </c>
    </row>
    <row r="353" spans="1:10" x14ac:dyDescent="0.3">
      <c r="A353">
        <v>157474087</v>
      </c>
      <c r="B353" s="1">
        <v>44857</v>
      </c>
      <c r="C353" s="1">
        <v>44925</v>
      </c>
      <c r="D353">
        <v>39</v>
      </c>
      <c r="E353" t="s">
        <v>6</v>
      </c>
      <c r="F353" t="s">
        <v>7</v>
      </c>
      <c r="G353" s="1">
        <f t="shared" si="15"/>
        <v>44925</v>
      </c>
      <c r="H353">
        <f t="shared" si="16"/>
        <v>2</v>
      </c>
      <c r="I353">
        <f t="shared" si="17"/>
        <v>0</v>
      </c>
      <c r="J353">
        <f>IF(Table1[[#This Row],[Active_months]]&gt;=1, 1, 0)</f>
        <v>1</v>
      </c>
    </row>
    <row r="354" spans="1:10" x14ac:dyDescent="0.3">
      <c r="A354">
        <v>157997679</v>
      </c>
      <c r="B354" s="1">
        <v>44857</v>
      </c>
      <c r="C354" s="1">
        <v>45095</v>
      </c>
      <c r="D354">
        <v>39</v>
      </c>
      <c r="E354" t="s">
        <v>6</v>
      </c>
      <c r="F354" t="s">
        <v>7</v>
      </c>
      <c r="G354" s="1">
        <f t="shared" si="15"/>
        <v>45095</v>
      </c>
      <c r="H354">
        <f t="shared" si="16"/>
        <v>8</v>
      </c>
      <c r="I354">
        <f t="shared" si="17"/>
        <v>1</v>
      </c>
      <c r="J354">
        <f>IF(Table1[[#This Row],[Active_months]]&gt;=1, 1, 0)</f>
        <v>1</v>
      </c>
    </row>
    <row r="355" spans="1:10" x14ac:dyDescent="0.3">
      <c r="A355">
        <v>158566772</v>
      </c>
      <c r="B355" s="1">
        <v>44857</v>
      </c>
      <c r="C355" s="1">
        <v>44978</v>
      </c>
      <c r="D355">
        <v>39</v>
      </c>
      <c r="E355" t="s">
        <v>6</v>
      </c>
      <c r="F355" t="s">
        <v>7</v>
      </c>
      <c r="G355" s="1">
        <f t="shared" si="15"/>
        <v>44978</v>
      </c>
      <c r="H355">
        <f t="shared" si="16"/>
        <v>4</v>
      </c>
      <c r="I355">
        <f t="shared" si="17"/>
        <v>0</v>
      </c>
      <c r="J355">
        <f>IF(Table1[[#This Row],[Active_months]]&gt;=1, 1, 0)</f>
        <v>1</v>
      </c>
    </row>
    <row r="356" spans="1:10" x14ac:dyDescent="0.3">
      <c r="A356">
        <v>157788656</v>
      </c>
      <c r="B356" s="1">
        <v>44857</v>
      </c>
      <c r="C356" s="1">
        <v>44915</v>
      </c>
      <c r="D356">
        <v>39</v>
      </c>
      <c r="E356" t="s">
        <v>6</v>
      </c>
      <c r="F356" t="s">
        <v>7</v>
      </c>
      <c r="G356" s="1">
        <f t="shared" si="15"/>
        <v>44915</v>
      </c>
      <c r="H356">
        <f t="shared" si="16"/>
        <v>2</v>
      </c>
      <c r="I356">
        <f t="shared" si="17"/>
        <v>0</v>
      </c>
      <c r="J356">
        <f>IF(Table1[[#This Row],[Active_months]]&gt;=1, 1, 0)</f>
        <v>1</v>
      </c>
    </row>
    <row r="357" spans="1:10" x14ac:dyDescent="0.3">
      <c r="A357">
        <v>158832658</v>
      </c>
      <c r="B357" s="1">
        <v>44857</v>
      </c>
      <c r="C357" s="1">
        <v>44867</v>
      </c>
      <c r="D357">
        <v>39</v>
      </c>
      <c r="E357" t="s">
        <v>6</v>
      </c>
      <c r="F357" t="s">
        <v>7</v>
      </c>
      <c r="G357" s="1">
        <f t="shared" si="15"/>
        <v>44867</v>
      </c>
      <c r="H357">
        <f t="shared" si="16"/>
        <v>1</v>
      </c>
      <c r="I357">
        <f t="shared" si="17"/>
        <v>0</v>
      </c>
      <c r="J357">
        <f>IF(Table1[[#This Row],[Active_months]]&gt;=1, 1, 0)</f>
        <v>1</v>
      </c>
    </row>
    <row r="358" spans="1:10" x14ac:dyDescent="0.3">
      <c r="A358">
        <v>130837976</v>
      </c>
      <c r="B358" s="1">
        <v>44857</v>
      </c>
      <c r="C358" s="1">
        <v>44888</v>
      </c>
      <c r="D358">
        <v>39</v>
      </c>
      <c r="E358" t="s">
        <v>6</v>
      </c>
      <c r="F358" t="s">
        <v>7</v>
      </c>
      <c r="G358" s="1">
        <f t="shared" si="15"/>
        <v>44888</v>
      </c>
      <c r="H358">
        <f t="shared" si="16"/>
        <v>1</v>
      </c>
      <c r="I358">
        <f t="shared" si="17"/>
        <v>0</v>
      </c>
      <c r="J358">
        <f>IF(Table1[[#This Row],[Active_months]]&gt;=1, 1, 0)</f>
        <v>1</v>
      </c>
    </row>
    <row r="359" spans="1:10" x14ac:dyDescent="0.3">
      <c r="A359">
        <v>159095030</v>
      </c>
      <c r="B359" s="1">
        <v>44858</v>
      </c>
      <c r="C359" s="1">
        <v>44973</v>
      </c>
      <c r="D359">
        <v>39</v>
      </c>
      <c r="E359" t="s">
        <v>6</v>
      </c>
      <c r="F359" t="s">
        <v>7</v>
      </c>
      <c r="G359" s="1">
        <f t="shared" si="15"/>
        <v>44973</v>
      </c>
      <c r="H359">
        <f t="shared" si="16"/>
        <v>4</v>
      </c>
      <c r="I359">
        <f t="shared" si="17"/>
        <v>0</v>
      </c>
      <c r="J359">
        <f>IF(Table1[[#This Row],[Active_months]]&gt;=1, 1, 0)</f>
        <v>1</v>
      </c>
    </row>
    <row r="360" spans="1:10" x14ac:dyDescent="0.3">
      <c r="A360">
        <v>159028041</v>
      </c>
      <c r="B360" s="1">
        <v>44858</v>
      </c>
      <c r="C360" s="1">
        <v>44896</v>
      </c>
      <c r="D360">
        <v>39</v>
      </c>
      <c r="E360" t="s">
        <v>6</v>
      </c>
      <c r="F360" t="s">
        <v>7</v>
      </c>
      <c r="G360" s="1">
        <f t="shared" si="15"/>
        <v>44896</v>
      </c>
      <c r="H360">
        <f t="shared" si="16"/>
        <v>2</v>
      </c>
      <c r="I360">
        <f t="shared" si="17"/>
        <v>0</v>
      </c>
      <c r="J360">
        <f>IF(Table1[[#This Row],[Active_months]]&gt;=1, 1, 0)</f>
        <v>1</v>
      </c>
    </row>
    <row r="361" spans="1:10" x14ac:dyDescent="0.3">
      <c r="A361">
        <v>159018168</v>
      </c>
      <c r="B361" s="1">
        <v>44858</v>
      </c>
      <c r="C361" s="1">
        <v>44896</v>
      </c>
      <c r="D361">
        <v>39</v>
      </c>
      <c r="E361" t="s">
        <v>6</v>
      </c>
      <c r="F361" t="s">
        <v>7</v>
      </c>
      <c r="G361" s="1">
        <f t="shared" si="15"/>
        <v>44896</v>
      </c>
      <c r="H361">
        <f t="shared" si="16"/>
        <v>2</v>
      </c>
      <c r="I361">
        <f t="shared" si="17"/>
        <v>0</v>
      </c>
      <c r="J361">
        <f>IF(Table1[[#This Row],[Active_months]]&gt;=1, 1, 0)</f>
        <v>1</v>
      </c>
    </row>
    <row r="362" spans="1:10" x14ac:dyDescent="0.3">
      <c r="A362">
        <v>157981870</v>
      </c>
      <c r="B362" s="1">
        <v>44858</v>
      </c>
      <c r="C362" s="1">
        <v>44872</v>
      </c>
      <c r="D362">
        <v>39</v>
      </c>
      <c r="E362" t="s">
        <v>6</v>
      </c>
      <c r="F362" t="s">
        <v>7</v>
      </c>
      <c r="G362" s="1">
        <f t="shared" si="15"/>
        <v>44872</v>
      </c>
      <c r="H362">
        <f t="shared" si="16"/>
        <v>1</v>
      </c>
      <c r="I362">
        <f t="shared" si="17"/>
        <v>0</v>
      </c>
      <c r="J362">
        <f>IF(Table1[[#This Row],[Active_months]]&gt;=1, 1, 0)</f>
        <v>1</v>
      </c>
    </row>
    <row r="363" spans="1:10" x14ac:dyDescent="0.3">
      <c r="A363">
        <v>153061698</v>
      </c>
      <c r="B363" s="1">
        <v>44858</v>
      </c>
      <c r="C363" s="1">
        <v>44889</v>
      </c>
      <c r="D363">
        <v>39</v>
      </c>
      <c r="E363" t="s">
        <v>6</v>
      </c>
      <c r="F363" t="s">
        <v>7</v>
      </c>
      <c r="G363" s="1">
        <f t="shared" si="15"/>
        <v>44889</v>
      </c>
      <c r="H363">
        <f t="shared" si="16"/>
        <v>1</v>
      </c>
      <c r="I363">
        <f t="shared" si="17"/>
        <v>0</v>
      </c>
      <c r="J363">
        <f>IF(Table1[[#This Row],[Active_months]]&gt;=1, 1, 0)</f>
        <v>1</v>
      </c>
    </row>
    <row r="364" spans="1:10" x14ac:dyDescent="0.3">
      <c r="A364">
        <v>159204523</v>
      </c>
      <c r="B364" s="1">
        <v>44859</v>
      </c>
      <c r="D364">
        <v>39</v>
      </c>
      <c r="E364" t="s">
        <v>6</v>
      </c>
      <c r="F364" t="s">
        <v>7</v>
      </c>
      <c r="G364" s="1">
        <f t="shared" si="15"/>
        <v>45199</v>
      </c>
      <c r="H364">
        <f t="shared" si="16"/>
        <v>11</v>
      </c>
      <c r="I364">
        <f t="shared" si="17"/>
        <v>1</v>
      </c>
      <c r="J364">
        <f>IF(Table1[[#This Row],[Active_months]]&gt;=1, 1, 0)</f>
        <v>1</v>
      </c>
    </row>
    <row r="365" spans="1:10" x14ac:dyDescent="0.3">
      <c r="A365">
        <v>159236268</v>
      </c>
      <c r="B365" s="1">
        <v>44859</v>
      </c>
      <c r="D365">
        <v>39</v>
      </c>
      <c r="E365" t="s">
        <v>6</v>
      </c>
      <c r="F365" t="s">
        <v>8</v>
      </c>
      <c r="G365" s="1">
        <f t="shared" si="15"/>
        <v>45199</v>
      </c>
      <c r="H365">
        <f t="shared" si="16"/>
        <v>11</v>
      </c>
      <c r="I365">
        <f t="shared" si="17"/>
        <v>1</v>
      </c>
      <c r="J365">
        <f>IF(Table1[[#This Row],[Active_months]]&gt;=1, 1, 0)</f>
        <v>1</v>
      </c>
    </row>
    <row r="366" spans="1:10" x14ac:dyDescent="0.3">
      <c r="A366">
        <v>159256553</v>
      </c>
      <c r="B366" s="1">
        <v>44859</v>
      </c>
      <c r="C366" s="1">
        <v>44936</v>
      </c>
      <c r="D366">
        <v>39</v>
      </c>
      <c r="E366" t="s">
        <v>6</v>
      </c>
      <c r="F366" t="s">
        <v>7</v>
      </c>
      <c r="G366" s="1">
        <f t="shared" si="15"/>
        <v>44936</v>
      </c>
      <c r="H366">
        <f t="shared" si="16"/>
        <v>3</v>
      </c>
      <c r="I366">
        <f t="shared" si="17"/>
        <v>0</v>
      </c>
      <c r="J366">
        <f>IF(Table1[[#This Row],[Active_months]]&gt;=1, 1, 0)</f>
        <v>1</v>
      </c>
    </row>
    <row r="367" spans="1:10" x14ac:dyDescent="0.3">
      <c r="A367">
        <v>159211568</v>
      </c>
      <c r="B367" s="1">
        <v>44859</v>
      </c>
      <c r="C367" s="1">
        <v>44928</v>
      </c>
      <c r="D367">
        <v>39</v>
      </c>
      <c r="E367" t="s">
        <v>6</v>
      </c>
      <c r="F367" t="s">
        <v>7</v>
      </c>
      <c r="G367" s="1">
        <f t="shared" si="15"/>
        <v>44928</v>
      </c>
      <c r="H367">
        <f t="shared" si="16"/>
        <v>3</v>
      </c>
      <c r="I367">
        <f t="shared" si="17"/>
        <v>0</v>
      </c>
      <c r="J367">
        <f>IF(Table1[[#This Row],[Active_months]]&gt;=1, 1, 0)</f>
        <v>1</v>
      </c>
    </row>
    <row r="368" spans="1:10" x14ac:dyDescent="0.3">
      <c r="A368">
        <v>154778395</v>
      </c>
      <c r="B368" s="1">
        <v>44859</v>
      </c>
      <c r="C368" s="1">
        <v>44893</v>
      </c>
      <c r="D368">
        <v>39</v>
      </c>
      <c r="E368" t="s">
        <v>6</v>
      </c>
      <c r="F368" t="s">
        <v>7</v>
      </c>
      <c r="G368" s="1">
        <f t="shared" si="15"/>
        <v>44893</v>
      </c>
      <c r="H368">
        <f t="shared" si="16"/>
        <v>1</v>
      </c>
      <c r="I368">
        <f t="shared" si="17"/>
        <v>0</v>
      </c>
      <c r="J368">
        <f>IF(Table1[[#This Row],[Active_months]]&gt;=1, 1, 0)</f>
        <v>1</v>
      </c>
    </row>
    <row r="369" spans="1:10" x14ac:dyDescent="0.3">
      <c r="A369">
        <v>157961180</v>
      </c>
      <c r="B369" s="1">
        <v>44859</v>
      </c>
      <c r="C369" s="1">
        <v>44889</v>
      </c>
      <c r="D369">
        <v>39</v>
      </c>
      <c r="E369" t="s">
        <v>6</v>
      </c>
      <c r="F369" t="s">
        <v>7</v>
      </c>
      <c r="G369" s="1">
        <f t="shared" si="15"/>
        <v>44889</v>
      </c>
      <c r="H369">
        <f t="shared" si="16"/>
        <v>1</v>
      </c>
      <c r="I369">
        <f t="shared" si="17"/>
        <v>0</v>
      </c>
      <c r="J369">
        <f>IF(Table1[[#This Row],[Active_months]]&gt;=1, 1, 0)</f>
        <v>1</v>
      </c>
    </row>
    <row r="370" spans="1:10" x14ac:dyDescent="0.3">
      <c r="A370">
        <v>159281338</v>
      </c>
      <c r="B370" s="1">
        <v>44860</v>
      </c>
      <c r="D370">
        <v>39</v>
      </c>
      <c r="E370" t="s">
        <v>6</v>
      </c>
      <c r="F370" t="s">
        <v>7</v>
      </c>
      <c r="G370" s="1">
        <f t="shared" si="15"/>
        <v>45199</v>
      </c>
      <c r="H370">
        <f t="shared" si="16"/>
        <v>11</v>
      </c>
      <c r="I370">
        <f t="shared" si="17"/>
        <v>1</v>
      </c>
      <c r="J370">
        <f>IF(Table1[[#This Row],[Active_months]]&gt;=1, 1, 0)</f>
        <v>1</v>
      </c>
    </row>
    <row r="371" spans="1:10" x14ac:dyDescent="0.3">
      <c r="A371">
        <v>159364232</v>
      </c>
      <c r="B371" s="1">
        <v>44860</v>
      </c>
      <c r="D371">
        <v>39</v>
      </c>
      <c r="E371" t="s">
        <v>6</v>
      </c>
      <c r="F371" t="s">
        <v>7</v>
      </c>
      <c r="G371" s="1">
        <f t="shared" si="15"/>
        <v>45199</v>
      </c>
      <c r="H371">
        <f t="shared" si="16"/>
        <v>11</v>
      </c>
      <c r="I371">
        <f t="shared" si="17"/>
        <v>1</v>
      </c>
      <c r="J371">
        <f>IF(Table1[[#This Row],[Active_months]]&gt;=1, 1, 0)</f>
        <v>1</v>
      </c>
    </row>
    <row r="372" spans="1:10" x14ac:dyDescent="0.3">
      <c r="A372">
        <v>159276280</v>
      </c>
      <c r="B372" s="1">
        <v>44860</v>
      </c>
      <c r="D372">
        <v>39</v>
      </c>
      <c r="E372" t="s">
        <v>6</v>
      </c>
      <c r="F372" t="s">
        <v>7</v>
      </c>
      <c r="G372" s="1">
        <f t="shared" si="15"/>
        <v>45199</v>
      </c>
      <c r="H372">
        <f t="shared" si="16"/>
        <v>11</v>
      </c>
      <c r="I372">
        <f t="shared" si="17"/>
        <v>1</v>
      </c>
      <c r="J372">
        <f>IF(Table1[[#This Row],[Active_months]]&gt;=1, 1, 0)</f>
        <v>1</v>
      </c>
    </row>
    <row r="373" spans="1:10" x14ac:dyDescent="0.3">
      <c r="A373">
        <v>159326830</v>
      </c>
      <c r="B373" s="1">
        <v>44860</v>
      </c>
      <c r="C373" s="1">
        <v>44861</v>
      </c>
      <c r="D373">
        <v>39</v>
      </c>
      <c r="E373" t="s">
        <v>6</v>
      </c>
      <c r="F373" t="s">
        <v>7</v>
      </c>
      <c r="G373" s="1">
        <f t="shared" si="15"/>
        <v>44861</v>
      </c>
      <c r="H373">
        <f t="shared" si="16"/>
        <v>0</v>
      </c>
      <c r="I373">
        <f t="shared" si="17"/>
        <v>0</v>
      </c>
      <c r="J373">
        <f>IF(Table1[[#This Row],[Active_months]]&gt;=1, 1, 0)</f>
        <v>0</v>
      </c>
    </row>
    <row r="374" spans="1:10" x14ac:dyDescent="0.3">
      <c r="A374">
        <v>158144924</v>
      </c>
      <c r="B374" s="1">
        <v>44860</v>
      </c>
      <c r="C374" s="1">
        <v>44980</v>
      </c>
      <c r="D374">
        <v>39</v>
      </c>
      <c r="E374" t="s">
        <v>6</v>
      </c>
      <c r="F374" t="s">
        <v>7</v>
      </c>
      <c r="G374" s="1">
        <f t="shared" si="15"/>
        <v>44980</v>
      </c>
      <c r="H374">
        <f t="shared" si="16"/>
        <v>4</v>
      </c>
      <c r="I374">
        <f t="shared" si="17"/>
        <v>0</v>
      </c>
      <c r="J374">
        <f>IF(Table1[[#This Row],[Active_months]]&gt;=1, 1, 0)</f>
        <v>1</v>
      </c>
    </row>
    <row r="375" spans="1:10" x14ac:dyDescent="0.3">
      <c r="A375">
        <v>159239867</v>
      </c>
      <c r="B375" s="1">
        <v>44860</v>
      </c>
      <c r="C375" s="1">
        <v>44910</v>
      </c>
      <c r="D375">
        <v>39</v>
      </c>
      <c r="E375" t="s">
        <v>6</v>
      </c>
      <c r="F375" t="s">
        <v>7</v>
      </c>
      <c r="G375" s="1">
        <f t="shared" si="15"/>
        <v>44910</v>
      </c>
      <c r="H375">
        <f t="shared" si="16"/>
        <v>2</v>
      </c>
      <c r="I375">
        <f t="shared" si="17"/>
        <v>0</v>
      </c>
      <c r="J375">
        <f>IF(Table1[[#This Row],[Active_months]]&gt;=1, 1, 0)</f>
        <v>1</v>
      </c>
    </row>
    <row r="376" spans="1:10" x14ac:dyDescent="0.3">
      <c r="A376">
        <v>159108970</v>
      </c>
      <c r="B376" s="1">
        <v>44860</v>
      </c>
      <c r="C376" s="1">
        <v>44915</v>
      </c>
      <c r="D376">
        <v>39</v>
      </c>
      <c r="E376" t="s">
        <v>6</v>
      </c>
      <c r="F376" t="s">
        <v>7</v>
      </c>
      <c r="G376" s="1">
        <f t="shared" si="15"/>
        <v>44915</v>
      </c>
      <c r="H376">
        <f t="shared" si="16"/>
        <v>2</v>
      </c>
      <c r="I376">
        <f t="shared" si="17"/>
        <v>0</v>
      </c>
      <c r="J376">
        <f>IF(Table1[[#This Row],[Active_months]]&gt;=1, 1, 0)</f>
        <v>1</v>
      </c>
    </row>
    <row r="377" spans="1:10" x14ac:dyDescent="0.3">
      <c r="A377">
        <v>158644133</v>
      </c>
      <c r="B377" s="1">
        <v>44860</v>
      </c>
      <c r="C377" s="1">
        <v>44891</v>
      </c>
      <c r="D377">
        <v>39</v>
      </c>
      <c r="E377" t="s">
        <v>6</v>
      </c>
      <c r="F377" t="s">
        <v>7</v>
      </c>
      <c r="G377" s="1">
        <f t="shared" si="15"/>
        <v>44891</v>
      </c>
      <c r="H377">
        <f t="shared" si="16"/>
        <v>1</v>
      </c>
      <c r="I377">
        <f t="shared" si="17"/>
        <v>0</v>
      </c>
      <c r="J377">
        <f>IF(Table1[[#This Row],[Active_months]]&gt;=1, 1, 0)</f>
        <v>1</v>
      </c>
    </row>
    <row r="378" spans="1:10" x14ac:dyDescent="0.3">
      <c r="A378">
        <v>153830193</v>
      </c>
      <c r="B378" s="1">
        <v>44860</v>
      </c>
      <c r="C378" s="1">
        <v>44861</v>
      </c>
      <c r="D378">
        <v>39</v>
      </c>
      <c r="E378" t="s">
        <v>6</v>
      </c>
      <c r="F378" t="s">
        <v>7</v>
      </c>
      <c r="G378" s="1">
        <f t="shared" si="15"/>
        <v>44861</v>
      </c>
      <c r="H378">
        <f t="shared" si="16"/>
        <v>0</v>
      </c>
      <c r="I378">
        <f t="shared" si="17"/>
        <v>0</v>
      </c>
      <c r="J378">
        <f>IF(Table1[[#This Row],[Active_months]]&gt;=1, 1, 0)</f>
        <v>0</v>
      </c>
    </row>
    <row r="379" spans="1:10" x14ac:dyDescent="0.3">
      <c r="A379">
        <v>159664292</v>
      </c>
      <c r="B379" s="1">
        <v>44861</v>
      </c>
      <c r="D379">
        <v>39</v>
      </c>
      <c r="E379" t="s">
        <v>6</v>
      </c>
      <c r="F379" t="s">
        <v>7</v>
      </c>
      <c r="G379" s="1">
        <f t="shared" si="15"/>
        <v>45199</v>
      </c>
      <c r="H379">
        <f t="shared" si="16"/>
        <v>11</v>
      </c>
      <c r="I379">
        <f t="shared" si="17"/>
        <v>1</v>
      </c>
      <c r="J379">
        <f>IF(Table1[[#This Row],[Active_months]]&gt;=1, 1, 0)</f>
        <v>1</v>
      </c>
    </row>
    <row r="380" spans="1:10" x14ac:dyDescent="0.3">
      <c r="A380">
        <v>152937944</v>
      </c>
      <c r="B380" s="1">
        <v>44861</v>
      </c>
      <c r="C380" s="1">
        <v>44862</v>
      </c>
      <c r="D380">
        <v>39</v>
      </c>
      <c r="E380" t="s">
        <v>6</v>
      </c>
      <c r="F380" t="s">
        <v>8</v>
      </c>
      <c r="G380" s="1">
        <f t="shared" si="15"/>
        <v>44862</v>
      </c>
      <c r="H380">
        <f t="shared" si="16"/>
        <v>0</v>
      </c>
      <c r="I380">
        <f t="shared" si="17"/>
        <v>0</v>
      </c>
      <c r="J380">
        <f>IF(Table1[[#This Row],[Active_months]]&gt;=1, 1, 0)</f>
        <v>0</v>
      </c>
    </row>
    <row r="381" spans="1:10" x14ac:dyDescent="0.3">
      <c r="A381">
        <v>159446393</v>
      </c>
      <c r="B381" s="1">
        <v>44861</v>
      </c>
      <c r="C381" s="1">
        <v>45035</v>
      </c>
      <c r="D381">
        <v>39</v>
      </c>
      <c r="E381" t="s">
        <v>6</v>
      </c>
      <c r="F381" t="s">
        <v>7</v>
      </c>
      <c r="G381" s="1">
        <f t="shared" si="15"/>
        <v>45035</v>
      </c>
      <c r="H381">
        <f t="shared" si="16"/>
        <v>6</v>
      </c>
      <c r="I381">
        <f t="shared" si="17"/>
        <v>1</v>
      </c>
      <c r="J381">
        <f>IF(Table1[[#This Row],[Active_months]]&gt;=1, 1, 0)</f>
        <v>1</v>
      </c>
    </row>
    <row r="382" spans="1:10" x14ac:dyDescent="0.3">
      <c r="A382">
        <v>156837717</v>
      </c>
      <c r="B382" s="1">
        <v>44861</v>
      </c>
      <c r="C382" s="1">
        <v>45088</v>
      </c>
      <c r="D382">
        <v>39</v>
      </c>
      <c r="E382" t="s">
        <v>6</v>
      </c>
      <c r="F382" t="s">
        <v>7</v>
      </c>
      <c r="G382" s="1">
        <f t="shared" si="15"/>
        <v>45088</v>
      </c>
      <c r="H382">
        <f t="shared" si="16"/>
        <v>8</v>
      </c>
      <c r="I382">
        <f t="shared" si="17"/>
        <v>1</v>
      </c>
      <c r="J382">
        <f>IF(Table1[[#This Row],[Active_months]]&gt;=1, 1, 0)</f>
        <v>1</v>
      </c>
    </row>
    <row r="383" spans="1:10" x14ac:dyDescent="0.3">
      <c r="A383">
        <v>149000400</v>
      </c>
      <c r="B383" s="1">
        <v>44861</v>
      </c>
      <c r="C383" s="1">
        <v>44983</v>
      </c>
      <c r="D383">
        <v>39</v>
      </c>
      <c r="E383" t="s">
        <v>6</v>
      </c>
      <c r="F383" t="s">
        <v>7</v>
      </c>
      <c r="G383" s="1">
        <f t="shared" si="15"/>
        <v>44983</v>
      </c>
      <c r="H383">
        <f t="shared" si="16"/>
        <v>4</v>
      </c>
      <c r="I383">
        <f t="shared" si="17"/>
        <v>0</v>
      </c>
      <c r="J383">
        <f>IF(Table1[[#This Row],[Active_months]]&gt;=1, 1, 0)</f>
        <v>1</v>
      </c>
    </row>
    <row r="384" spans="1:10" x14ac:dyDescent="0.3">
      <c r="A384">
        <v>157923615</v>
      </c>
      <c r="B384" s="1">
        <v>44861</v>
      </c>
      <c r="C384" s="1">
        <v>44929</v>
      </c>
      <c r="D384">
        <v>39</v>
      </c>
      <c r="E384" t="s">
        <v>6</v>
      </c>
      <c r="F384" t="s">
        <v>7</v>
      </c>
      <c r="G384" s="1">
        <f t="shared" si="15"/>
        <v>44929</v>
      </c>
      <c r="H384">
        <f t="shared" si="16"/>
        <v>3</v>
      </c>
      <c r="I384">
        <f t="shared" si="17"/>
        <v>0</v>
      </c>
      <c r="J384">
        <f>IF(Table1[[#This Row],[Active_months]]&gt;=1, 1, 0)</f>
        <v>1</v>
      </c>
    </row>
    <row r="385" spans="1:10" x14ac:dyDescent="0.3">
      <c r="A385">
        <v>159699736</v>
      </c>
      <c r="B385" s="1">
        <v>44861</v>
      </c>
      <c r="C385" s="1">
        <v>44890</v>
      </c>
      <c r="D385">
        <v>39</v>
      </c>
      <c r="E385" t="s">
        <v>6</v>
      </c>
      <c r="F385" t="s">
        <v>7</v>
      </c>
      <c r="G385" s="1">
        <f t="shared" si="15"/>
        <v>44890</v>
      </c>
      <c r="H385">
        <f t="shared" si="16"/>
        <v>1</v>
      </c>
      <c r="I385">
        <f t="shared" si="17"/>
        <v>0</v>
      </c>
      <c r="J385">
        <f>IF(Table1[[#This Row],[Active_months]]&gt;=1, 1, 0)</f>
        <v>1</v>
      </c>
    </row>
    <row r="386" spans="1:10" x14ac:dyDescent="0.3">
      <c r="A386">
        <v>150816815</v>
      </c>
      <c r="B386" s="1">
        <v>44861</v>
      </c>
      <c r="C386" s="1">
        <v>44881</v>
      </c>
      <c r="D386">
        <v>39</v>
      </c>
      <c r="E386" t="s">
        <v>6</v>
      </c>
      <c r="F386" t="s">
        <v>7</v>
      </c>
      <c r="G386" s="1">
        <f t="shared" si="15"/>
        <v>44881</v>
      </c>
      <c r="H386">
        <f t="shared" si="16"/>
        <v>1</v>
      </c>
      <c r="I386">
        <f t="shared" si="17"/>
        <v>0</v>
      </c>
      <c r="J386">
        <f>IF(Table1[[#This Row],[Active_months]]&gt;=1, 1, 0)</f>
        <v>1</v>
      </c>
    </row>
    <row r="387" spans="1:10" x14ac:dyDescent="0.3">
      <c r="A387">
        <v>159634168</v>
      </c>
      <c r="B387" s="1">
        <v>44861</v>
      </c>
      <c r="C387" s="1">
        <v>45107</v>
      </c>
      <c r="D387">
        <v>39</v>
      </c>
      <c r="E387" t="s">
        <v>6</v>
      </c>
      <c r="F387" t="s">
        <v>7</v>
      </c>
      <c r="G387" s="1">
        <f t="shared" ref="G387:G450" si="18">IF(ISBLANK(C387), DATE(2023,9,30), C387)</f>
        <v>45107</v>
      </c>
      <c r="H387">
        <f t="shared" ref="H387:H450" si="19">(YEAR(G387)-YEAR(B387))*12 + (MONTH(G387)-MONTH(B387))</f>
        <v>8</v>
      </c>
      <c r="I387">
        <f t="shared" ref="I387:I450" si="20">IF(H387 &gt;=5, 1, 0)</f>
        <v>1</v>
      </c>
      <c r="J387">
        <f>IF(Table1[[#This Row],[Active_months]]&gt;=1, 1, 0)</f>
        <v>1</v>
      </c>
    </row>
    <row r="388" spans="1:10" x14ac:dyDescent="0.3">
      <c r="A388">
        <v>158114418</v>
      </c>
      <c r="B388" s="1">
        <v>44862</v>
      </c>
      <c r="D388">
        <v>39</v>
      </c>
      <c r="E388" t="s">
        <v>6</v>
      </c>
      <c r="F388" t="s">
        <v>7</v>
      </c>
      <c r="G388" s="1">
        <f t="shared" si="18"/>
        <v>45199</v>
      </c>
      <c r="H388">
        <f t="shared" si="19"/>
        <v>11</v>
      </c>
      <c r="I388">
        <f t="shared" si="20"/>
        <v>1</v>
      </c>
      <c r="J388">
        <f>IF(Table1[[#This Row],[Active_months]]&gt;=1, 1, 0)</f>
        <v>1</v>
      </c>
    </row>
    <row r="389" spans="1:10" x14ac:dyDescent="0.3">
      <c r="A389">
        <v>159706104</v>
      </c>
      <c r="B389" s="1">
        <v>44862</v>
      </c>
      <c r="D389">
        <v>39</v>
      </c>
      <c r="E389" t="s">
        <v>6</v>
      </c>
      <c r="F389" t="s">
        <v>7</v>
      </c>
      <c r="G389" s="1">
        <f t="shared" si="18"/>
        <v>45199</v>
      </c>
      <c r="H389">
        <f t="shared" si="19"/>
        <v>11</v>
      </c>
      <c r="I389">
        <f t="shared" si="20"/>
        <v>1</v>
      </c>
      <c r="J389">
        <f>IF(Table1[[#This Row],[Active_months]]&gt;=1, 1, 0)</f>
        <v>1</v>
      </c>
    </row>
    <row r="390" spans="1:10" x14ac:dyDescent="0.3">
      <c r="A390">
        <v>150704581</v>
      </c>
      <c r="B390" s="1">
        <v>44862</v>
      </c>
      <c r="C390" s="1">
        <v>45056</v>
      </c>
      <c r="D390">
        <v>39</v>
      </c>
      <c r="E390" t="s">
        <v>6</v>
      </c>
      <c r="F390" t="s">
        <v>7</v>
      </c>
      <c r="G390" s="1">
        <f t="shared" si="18"/>
        <v>45056</v>
      </c>
      <c r="H390">
        <f t="shared" si="19"/>
        <v>7</v>
      </c>
      <c r="I390">
        <f t="shared" si="20"/>
        <v>1</v>
      </c>
      <c r="J390">
        <f>IF(Table1[[#This Row],[Active_months]]&gt;=1, 1, 0)</f>
        <v>1</v>
      </c>
    </row>
    <row r="391" spans="1:10" x14ac:dyDescent="0.3">
      <c r="A391">
        <v>159733207</v>
      </c>
      <c r="B391" s="1">
        <v>44862</v>
      </c>
      <c r="C391" s="1">
        <v>44984</v>
      </c>
      <c r="D391">
        <v>39</v>
      </c>
      <c r="E391" t="s">
        <v>6</v>
      </c>
      <c r="F391" t="s">
        <v>7</v>
      </c>
      <c r="G391" s="1">
        <f t="shared" si="18"/>
        <v>44984</v>
      </c>
      <c r="H391">
        <f t="shared" si="19"/>
        <v>4</v>
      </c>
      <c r="I391">
        <f t="shared" si="20"/>
        <v>0</v>
      </c>
      <c r="J391">
        <f>IF(Table1[[#This Row],[Active_months]]&gt;=1, 1, 0)</f>
        <v>1</v>
      </c>
    </row>
    <row r="392" spans="1:10" x14ac:dyDescent="0.3">
      <c r="A392">
        <v>159775056</v>
      </c>
      <c r="B392" s="1">
        <v>44862</v>
      </c>
      <c r="C392" s="1">
        <v>45016</v>
      </c>
      <c r="D392">
        <v>39</v>
      </c>
      <c r="E392" t="s">
        <v>6</v>
      </c>
      <c r="F392" t="s">
        <v>7</v>
      </c>
      <c r="G392" s="1">
        <f t="shared" si="18"/>
        <v>45016</v>
      </c>
      <c r="H392">
        <f t="shared" si="19"/>
        <v>5</v>
      </c>
      <c r="I392">
        <f t="shared" si="20"/>
        <v>1</v>
      </c>
      <c r="J392">
        <f>IF(Table1[[#This Row],[Active_months]]&gt;=1, 1, 0)</f>
        <v>1</v>
      </c>
    </row>
    <row r="393" spans="1:10" x14ac:dyDescent="0.3">
      <c r="A393">
        <v>144328609</v>
      </c>
      <c r="B393" s="1">
        <v>44862</v>
      </c>
      <c r="C393" s="1">
        <v>44920</v>
      </c>
      <c r="D393">
        <v>39</v>
      </c>
      <c r="E393" t="s">
        <v>6</v>
      </c>
      <c r="F393" t="s">
        <v>7</v>
      </c>
      <c r="G393" s="1">
        <f t="shared" si="18"/>
        <v>44920</v>
      </c>
      <c r="H393">
        <f t="shared" si="19"/>
        <v>2</v>
      </c>
      <c r="I393">
        <f t="shared" si="20"/>
        <v>0</v>
      </c>
      <c r="J393">
        <f>IF(Table1[[#This Row],[Active_months]]&gt;=1, 1, 0)</f>
        <v>1</v>
      </c>
    </row>
    <row r="394" spans="1:10" x14ac:dyDescent="0.3">
      <c r="A394">
        <v>153172687</v>
      </c>
      <c r="B394" s="1">
        <v>44862</v>
      </c>
      <c r="C394" s="1">
        <v>45159</v>
      </c>
      <c r="D394">
        <v>39</v>
      </c>
      <c r="E394" t="s">
        <v>6</v>
      </c>
      <c r="F394" t="s">
        <v>7</v>
      </c>
      <c r="G394" s="1">
        <f t="shared" si="18"/>
        <v>45159</v>
      </c>
      <c r="H394">
        <f t="shared" si="19"/>
        <v>10</v>
      </c>
      <c r="I394">
        <f t="shared" si="20"/>
        <v>1</v>
      </c>
      <c r="J394">
        <f>IF(Table1[[#This Row],[Active_months]]&gt;=1, 1, 0)</f>
        <v>1</v>
      </c>
    </row>
    <row r="395" spans="1:10" x14ac:dyDescent="0.3">
      <c r="A395">
        <v>159861170</v>
      </c>
      <c r="B395" s="1">
        <v>44863</v>
      </c>
      <c r="D395">
        <v>39</v>
      </c>
      <c r="E395" t="s">
        <v>6</v>
      </c>
      <c r="F395" t="s">
        <v>7</v>
      </c>
      <c r="G395" s="1">
        <f t="shared" si="18"/>
        <v>45199</v>
      </c>
      <c r="H395">
        <f t="shared" si="19"/>
        <v>11</v>
      </c>
      <c r="I395">
        <f t="shared" si="20"/>
        <v>1</v>
      </c>
      <c r="J395">
        <f>IF(Table1[[#This Row],[Active_months]]&gt;=1, 1, 0)</f>
        <v>1</v>
      </c>
    </row>
    <row r="396" spans="1:10" x14ac:dyDescent="0.3">
      <c r="A396">
        <v>133474642</v>
      </c>
      <c r="B396" s="1">
        <v>44863</v>
      </c>
      <c r="C396" s="1">
        <v>44915</v>
      </c>
      <c r="D396">
        <v>39</v>
      </c>
      <c r="E396" t="s">
        <v>6</v>
      </c>
      <c r="F396" t="s">
        <v>7</v>
      </c>
      <c r="G396" s="1">
        <f t="shared" si="18"/>
        <v>44915</v>
      </c>
      <c r="H396">
        <f t="shared" si="19"/>
        <v>2</v>
      </c>
      <c r="I396">
        <f t="shared" si="20"/>
        <v>0</v>
      </c>
      <c r="J396">
        <f>IF(Table1[[#This Row],[Active_months]]&gt;=1, 1, 0)</f>
        <v>1</v>
      </c>
    </row>
    <row r="397" spans="1:10" x14ac:dyDescent="0.3">
      <c r="A397">
        <v>159817608</v>
      </c>
      <c r="B397" s="1">
        <v>44863</v>
      </c>
      <c r="C397" s="1">
        <v>45008</v>
      </c>
      <c r="D397">
        <v>39</v>
      </c>
      <c r="E397" t="s">
        <v>6</v>
      </c>
      <c r="F397" t="s">
        <v>7</v>
      </c>
      <c r="G397" s="1">
        <f t="shared" si="18"/>
        <v>45008</v>
      </c>
      <c r="H397">
        <f t="shared" si="19"/>
        <v>5</v>
      </c>
      <c r="I397">
        <f t="shared" si="20"/>
        <v>1</v>
      </c>
      <c r="J397">
        <f>IF(Table1[[#This Row],[Active_months]]&gt;=1, 1, 0)</f>
        <v>1</v>
      </c>
    </row>
    <row r="398" spans="1:10" x14ac:dyDescent="0.3">
      <c r="A398">
        <v>159867686</v>
      </c>
      <c r="B398" s="1">
        <v>44863</v>
      </c>
      <c r="C398" s="1">
        <v>44931</v>
      </c>
      <c r="D398">
        <v>39</v>
      </c>
      <c r="E398" t="s">
        <v>6</v>
      </c>
      <c r="F398" t="s">
        <v>7</v>
      </c>
      <c r="G398" s="1">
        <f t="shared" si="18"/>
        <v>44931</v>
      </c>
      <c r="H398">
        <f t="shared" si="19"/>
        <v>3</v>
      </c>
      <c r="I398">
        <f t="shared" si="20"/>
        <v>0</v>
      </c>
      <c r="J398">
        <f>IF(Table1[[#This Row],[Active_months]]&gt;=1, 1, 0)</f>
        <v>1</v>
      </c>
    </row>
    <row r="399" spans="1:10" x14ac:dyDescent="0.3">
      <c r="A399">
        <v>158484064</v>
      </c>
      <c r="B399" s="1">
        <v>44863</v>
      </c>
      <c r="C399" s="1">
        <v>44931</v>
      </c>
      <c r="D399">
        <v>39</v>
      </c>
      <c r="E399" t="s">
        <v>6</v>
      </c>
      <c r="F399" t="s">
        <v>7</v>
      </c>
      <c r="G399" s="1">
        <f t="shared" si="18"/>
        <v>44931</v>
      </c>
      <c r="H399">
        <f t="shared" si="19"/>
        <v>3</v>
      </c>
      <c r="I399">
        <f t="shared" si="20"/>
        <v>0</v>
      </c>
      <c r="J399">
        <f>IF(Table1[[#This Row],[Active_months]]&gt;=1, 1, 0)</f>
        <v>1</v>
      </c>
    </row>
    <row r="400" spans="1:10" x14ac:dyDescent="0.3">
      <c r="A400">
        <v>159829834</v>
      </c>
      <c r="B400" s="1">
        <v>44864</v>
      </c>
      <c r="D400">
        <v>39</v>
      </c>
      <c r="E400" t="s">
        <v>6</v>
      </c>
      <c r="F400" t="s">
        <v>7</v>
      </c>
      <c r="G400" s="1">
        <f t="shared" si="18"/>
        <v>45199</v>
      </c>
      <c r="H400">
        <f t="shared" si="19"/>
        <v>11</v>
      </c>
      <c r="I400">
        <f t="shared" si="20"/>
        <v>1</v>
      </c>
      <c r="J400">
        <f>IF(Table1[[#This Row],[Active_months]]&gt;=1, 1, 0)</f>
        <v>1</v>
      </c>
    </row>
    <row r="401" spans="1:10" x14ac:dyDescent="0.3">
      <c r="A401">
        <v>159875790</v>
      </c>
      <c r="B401" s="1">
        <v>44864</v>
      </c>
      <c r="C401" s="1">
        <v>44992</v>
      </c>
      <c r="D401">
        <v>39</v>
      </c>
      <c r="E401" t="s">
        <v>6</v>
      </c>
      <c r="F401" t="s">
        <v>7</v>
      </c>
      <c r="G401" s="1">
        <f t="shared" si="18"/>
        <v>44992</v>
      </c>
      <c r="H401">
        <f t="shared" si="19"/>
        <v>5</v>
      </c>
      <c r="I401">
        <f t="shared" si="20"/>
        <v>1</v>
      </c>
      <c r="J401">
        <f>IF(Table1[[#This Row],[Active_months]]&gt;=1, 1, 0)</f>
        <v>1</v>
      </c>
    </row>
    <row r="402" spans="1:10" x14ac:dyDescent="0.3">
      <c r="A402">
        <v>155520280</v>
      </c>
      <c r="B402" s="1">
        <v>44864</v>
      </c>
      <c r="C402" s="1">
        <v>44902</v>
      </c>
      <c r="D402">
        <v>39</v>
      </c>
      <c r="E402" t="s">
        <v>6</v>
      </c>
      <c r="F402" t="s">
        <v>7</v>
      </c>
      <c r="G402" s="1">
        <f t="shared" si="18"/>
        <v>44902</v>
      </c>
      <c r="H402">
        <f t="shared" si="19"/>
        <v>2</v>
      </c>
      <c r="I402">
        <f t="shared" si="20"/>
        <v>0</v>
      </c>
      <c r="J402">
        <f>IF(Table1[[#This Row],[Active_months]]&gt;=1, 1, 0)</f>
        <v>1</v>
      </c>
    </row>
    <row r="403" spans="1:10" x14ac:dyDescent="0.3">
      <c r="A403">
        <v>159783942</v>
      </c>
      <c r="B403" s="1">
        <v>44864</v>
      </c>
      <c r="C403" s="1">
        <v>44923</v>
      </c>
      <c r="D403">
        <v>39</v>
      </c>
      <c r="E403" t="s">
        <v>6</v>
      </c>
      <c r="F403" t="s">
        <v>7</v>
      </c>
      <c r="G403" s="1">
        <f t="shared" si="18"/>
        <v>44923</v>
      </c>
      <c r="H403">
        <f t="shared" si="19"/>
        <v>2</v>
      </c>
      <c r="I403">
        <f t="shared" si="20"/>
        <v>0</v>
      </c>
      <c r="J403">
        <f>IF(Table1[[#This Row],[Active_months]]&gt;=1, 1, 0)</f>
        <v>1</v>
      </c>
    </row>
    <row r="404" spans="1:10" x14ac:dyDescent="0.3">
      <c r="A404">
        <v>149696432</v>
      </c>
      <c r="B404" s="1">
        <v>44864</v>
      </c>
      <c r="C404" s="1">
        <v>44891</v>
      </c>
      <c r="D404">
        <v>39</v>
      </c>
      <c r="E404" t="s">
        <v>6</v>
      </c>
      <c r="F404" t="s">
        <v>7</v>
      </c>
      <c r="G404" s="1">
        <f t="shared" si="18"/>
        <v>44891</v>
      </c>
      <c r="H404">
        <f t="shared" si="19"/>
        <v>1</v>
      </c>
      <c r="I404">
        <f t="shared" si="20"/>
        <v>0</v>
      </c>
      <c r="J404">
        <f>IF(Table1[[#This Row],[Active_months]]&gt;=1, 1, 0)</f>
        <v>1</v>
      </c>
    </row>
    <row r="405" spans="1:10" x14ac:dyDescent="0.3">
      <c r="A405">
        <v>159979372</v>
      </c>
      <c r="B405" s="1">
        <v>44865</v>
      </c>
      <c r="D405">
        <v>39</v>
      </c>
      <c r="E405" t="s">
        <v>6</v>
      </c>
      <c r="F405" t="s">
        <v>7</v>
      </c>
      <c r="G405" s="1">
        <f t="shared" si="18"/>
        <v>45199</v>
      </c>
      <c r="H405">
        <f t="shared" si="19"/>
        <v>11</v>
      </c>
      <c r="I405">
        <f t="shared" si="20"/>
        <v>1</v>
      </c>
      <c r="J405">
        <f>IF(Table1[[#This Row],[Active_months]]&gt;=1, 1, 0)</f>
        <v>1</v>
      </c>
    </row>
    <row r="406" spans="1:10" x14ac:dyDescent="0.3">
      <c r="A406">
        <v>153814649</v>
      </c>
      <c r="B406" s="1">
        <v>44865</v>
      </c>
      <c r="D406">
        <v>39</v>
      </c>
      <c r="E406" t="s">
        <v>6</v>
      </c>
      <c r="F406" t="s">
        <v>7</v>
      </c>
      <c r="G406" s="1">
        <f t="shared" si="18"/>
        <v>45199</v>
      </c>
      <c r="H406">
        <f t="shared" si="19"/>
        <v>11</v>
      </c>
      <c r="I406">
        <f t="shared" si="20"/>
        <v>1</v>
      </c>
      <c r="J406">
        <f>IF(Table1[[#This Row],[Active_months]]&gt;=1, 1, 0)</f>
        <v>1</v>
      </c>
    </row>
    <row r="407" spans="1:10" x14ac:dyDescent="0.3">
      <c r="A407">
        <v>159931469</v>
      </c>
      <c r="B407" s="1">
        <v>44865</v>
      </c>
      <c r="D407">
        <v>39</v>
      </c>
      <c r="E407" t="s">
        <v>6</v>
      </c>
      <c r="F407" t="s">
        <v>7</v>
      </c>
      <c r="G407" s="1">
        <f t="shared" si="18"/>
        <v>45199</v>
      </c>
      <c r="H407">
        <f t="shared" si="19"/>
        <v>11</v>
      </c>
      <c r="I407">
        <f t="shared" si="20"/>
        <v>1</v>
      </c>
      <c r="J407">
        <f>IF(Table1[[#This Row],[Active_months]]&gt;=1, 1, 0)</f>
        <v>1</v>
      </c>
    </row>
    <row r="408" spans="1:10" x14ac:dyDescent="0.3">
      <c r="A408">
        <v>138061210</v>
      </c>
      <c r="B408" s="1">
        <v>44865</v>
      </c>
      <c r="C408" s="1">
        <v>44865</v>
      </c>
      <c r="D408">
        <v>39</v>
      </c>
      <c r="E408" t="s">
        <v>6</v>
      </c>
      <c r="F408" t="s">
        <v>7</v>
      </c>
      <c r="G408" s="1">
        <f t="shared" si="18"/>
        <v>44865</v>
      </c>
      <c r="H408">
        <f t="shared" si="19"/>
        <v>0</v>
      </c>
      <c r="I408">
        <f t="shared" si="20"/>
        <v>0</v>
      </c>
      <c r="J408">
        <f>IF(Table1[[#This Row],[Active_months]]&gt;=1, 1, 0)</f>
        <v>0</v>
      </c>
    </row>
    <row r="409" spans="1:10" x14ac:dyDescent="0.3">
      <c r="A409">
        <v>141403460</v>
      </c>
      <c r="B409" s="1">
        <v>44865</v>
      </c>
      <c r="C409" s="1">
        <v>44942</v>
      </c>
      <c r="D409">
        <v>39</v>
      </c>
      <c r="E409" t="s">
        <v>6</v>
      </c>
      <c r="F409" t="s">
        <v>7</v>
      </c>
      <c r="G409" s="1">
        <f t="shared" si="18"/>
        <v>44942</v>
      </c>
      <c r="H409">
        <f t="shared" si="19"/>
        <v>3</v>
      </c>
      <c r="I409">
        <f t="shared" si="20"/>
        <v>0</v>
      </c>
      <c r="J409">
        <f>IF(Table1[[#This Row],[Active_months]]&gt;=1, 1, 0)</f>
        <v>1</v>
      </c>
    </row>
    <row r="410" spans="1:10" x14ac:dyDescent="0.3">
      <c r="A410">
        <v>159991922</v>
      </c>
      <c r="B410" s="1">
        <v>44865</v>
      </c>
      <c r="C410" s="1">
        <v>44912</v>
      </c>
      <c r="D410">
        <v>39</v>
      </c>
      <c r="E410" t="s">
        <v>6</v>
      </c>
      <c r="F410" t="s">
        <v>7</v>
      </c>
      <c r="G410" s="1">
        <f t="shared" si="18"/>
        <v>44912</v>
      </c>
      <c r="H410">
        <f t="shared" si="19"/>
        <v>2</v>
      </c>
      <c r="I410">
        <f t="shared" si="20"/>
        <v>0</v>
      </c>
      <c r="J410">
        <f>IF(Table1[[#This Row],[Active_months]]&gt;=1, 1, 0)</f>
        <v>1</v>
      </c>
    </row>
    <row r="411" spans="1:10" x14ac:dyDescent="0.3">
      <c r="A411">
        <v>159241648</v>
      </c>
      <c r="B411" s="1">
        <v>44865</v>
      </c>
      <c r="C411" s="1">
        <v>44909</v>
      </c>
      <c r="D411">
        <v>39</v>
      </c>
      <c r="E411" t="s">
        <v>6</v>
      </c>
      <c r="F411" t="s">
        <v>7</v>
      </c>
      <c r="G411" s="1">
        <f t="shared" si="18"/>
        <v>44909</v>
      </c>
      <c r="H411">
        <f t="shared" si="19"/>
        <v>2</v>
      </c>
      <c r="I411">
        <f t="shared" si="20"/>
        <v>0</v>
      </c>
      <c r="J411">
        <f>IF(Table1[[#This Row],[Active_months]]&gt;=1, 1, 0)</f>
        <v>1</v>
      </c>
    </row>
    <row r="412" spans="1:10" x14ac:dyDescent="0.3">
      <c r="A412">
        <v>150703411</v>
      </c>
      <c r="B412" s="1">
        <v>44865</v>
      </c>
      <c r="C412" s="1">
        <v>44896</v>
      </c>
      <c r="D412">
        <v>39</v>
      </c>
      <c r="E412" t="s">
        <v>6</v>
      </c>
      <c r="F412" t="s">
        <v>7</v>
      </c>
      <c r="G412" s="1">
        <f t="shared" si="18"/>
        <v>44896</v>
      </c>
      <c r="H412">
        <f t="shared" si="19"/>
        <v>2</v>
      </c>
      <c r="I412">
        <f t="shared" si="20"/>
        <v>0</v>
      </c>
      <c r="J412">
        <f>IF(Table1[[#This Row],[Active_months]]&gt;=1, 1, 0)</f>
        <v>1</v>
      </c>
    </row>
    <row r="413" spans="1:10" x14ac:dyDescent="0.3">
      <c r="A413">
        <v>159773641</v>
      </c>
      <c r="B413" s="1">
        <v>44865</v>
      </c>
      <c r="C413" s="1">
        <v>44880</v>
      </c>
      <c r="D413">
        <v>39</v>
      </c>
      <c r="E413" t="s">
        <v>6</v>
      </c>
      <c r="F413" t="s">
        <v>7</v>
      </c>
      <c r="G413" s="1">
        <f t="shared" si="18"/>
        <v>44880</v>
      </c>
      <c r="H413">
        <f t="shared" si="19"/>
        <v>1</v>
      </c>
      <c r="I413">
        <f t="shared" si="20"/>
        <v>0</v>
      </c>
      <c r="J413">
        <f>IF(Table1[[#This Row],[Active_months]]&gt;=1, 1, 0)</f>
        <v>1</v>
      </c>
    </row>
    <row r="414" spans="1:10" x14ac:dyDescent="0.3">
      <c r="A414">
        <v>128002797</v>
      </c>
      <c r="B414" s="1">
        <v>44865</v>
      </c>
      <c r="C414" s="1">
        <v>44895</v>
      </c>
      <c r="D414">
        <v>39</v>
      </c>
      <c r="E414" t="s">
        <v>6</v>
      </c>
      <c r="F414" t="s">
        <v>7</v>
      </c>
      <c r="G414" s="1">
        <f t="shared" si="18"/>
        <v>44895</v>
      </c>
      <c r="H414">
        <f t="shared" si="19"/>
        <v>1</v>
      </c>
      <c r="I414">
        <f t="shared" si="20"/>
        <v>0</v>
      </c>
      <c r="J414">
        <f>IF(Table1[[#This Row],[Active_months]]&gt;=1, 1, 0)</f>
        <v>1</v>
      </c>
    </row>
    <row r="415" spans="1:10" x14ac:dyDescent="0.3">
      <c r="A415">
        <v>155807489</v>
      </c>
      <c r="B415" s="1">
        <v>44866</v>
      </c>
      <c r="C415" s="1">
        <v>44867</v>
      </c>
      <c r="D415">
        <v>39</v>
      </c>
      <c r="E415" t="s">
        <v>6</v>
      </c>
      <c r="F415" t="s">
        <v>8</v>
      </c>
      <c r="G415" s="1">
        <f t="shared" si="18"/>
        <v>44867</v>
      </c>
      <c r="H415">
        <f t="shared" si="19"/>
        <v>0</v>
      </c>
      <c r="I415">
        <f t="shared" si="20"/>
        <v>0</v>
      </c>
      <c r="J415">
        <f>IF(Table1[[#This Row],[Active_months]]&gt;=1, 1, 0)</f>
        <v>0</v>
      </c>
    </row>
    <row r="416" spans="1:10" x14ac:dyDescent="0.3">
      <c r="A416">
        <v>143077712</v>
      </c>
      <c r="B416" s="1">
        <v>44866</v>
      </c>
      <c r="C416" s="1">
        <v>44867</v>
      </c>
      <c r="D416">
        <v>39</v>
      </c>
      <c r="E416" t="s">
        <v>6</v>
      </c>
      <c r="F416" t="s">
        <v>8</v>
      </c>
      <c r="G416" s="1">
        <f t="shared" si="18"/>
        <v>44867</v>
      </c>
      <c r="H416">
        <f t="shared" si="19"/>
        <v>0</v>
      </c>
      <c r="I416">
        <f t="shared" si="20"/>
        <v>0</v>
      </c>
      <c r="J416">
        <f>IF(Table1[[#This Row],[Active_months]]&gt;=1, 1, 0)</f>
        <v>0</v>
      </c>
    </row>
    <row r="417" spans="1:10" x14ac:dyDescent="0.3">
      <c r="A417">
        <v>159745646</v>
      </c>
      <c r="B417" s="1">
        <v>44866</v>
      </c>
      <c r="C417" s="1">
        <v>45030</v>
      </c>
      <c r="D417">
        <v>39</v>
      </c>
      <c r="E417" t="s">
        <v>6</v>
      </c>
      <c r="F417" t="s">
        <v>7</v>
      </c>
      <c r="G417" s="1">
        <f t="shared" si="18"/>
        <v>45030</v>
      </c>
      <c r="H417">
        <f t="shared" si="19"/>
        <v>5</v>
      </c>
      <c r="I417">
        <f t="shared" si="20"/>
        <v>1</v>
      </c>
      <c r="J417">
        <f>IF(Table1[[#This Row],[Active_months]]&gt;=1, 1, 0)</f>
        <v>1</v>
      </c>
    </row>
    <row r="418" spans="1:10" x14ac:dyDescent="0.3">
      <c r="A418">
        <v>139004918</v>
      </c>
      <c r="B418" s="1">
        <v>44866</v>
      </c>
      <c r="C418" s="1">
        <v>44896</v>
      </c>
      <c r="D418">
        <v>39</v>
      </c>
      <c r="E418" t="s">
        <v>6</v>
      </c>
      <c r="F418" t="s">
        <v>7</v>
      </c>
      <c r="G418" s="1">
        <f t="shared" si="18"/>
        <v>44896</v>
      </c>
      <c r="H418">
        <f t="shared" si="19"/>
        <v>1</v>
      </c>
      <c r="I418">
        <f t="shared" si="20"/>
        <v>0</v>
      </c>
      <c r="J418">
        <f>IF(Table1[[#This Row],[Active_months]]&gt;=1, 1, 0)</f>
        <v>1</v>
      </c>
    </row>
    <row r="419" spans="1:10" x14ac:dyDescent="0.3">
      <c r="A419">
        <v>153255183</v>
      </c>
      <c r="B419" s="1">
        <v>44866</v>
      </c>
      <c r="C419" s="1">
        <v>44973</v>
      </c>
      <c r="D419">
        <v>39</v>
      </c>
      <c r="E419" t="s">
        <v>6</v>
      </c>
      <c r="F419" t="s">
        <v>7</v>
      </c>
      <c r="G419" s="1">
        <f t="shared" si="18"/>
        <v>44973</v>
      </c>
      <c r="H419">
        <f t="shared" si="19"/>
        <v>3</v>
      </c>
      <c r="I419">
        <f t="shared" si="20"/>
        <v>0</v>
      </c>
      <c r="J419">
        <f>IF(Table1[[#This Row],[Active_months]]&gt;=1, 1, 0)</f>
        <v>1</v>
      </c>
    </row>
    <row r="420" spans="1:10" x14ac:dyDescent="0.3">
      <c r="A420">
        <v>157708746</v>
      </c>
      <c r="B420" s="1">
        <v>44866</v>
      </c>
      <c r="C420" s="1">
        <v>44957</v>
      </c>
      <c r="D420">
        <v>39</v>
      </c>
      <c r="E420" t="s">
        <v>6</v>
      </c>
      <c r="F420" t="s">
        <v>7</v>
      </c>
      <c r="G420" s="1">
        <f t="shared" si="18"/>
        <v>44957</v>
      </c>
      <c r="H420">
        <f t="shared" si="19"/>
        <v>2</v>
      </c>
      <c r="I420">
        <f t="shared" si="20"/>
        <v>0</v>
      </c>
      <c r="J420">
        <f>IF(Table1[[#This Row],[Active_months]]&gt;=1, 1, 0)</f>
        <v>1</v>
      </c>
    </row>
    <row r="421" spans="1:10" x14ac:dyDescent="0.3">
      <c r="A421">
        <v>155652993</v>
      </c>
      <c r="B421" s="1">
        <v>44866</v>
      </c>
      <c r="C421" s="1">
        <v>44934</v>
      </c>
      <c r="D421">
        <v>39</v>
      </c>
      <c r="E421" t="s">
        <v>6</v>
      </c>
      <c r="F421" t="s">
        <v>7</v>
      </c>
      <c r="G421" s="1">
        <f t="shared" si="18"/>
        <v>44934</v>
      </c>
      <c r="H421">
        <f t="shared" si="19"/>
        <v>2</v>
      </c>
      <c r="I421">
        <f t="shared" si="20"/>
        <v>0</v>
      </c>
      <c r="J421">
        <f>IF(Table1[[#This Row],[Active_months]]&gt;=1, 1, 0)</f>
        <v>1</v>
      </c>
    </row>
    <row r="422" spans="1:10" x14ac:dyDescent="0.3">
      <c r="A422">
        <v>159977918</v>
      </c>
      <c r="B422" s="1">
        <v>44866</v>
      </c>
      <c r="C422" s="1">
        <v>44950</v>
      </c>
      <c r="D422">
        <v>39</v>
      </c>
      <c r="E422" t="s">
        <v>6</v>
      </c>
      <c r="F422" t="s">
        <v>7</v>
      </c>
      <c r="G422" s="1">
        <f t="shared" si="18"/>
        <v>44950</v>
      </c>
      <c r="H422">
        <f t="shared" si="19"/>
        <v>2</v>
      </c>
      <c r="I422">
        <f t="shared" si="20"/>
        <v>0</v>
      </c>
      <c r="J422">
        <f>IF(Table1[[#This Row],[Active_months]]&gt;=1, 1, 0)</f>
        <v>1</v>
      </c>
    </row>
    <row r="423" spans="1:10" x14ac:dyDescent="0.3">
      <c r="A423">
        <v>160108159</v>
      </c>
      <c r="B423" s="1">
        <v>44866</v>
      </c>
      <c r="C423" s="1">
        <v>44899</v>
      </c>
      <c r="D423">
        <v>39</v>
      </c>
      <c r="E423" t="s">
        <v>6</v>
      </c>
      <c r="F423" t="s">
        <v>7</v>
      </c>
      <c r="G423" s="1">
        <f t="shared" si="18"/>
        <v>44899</v>
      </c>
      <c r="H423">
        <f t="shared" si="19"/>
        <v>1</v>
      </c>
      <c r="I423">
        <f t="shared" si="20"/>
        <v>0</v>
      </c>
      <c r="J423">
        <f>IF(Table1[[#This Row],[Active_months]]&gt;=1, 1, 0)</f>
        <v>1</v>
      </c>
    </row>
    <row r="424" spans="1:10" x14ac:dyDescent="0.3">
      <c r="A424">
        <v>160051910</v>
      </c>
      <c r="B424" s="1">
        <v>44866</v>
      </c>
      <c r="C424" s="1">
        <v>44874</v>
      </c>
      <c r="D424">
        <v>39</v>
      </c>
      <c r="E424" t="s">
        <v>6</v>
      </c>
      <c r="F424" t="s">
        <v>7</v>
      </c>
      <c r="G424" s="1">
        <f t="shared" si="18"/>
        <v>44874</v>
      </c>
      <c r="H424">
        <f t="shared" si="19"/>
        <v>0</v>
      </c>
      <c r="I424">
        <f t="shared" si="20"/>
        <v>0</v>
      </c>
      <c r="J424">
        <f>IF(Table1[[#This Row],[Active_months]]&gt;=1, 1, 0)</f>
        <v>0</v>
      </c>
    </row>
    <row r="425" spans="1:10" x14ac:dyDescent="0.3">
      <c r="A425">
        <v>146169043</v>
      </c>
      <c r="B425" s="1">
        <v>44866</v>
      </c>
      <c r="C425" s="1">
        <v>45148</v>
      </c>
      <c r="D425">
        <v>39</v>
      </c>
      <c r="E425" t="s">
        <v>6</v>
      </c>
      <c r="F425" t="s">
        <v>7</v>
      </c>
      <c r="G425" s="1">
        <f t="shared" si="18"/>
        <v>45148</v>
      </c>
      <c r="H425">
        <f t="shared" si="19"/>
        <v>9</v>
      </c>
      <c r="I425">
        <f t="shared" si="20"/>
        <v>1</v>
      </c>
      <c r="J425">
        <f>IF(Table1[[#This Row],[Active_months]]&gt;=1, 1, 0)</f>
        <v>1</v>
      </c>
    </row>
    <row r="426" spans="1:10" x14ac:dyDescent="0.3">
      <c r="A426">
        <v>159927090</v>
      </c>
      <c r="B426" s="1">
        <v>44867</v>
      </c>
      <c r="D426">
        <v>39</v>
      </c>
      <c r="E426" t="s">
        <v>6</v>
      </c>
      <c r="F426" t="s">
        <v>7</v>
      </c>
      <c r="G426" s="1">
        <f t="shared" si="18"/>
        <v>45199</v>
      </c>
      <c r="H426">
        <f t="shared" si="19"/>
        <v>10</v>
      </c>
      <c r="I426">
        <f t="shared" si="20"/>
        <v>1</v>
      </c>
      <c r="J426">
        <f>IF(Table1[[#This Row],[Active_months]]&gt;=1, 1, 0)</f>
        <v>1</v>
      </c>
    </row>
    <row r="427" spans="1:10" x14ac:dyDescent="0.3">
      <c r="A427">
        <v>149188028</v>
      </c>
      <c r="B427" s="1">
        <v>44867</v>
      </c>
      <c r="D427">
        <v>39</v>
      </c>
      <c r="E427" t="s">
        <v>6</v>
      </c>
      <c r="F427" t="s">
        <v>7</v>
      </c>
      <c r="G427" s="1">
        <f t="shared" si="18"/>
        <v>45199</v>
      </c>
      <c r="H427">
        <f t="shared" si="19"/>
        <v>10</v>
      </c>
      <c r="I427">
        <f t="shared" si="20"/>
        <v>1</v>
      </c>
      <c r="J427">
        <f>IF(Table1[[#This Row],[Active_months]]&gt;=1, 1, 0)</f>
        <v>1</v>
      </c>
    </row>
    <row r="428" spans="1:10" x14ac:dyDescent="0.3">
      <c r="A428">
        <v>138535334</v>
      </c>
      <c r="B428" s="1">
        <v>44867</v>
      </c>
      <c r="C428" s="1">
        <v>44910</v>
      </c>
      <c r="D428">
        <v>39</v>
      </c>
      <c r="E428" t="s">
        <v>6</v>
      </c>
      <c r="F428" t="s">
        <v>7</v>
      </c>
      <c r="G428" s="1">
        <f t="shared" si="18"/>
        <v>44910</v>
      </c>
      <c r="H428">
        <f t="shared" si="19"/>
        <v>1</v>
      </c>
      <c r="I428">
        <f t="shared" si="20"/>
        <v>0</v>
      </c>
      <c r="J428">
        <f>IF(Table1[[#This Row],[Active_months]]&gt;=1, 1, 0)</f>
        <v>1</v>
      </c>
    </row>
    <row r="429" spans="1:10" x14ac:dyDescent="0.3">
      <c r="A429">
        <v>159901871</v>
      </c>
      <c r="B429" s="1">
        <v>44867</v>
      </c>
      <c r="C429" s="1">
        <v>44904</v>
      </c>
      <c r="D429">
        <v>39</v>
      </c>
      <c r="E429" t="s">
        <v>6</v>
      </c>
      <c r="F429" t="s">
        <v>7</v>
      </c>
      <c r="G429" s="1">
        <f t="shared" si="18"/>
        <v>44904</v>
      </c>
      <c r="H429">
        <f t="shared" si="19"/>
        <v>1</v>
      </c>
      <c r="I429">
        <f t="shared" si="20"/>
        <v>0</v>
      </c>
      <c r="J429">
        <f>IF(Table1[[#This Row],[Active_months]]&gt;=1, 1, 0)</f>
        <v>1</v>
      </c>
    </row>
    <row r="430" spans="1:10" x14ac:dyDescent="0.3">
      <c r="A430">
        <v>159620660</v>
      </c>
      <c r="B430" s="1">
        <v>44867</v>
      </c>
      <c r="C430" s="1">
        <v>44907</v>
      </c>
      <c r="D430">
        <v>39</v>
      </c>
      <c r="E430" t="s">
        <v>6</v>
      </c>
      <c r="F430" t="s">
        <v>7</v>
      </c>
      <c r="G430" s="1">
        <f t="shared" si="18"/>
        <v>44907</v>
      </c>
      <c r="H430">
        <f t="shared" si="19"/>
        <v>1</v>
      </c>
      <c r="I430">
        <f t="shared" si="20"/>
        <v>0</v>
      </c>
      <c r="J430">
        <f>IF(Table1[[#This Row],[Active_months]]&gt;=1, 1, 0)</f>
        <v>1</v>
      </c>
    </row>
    <row r="431" spans="1:10" x14ac:dyDescent="0.3">
      <c r="A431">
        <v>160199525</v>
      </c>
      <c r="B431" s="1">
        <v>44867</v>
      </c>
      <c r="C431" s="1">
        <v>44888</v>
      </c>
      <c r="D431">
        <v>39</v>
      </c>
      <c r="E431" t="s">
        <v>6</v>
      </c>
      <c r="F431" t="s">
        <v>7</v>
      </c>
      <c r="G431" s="1">
        <f t="shared" si="18"/>
        <v>44888</v>
      </c>
      <c r="H431">
        <f t="shared" si="19"/>
        <v>0</v>
      </c>
      <c r="I431">
        <f t="shared" si="20"/>
        <v>0</v>
      </c>
      <c r="J431">
        <f>IF(Table1[[#This Row],[Active_months]]&gt;=1, 1, 0)</f>
        <v>0</v>
      </c>
    </row>
    <row r="432" spans="1:10" x14ac:dyDescent="0.3">
      <c r="A432">
        <v>160183686</v>
      </c>
      <c r="B432" s="1">
        <v>44868</v>
      </c>
      <c r="C432" s="1">
        <v>44869</v>
      </c>
      <c r="D432">
        <v>39</v>
      </c>
      <c r="E432" t="s">
        <v>6</v>
      </c>
      <c r="F432" t="s">
        <v>8</v>
      </c>
      <c r="G432" s="1">
        <f t="shared" si="18"/>
        <v>44869</v>
      </c>
      <c r="H432">
        <f t="shared" si="19"/>
        <v>0</v>
      </c>
      <c r="I432">
        <f t="shared" si="20"/>
        <v>0</v>
      </c>
      <c r="J432">
        <f>IF(Table1[[#This Row],[Active_months]]&gt;=1, 1, 0)</f>
        <v>0</v>
      </c>
    </row>
    <row r="433" spans="1:10" x14ac:dyDescent="0.3">
      <c r="A433">
        <v>152504354</v>
      </c>
      <c r="B433" s="1">
        <v>44868</v>
      </c>
      <c r="C433" s="1">
        <v>44988</v>
      </c>
      <c r="D433">
        <v>39</v>
      </c>
      <c r="E433" t="s">
        <v>6</v>
      </c>
      <c r="F433" t="s">
        <v>7</v>
      </c>
      <c r="G433" s="1">
        <f t="shared" si="18"/>
        <v>44988</v>
      </c>
      <c r="H433">
        <f t="shared" si="19"/>
        <v>4</v>
      </c>
      <c r="I433">
        <f t="shared" si="20"/>
        <v>0</v>
      </c>
      <c r="J433">
        <f>IF(Table1[[#This Row],[Active_months]]&gt;=1, 1, 0)</f>
        <v>1</v>
      </c>
    </row>
    <row r="434" spans="1:10" x14ac:dyDescent="0.3">
      <c r="A434">
        <v>143164854</v>
      </c>
      <c r="B434" s="1">
        <v>44868</v>
      </c>
      <c r="C434" s="1">
        <v>44975</v>
      </c>
      <c r="D434">
        <v>39</v>
      </c>
      <c r="E434" t="s">
        <v>6</v>
      </c>
      <c r="F434" t="s">
        <v>7</v>
      </c>
      <c r="G434" s="1">
        <f t="shared" si="18"/>
        <v>44975</v>
      </c>
      <c r="H434">
        <f t="shared" si="19"/>
        <v>3</v>
      </c>
      <c r="I434">
        <f t="shared" si="20"/>
        <v>0</v>
      </c>
      <c r="J434">
        <f>IF(Table1[[#This Row],[Active_months]]&gt;=1, 1, 0)</f>
        <v>1</v>
      </c>
    </row>
    <row r="435" spans="1:10" x14ac:dyDescent="0.3">
      <c r="A435">
        <v>160366020</v>
      </c>
      <c r="B435" s="1">
        <v>44868</v>
      </c>
      <c r="C435" s="1">
        <v>44898</v>
      </c>
      <c r="D435">
        <v>39</v>
      </c>
      <c r="E435" t="s">
        <v>6</v>
      </c>
      <c r="F435" t="s">
        <v>7</v>
      </c>
      <c r="G435" s="1">
        <f t="shared" si="18"/>
        <v>44898</v>
      </c>
      <c r="H435">
        <f t="shared" si="19"/>
        <v>1</v>
      </c>
      <c r="I435">
        <f t="shared" si="20"/>
        <v>0</v>
      </c>
      <c r="J435">
        <f>IF(Table1[[#This Row],[Active_months]]&gt;=1, 1, 0)</f>
        <v>1</v>
      </c>
    </row>
    <row r="436" spans="1:10" x14ac:dyDescent="0.3">
      <c r="A436">
        <v>160298168</v>
      </c>
      <c r="B436" s="1">
        <v>44868</v>
      </c>
      <c r="C436" s="1">
        <v>44897</v>
      </c>
      <c r="D436">
        <v>39</v>
      </c>
      <c r="E436" t="s">
        <v>6</v>
      </c>
      <c r="F436" t="s">
        <v>7</v>
      </c>
      <c r="G436" s="1">
        <f t="shared" si="18"/>
        <v>44897</v>
      </c>
      <c r="H436">
        <f t="shared" si="19"/>
        <v>1</v>
      </c>
      <c r="I436">
        <f t="shared" si="20"/>
        <v>0</v>
      </c>
      <c r="J436">
        <f>IF(Table1[[#This Row],[Active_months]]&gt;=1, 1, 0)</f>
        <v>1</v>
      </c>
    </row>
    <row r="437" spans="1:10" x14ac:dyDescent="0.3">
      <c r="A437">
        <v>160243008</v>
      </c>
      <c r="B437" s="1">
        <v>44868</v>
      </c>
      <c r="C437" s="1">
        <v>44924</v>
      </c>
      <c r="D437">
        <v>39</v>
      </c>
      <c r="E437" t="s">
        <v>6</v>
      </c>
      <c r="F437" t="s">
        <v>7</v>
      </c>
      <c r="G437" s="1">
        <f t="shared" si="18"/>
        <v>44924</v>
      </c>
      <c r="H437">
        <f t="shared" si="19"/>
        <v>1</v>
      </c>
      <c r="I437">
        <f t="shared" si="20"/>
        <v>0</v>
      </c>
      <c r="J437">
        <f>IF(Table1[[#This Row],[Active_months]]&gt;=1, 1, 0)</f>
        <v>1</v>
      </c>
    </row>
    <row r="438" spans="1:10" x14ac:dyDescent="0.3">
      <c r="A438">
        <v>150878120</v>
      </c>
      <c r="B438" s="1">
        <v>44868</v>
      </c>
      <c r="C438" s="1">
        <v>44905</v>
      </c>
      <c r="D438">
        <v>39</v>
      </c>
      <c r="E438" t="s">
        <v>6</v>
      </c>
      <c r="F438" t="s">
        <v>7</v>
      </c>
      <c r="G438" s="1">
        <f t="shared" si="18"/>
        <v>44905</v>
      </c>
      <c r="H438">
        <f t="shared" si="19"/>
        <v>1</v>
      </c>
      <c r="I438">
        <f t="shared" si="20"/>
        <v>0</v>
      </c>
      <c r="J438">
        <f>IF(Table1[[#This Row],[Active_months]]&gt;=1, 1, 0)</f>
        <v>1</v>
      </c>
    </row>
    <row r="439" spans="1:10" x14ac:dyDescent="0.3">
      <c r="A439">
        <v>160208723</v>
      </c>
      <c r="B439" s="1">
        <v>44869</v>
      </c>
      <c r="D439">
        <v>39</v>
      </c>
      <c r="E439" t="s">
        <v>6</v>
      </c>
      <c r="F439" t="s">
        <v>7</v>
      </c>
      <c r="G439" s="1">
        <f t="shared" si="18"/>
        <v>45199</v>
      </c>
      <c r="H439">
        <f t="shared" si="19"/>
        <v>10</v>
      </c>
      <c r="I439">
        <f t="shared" si="20"/>
        <v>1</v>
      </c>
      <c r="J439">
        <f>IF(Table1[[#This Row],[Active_months]]&gt;=1, 1, 0)</f>
        <v>1</v>
      </c>
    </row>
    <row r="440" spans="1:10" x14ac:dyDescent="0.3">
      <c r="A440">
        <v>153539322</v>
      </c>
      <c r="B440" s="1">
        <v>44869</v>
      </c>
      <c r="C440" s="1">
        <v>44964</v>
      </c>
      <c r="D440">
        <v>39</v>
      </c>
      <c r="E440" t="s">
        <v>6</v>
      </c>
      <c r="F440" t="s">
        <v>7</v>
      </c>
      <c r="G440" s="1">
        <f t="shared" si="18"/>
        <v>44964</v>
      </c>
      <c r="H440">
        <f t="shared" si="19"/>
        <v>3</v>
      </c>
      <c r="I440">
        <f t="shared" si="20"/>
        <v>0</v>
      </c>
      <c r="J440">
        <f>IF(Table1[[#This Row],[Active_months]]&gt;=1, 1, 0)</f>
        <v>1</v>
      </c>
    </row>
    <row r="441" spans="1:10" x14ac:dyDescent="0.3">
      <c r="A441">
        <v>160164472</v>
      </c>
      <c r="B441" s="1">
        <v>44869</v>
      </c>
      <c r="C441" s="1">
        <v>44981</v>
      </c>
      <c r="D441">
        <v>39</v>
      </c>
      <c r="E441" t="s">
        <v>6</v>
      </c>
      <c r="F441" t="s">
        <v>7</v>
      </c>
      <c r="G441" s="1">
        <f t="shared" si="18"/>
        <v>44981</v>
      </c>
      <c r="H441">
        <f t="shared" si="19"/>
        <v>3</v>
      </c>
      <c r="I441">
        <f t="shared" si="20"/>
        <v>0</v>
      </c>
      <c r="J441">
        <f>IF(Table1[[#This Row],[Active_months]]&gt;=1, 1, 0)</f>
        <v>1</v>
      </c>
    </row>
    <row r="442" spans="1:10" x14ac:dyDescent="0.3">
      <c r="A442">
        <v>160193644</v>
      </c>
      <c r="B442" s="1">
        <v>44869</v>
      </c>
      <c r="C442" s="1">
        <v>44937</v>
      </c>
      <c r="D442">
        <v>39</v>
      </c>
      <c r="E442" t="s">
        <v>6</v>
      </c>
      <c r="F442" t="s">
        <v>7</v>
      </c>
      <c r="G442" s="1">
        <f t="shared" si="18"/>
        <v>44937</v>
      </c>
      <c r="H442">
        <f t="shared" si="19"/>
        <v>2</v>
      </c>
      <c r="I442">
        <f t="shared" si="20"/>
        <v>0</v>
      </c>
      <c r="J442">
        <f>IF(Table1[[#This Row],[Active_months]]&gt;=1, 1, 0)</f>
        <v>1</v>
      </c>
    </row>
    <row r="443" spans="1:10" x14ac:dyDescent="0.3">
      <c r="A443">
        <v>156294098</v>
      </c>
      <c r="B443" s="1">
        <v>44869</v>
      </c>
      <c r="C443" s="1">
        <v>44898</v>
      </c>
      <c r="D443">
        <v>39</v>
      </c>
      <c r="E443" t="s">
        <v>6</v>
      </c>
      <c r="F443" t="s">
        <v>7</v>
      </c>
      <c r="G443" s="1">
        <f t="shared" si="18"/>
        <v>44898</v>
      </c>
      <c r="H443">
        <f t="shared" si="19"/>
        <v>1</v>
      </c>
      <c r="I443">
        <f t="shared" si="20"/>
        <v>0</v>
      </c>
      <c r="J443">
        <f>IF(Table1[[#This Row],[Active_months]]&gt;=1, 1, 0)</f>
        <v>1</v>
      </c>
    </row>
    <row r="444" spans="1:10" x14ac:dyDescent="0.3">
      <c r="A444">
        <v>146625866</v>
      </c>
      <c r="B444" s="1">
        <v>44869</v>
      </c>
      <c r="C444" s="1">
        <v>44884</v>
      </c>
      <c r="D444">
        <v>39</v>
      </c>
      <c r="E444" t="s">
        <v>6</v>
      </c>
      <c r="F444" t="s">
        <v>7</v>
      </c>
      <c r="G444" s="1">
        <f t="shared" si="18"/>
        <v>44884</v>
      </c>
      <c r="H444">
        <f t="shared" si="19"/>
        <v>0</v>
      </c>
      <c r="I444">
        <f t="shared" si="20"/>
        <v>0</v>
      </c>
      <c r="J444">
        <f>IF(Table1[[#This Row],[Active_months]]&gt;=1, 1, 0)</f>
        <v>0</v>
      </c>
    </row>
    <row r="445" spans="1:10" x14ac:dyDescent="0.3">
      <c r="A445">
        <v>157663870</v>
      </c>
      <c r="B445" s="1">
        <v>44870</v>
      </c>
      <c r="C445" s="1">
        <v>44871</v>
      </c>
      <c r="D445">
        <v>39</v>
      </c>
      <c r="E445" t="s">
        <v>6</v>
      </c>
      <c r="F445" t="s">
        <v>7</v>
      </c>
      <c r="G445" s="1">
        <f t="shared" si="18"/>
        <v>44871</v>
      </c>
      <c r="H445">
        <f t="shared" si="19"/>
        <v>0</v>
      </c>
      <c r="I445">
        <f t="shared" si="20"/>
        <v>0</v>
      </c>
      <c r="J445">
        <f>IF(Table1[[#This Row],[Active_months]]&gt;=1, 1, 0)</f>
        <v>0</v>
      </c>
    </row>
    <row r="446" spans="1:10" x14ac:dyDescent="0.3">
      <c r="A446">
        <v>159679042</v>
      </c>
      <c r="B446" s="1">
        <v>44870</v>
      </c>
      <c r="C446" s="1">
        <v>44871</v>
      </c>
      <c r="D446">
        <v>39</v>
      </c>
      <c r="E446" t="s">
        <v>6</v>
      </c>
      <c r="F446" t="s">
        <v>8</v>
      </c>
      <c r="G446" s="1">
        <f t="shared" si="18"/>
        <v>44871</v>
      </c>
      <c r="H446">
        <f t="shared" si="19"/>
        <v>0</v>
      </c>
      <c r="I446">
        <f t="shared" si="20"/>
        <v>0</v>
      </c>
      <c r="J446">
        <f>IF(Table1[[#This Row],[Active_months]]&gt;=1, 1, 0)</f>
        <v>0</v>
      </c>
    </row>
    <row r="447" spans="1:10" x14ac:dyDescent="0.3">
      <c r="A447">
        <v>160558904</v>
      </c>
      <c r="B447" s="1">
        <v>44870</v>
      </c>
      <c r="C447" s="1">
        <v>44950</v>
      </c>
      <c r="D447">
        <v>39</v>
      </c>
      <c r="E447" t="s">
        <v>6</v>
      </c>
      <c r="F447" t="s">
        <v>7</v>
      </c>
      <c r="G447" s="1">
        <f t="shared" si="18"/>
        <v>44950</v>
      </c>
      <c r="H447">
        <f t="shared" si="19"/>
        <v>2</v>
      </c>
      <c r="I447">
        <f t="shared" si="20"/>
        <v>0</v>
      </c>
      <c r="J447">
        <f>IF(Table1[[#This Row],[Active_months]]&gt;=1, 1, 0)</f>
        <v>1</v>
      </c>
    </row>
    <row r="448" spans="1:10" x14ac:dyDescent="0.3">
      <c r="A448">
        <v>127836197</v>
      </c>
      <c r="B448" s="1">
        <v>44870</v>
      </c>
      <c r="C448" s="1">
        <v>44870</v>
      </c>
      <c r="D448">
        <v>39</v>
      </c>
      <c r="E448" t="s">
        <v>6</v>
      </c>
      <c r="F448" t="s">
        <v>7</v>
      </c>
      <c r="G448" s="1">
        <f t="shared" si="18"/>
        <v>44870</v>
      </c>
      <c r="H448">
        <f t="shared" si="19"/>
        <v>0</v>
      </c>
      <c r="I448">
        <f t="shared" si="20"/>
        <v>0</v>
      </c>
      <c r="J448">
        <f>IF(Table1[[#This Row],[Active_months]]&gt;=1, 1, 0)</f>
        <v>0</v>
      </c>
    </row>
    <row r="449" spans="1:10" x14ac:dyDescent="0.3">
      <c r="A449">
        <v>155334332</v>
      </c>
      <c r="B449" s="1">
        <v>44870</v>
      </c>
      <c r="C449" s="1">
        <v>44899</v>
      </c>
      <c r="D449">
        <v>39</v>
      </c>
      <c r="E449" t="s">
        <v>6</v>
      </c>
      <c r="F449" t="s">
        <v>7</v>
      </c>
      <c r="G449" s="1">
        <f t="shared" si="18"/>
        <v>44899</v>
      </c>
      <c r="H449">
        <f t="shared" si="19"/>
        <v>1</v>
      </c>
      <c r="I449">
        <f t="shared" si="20"/>
        <v>0</v>
      </c>
      <c r="J449">
        <f>IF(Table1[[#This Row],[Active_months]]&gt;=1, 1, 0)</f>
        <v>1</v>
      </c>
    </row>
    <row r="450" spans="1:10" x14ac:dyDescent="0.3">
      <c r="A450">
        <v>160523170</v>
      </c>
      <c r="B450" s="1">
        <v>44870</v>
      </c>
      <c r="C450" s="1">
        <v>44907</v>
      </c>
      <c r="D450">
        <v>39</v>
      </c>
      <c r="E450" t="s">
        <v>6</v>
      </c>
      <c r="F450" t="s">
        <v>7</v>
      </c>
      <c r="G450" s="1">
        <f t="shared" si="18"/>
        <v>44907</v>
      </c>
      <c r="H450">
        <f t="shared" si="19"/>
        <v>1</v>
      </c>
      <c r="I450">
        <f t="shared" si="20"/>
        <v>0</v>
      </c>
      <c r="J450">
        <f>IF(Table1[[#This Row],[Active_months]]&gt;=1, 1, 0)</f>
        <v>1</v>
      </c>
    </row>
    <row r="451" spans="1:10" x14ac:dyDescent="0.3">
      <c r="A451">
        <v>156907890</v>
      </c>
      <c r="B451" s="1">
        <v>44870</v>
      </c>
      <c r="C451" s="1">
        <v>44870</v>
      </c>
      <c r="D451">
        <v>39</v>
      </c>
      <c r="E451" t="s">
        <v>6</v>
      </c>
      <c r="F451" t="s">
        <v>7</v>
      </c>
      <c r="G451" s="1">
        <f t="shared" ref="G451:G514" si="21">IF(ISBLANK(C451), DATE(2023,9,30), C451)</f>
        <v>44870</v>
      </c>
      <c r="H451">
        <f t="shared" ref="H451:H514" si="22">(YEAR(G451)-YEAR(B451))*12 + (MONTH(G451)-MONTH(B451))</f>
        <v>0</v>
      </c>
      <c r="I451">
        <f t="shared" ref="I451:I514" si="23">IF(H451 &gt;=5, 1, 0)</f>
        <v>0</v>
      </c>
      <c r="J451">
        <f>IF(Table1[[#This Row],[Active_months]]&gt;=1, 1, 0)</f>
        <v>0</v>
      </c>
    </row>
    <row r="452" spans="1:10" x14ac:dyDescent="0.3">
      <c r="A452">
        <v>160608516</v>
      </c>
      <c r="B452" s="1">
        <v>44870</v>
      </c>
      <c r="C452" s="1">
        <v>45141</v>
      </c>
      <c r="D452">
        <v>39</v>
      </c>
      <c r="E452" t="s">
        <v>6</v>
      </c>
      <c r="F452" t="s">
        <v>7</v>
      </c>
      <c r="G452" s="1">
        <f t="shared" si="21"/>
        <v>45141</v>
      </c>
      <c r="H452">
        <f t="shared" si="22"/>
        <v>9</v>
      </c>
      <c r="I452">
        <f t="shared" si="23"/>
        <v>1</v>
      </c>
      <c r="J452">
        <f>IF(Table1[[#This Row],[Active_months]]&gt;=1, 1, 0)</f>
        <v>1</v>
      </c>
    </row>
    <row r="453" spans="1:10" x14ac:dyDescent="0.3">
      <c r="A453">
        <v>113181220</v>
      </c>
      <c r="B453" s="1">
        <v>44870</v>
      </c>
      <c r="C453" s="1">
        <v>45130</v>
      </c>
      <c r="D453">
        <v>39</v>
      </c>
      <c r="E453" t="s">
        <v>6</v>
      </c>
      <c r="F453" t="s">
        <v>7</v>
      </c>
      <c r="G453" s="1">
        <f t="shared" si="21"/>
        <v>45130</v>
      </c>
      <c r="H453">
        <f t="shared" si="22"/>
        <v>8</v>
      </c>
      <c r="I453">
        <f t="shared" si="23"/>
        <v>1</v>
      </c>
      <c r="J453">
        <f>IF(Table1[[#This Row],[Active_months]]&gt;=1, 1, 0)</f>
        <v>1</v>
      </c>
    </row>
    <row r="454" spans="1:10" x14ac:dyDescent="0.3">
      <c r="A454">
        <v>159790393</v>
      </c>
      <c r="B454" s="1">
        <v>44871</v>
      </c>
      <c r="C454" s="1">
        <v>44970</v>
      </c>
      <c r="D454">
        <v>39</v>
      </c>
      <c r="E454" t="s">
        <v>6</v>
      </c>
      <c r="F454" t="s">
        <v>7</v>
      </c>
      <c r="G454" s="1">
        <f t="shared" si="21"/>
        <v>44970</v>
      </c>
      <c r="H454">
        <f t="shared" si="22"/>
        <v>3</v>
      </c>
      <c r="I454">
        <f t="shared" si="23"/>
        <v>0</v>
      </c>
      <c r="J454">
        <f>IF(Table1[[#This Row],[Active_months]]&gt;=1, 1, 0)</f>
        <v>1</v>
      </c>
    </row>
    <row r="455" spans="1:10" x14ac:dyDescent="0.3">
      <c r="A455">
        <v>147813476</v>
      </c>
      <c r="B455" s="1">
        <v>44871</v>
      </c>
      <c r="C455" s="1">
        <v>44953</v>
      </c>
      <c r="D455">
        <v>39</v>
      </c>
      <c r="E455" t="s">
        <v>6</v>
      </c>
      <c r="F455" t="s">
        <v>7</v>
      </c>
      <c r="G455" s="1">
        <f t="shared" si="21"/>
        <v>44953</v>
      </c>
      <c r="H455">
        <f t="shared" si="22"/>
        <v>2</v>
      </c>
      <c r="I455">
        <f t="shared" si="23"/>
        <v>0</v>
      </c>
      <c r="J455">
        <f>IF(Table1[[#This Row],[Active_months]]&gt;=1, 1, 0)</f>
        <v>1</v>
      </c>
    </row>
    <row r="456" spans="1:10" x14ac:dyDescent="0.3">
      <c r="A456">
        <v>156078158</v>
      </c>
      <c r="B456" s="1">
        <v>44871</v>
      </c>
      <c r="C456" s="1">
        <v>44951</v>
      </c>
      <c r="D456">
        <v>39</v>
      </c>
      <c r="E456" t="s">
        <v>6</v>
      </c>
      <c r="F456" t="s">
        <v>7</v>
      </c>
      <c r="G456" s="1">
        <f t="shared" si="21"/>
        <v>44951</v>
      </c>
      <c r="H456">
        <f t="shared" si="22"/>
        <v>2</v>
      </c>
      <c r="I456">
        <f t="shared" si="23"/>
        <v>0</v>
      </c>
      <c r="J456">
        <f>IF(Table1[[#This Row],[Active_months]]&gt;=1, 1, 0)</f>
        <v>1</v>
      </c>
    </row>
    <row r="457" spans="1:10" x14ac:dyDescent="0.3">
      <c r="A457">
        <v>154879898</v>
      </c>
      <c r="B457" s="1">
        <v>44871</v>
      </c>
      <c r="C457" s="1">
        <v>44882</v>
      </c>
      <c r="D457">
        <v>39</v>
      </c>
      <c r="E457" t="s">
        <v>6</v>
      </c>
      <c r="F457" t="s">
        <v>7</v>
      </c>
      <c r="G457" s="1">
        <f t="shared" si="21"/>
        <v>44882</v>
      </c>
      <c r="H457">
        <f t="shared" si="22"/>
        <v>0</v>
      </c>
      <c r="I457">
        <f t="shared" si="23"/>
        <v>0</v>
      </c>
      <c r="J457">
        <f>IF(Table1[[#This Row],[Active_months]]&gt;=1, 1, 0)</f>
        <v>0</v>
      </c>
    </row>
    <row r="458" spans="1:10" x14ac:dyDescent="0.3">
      <c r="A458">
        <v>136157937</v>
      </c>
      <c r="B458" s="1">
        <v>44871</v>
      </c>
      <c r="C458" s="1">
        <v>44908</v>
      </c>
      <c r="D458">
        <v>39</v>
      </c>
      <c r="E458" t="s">
        <v>6</v>
      </c>
      <c r="F458" t="s">
        <v>7</v>
      </c>
      <c r="G458" s="1">
        <f t="shared" si="21"/>
        <v>44908</v>
      </c>
      <c r="H458">
        <f t="shared" si="22"/>
        <v>1</v>
      </c>
      <c r="I458">
        <f t="shared" si="23"/>
        <v>0</v>
      </c>
      <c r="J458">
        <f>IF(Table1[[#This Row],[Active_months]]&gt;=1, 1, 0)</f>
        <v>1</v>
      </c>
    </row>
    <row r="459" spans="1:10" x14ac:dyDescent="0.3">
      <c r="A459">
        <v>160176868</v>
      </c>
      <c r="B459" s="1">
        <v>44871</v>
      </c>
      <c r="C459" s="1">
        <v>44896</v>
      </c>
      <c r="D459">
        <v>39</v>
      </c>
      <c r="E459" t="s">
        <v>6</v>
      </c>
      <c r="F459" t="s">
        <v>7</v>
      </c>
      <c r="G459" s="1">
        <f t="shared" si="21"/>
        <v>44896</v>
      </c>
      <c r="H459">
        <f t="shared" si="22"/>
        <v>1</v>
      </c>
      <c r="I459">
        <f t="shared" si="23"/>
        <v>0</v>
      </c>
      <c r="J459">
        <f>IF(Table1[[#This Row],[Active_months]]&gt;=1, 1, 0)</f>
        <v>1</v>
      </c>
    </row>
    <row r="460" spans="1:10" x14ac:dyDescent="0.3">
      <c r="A460">
        <v>160622888</v>
      </c>
      <c r="B460" s="1">
        <v>44871</v>
      </c>
      <c r="C460" s="1">
        <v>44871</v>
      </c>
      <c r="D460">
        <v>39</v>
      </c>
      <c r="E460" t="s">
        <v>6</v>
      </c>
      <c r="F460" t="s">
        <v>7</v>
      </c>
      <c r="G460" s="1">
        <f t="shared" si="21"/>
        <v>44871</v>
      </c>
      <c r="H460">
        <f t="shared" si="22"/>
        <v>0</v>
      </c>
      <c r="I460">
        <f t="shared" si="23"/>
        <v>0</v>
      </c>
      <c r="J460">
        <f>IF(Table1[[#This Row],[Active_months]]&gt;=1, 1, 0)</f>
        <v>0</v>
      </c>
    </row>
    <row r="461" spans="1:10" x14ac:dyDescent="0.3">
      <c r="A461">
        <v>158736659</v>
      </c>
      <c r="B461" s="1">
        <v>44872</v>
      </c>
      <c r="D461">
        <v>39</v>
      </c>
      <c r="E461" t="s">
        <v>6</v>
      </c>
      <c r="F461" t="s">
        <v>7</v>
      </c>
      <c r="G461" s="1">
        <f t="shared" si="21"/>
        <v>45199</v>
      </c>
      <c r="H461">
        <f t="shared" si="22"/>
        <v>10</v>
      </c>
      <c r="I461">
        <f t="shared" si="23"/>
        <v>1</v>
      </c>
      <c r="J461">
        <f>IF(Table1[[#This Row],[Active_months]]&gt;=1, 1, 0)</f>
        <v>1</v>
      </c>
    </row>
    <row r="462" spans="1:10" x14ac:dyDescent="0.3">
      <c r="A462">
        <v>160813660</v>
      </c>
      <c r="B462" s="1">
        <v>44872</v>
      </c>
      <c r="D462">
        <v>39</v>
      </c>
      <c r="E462" t="s">
        <v>6</v>
      </c>
      <c r="F462" t="s">
        <v>7</v>
      </c>
      <c r="G462" s="1">
        <f t="shared" si="21"/>
        <v>45199</v>
      </c>
      <c r="H462">
        <f t="shared" si="22"/>
        <v>10</v>
      </c>
      <c r="I462">
        <f t="shared" si="23"/>
        <v>1</v>
      </c>
      <c r="J462">
        <f>IF(Table1[[#This Row],[Active_months]]&gt;=1, 1, 0)</f>
        <v>1</v>
      </c>
    </row>
    <row r="463" spans="1:10" x14ac:dyDescent="0.3">
      <c r="A463">
        <v>158524240</v>
      </c>
      <c r="B463" s="1">
        <v>44872</v>
      </c>
      <c r="D463">
        <v>39</v>
      </c>
      <c r="E463" t="s">
        <v>6</v>
      </c>
      <c r="F463" t="s">
        <v>7</v>
      </c>
      <c r="G463" s="1">
        <f t="shared" si="21"/>
        <v>45199</v>
      </c>
      <c r="H463">
        <f t="shared" si="22"/>
        <v>10</v>
      </c>
      <c r="I463">
        <f t="shared" si="23"/>
        <v>1</v>
      </c>
      <c r="J463">
        <f>IF(Table1[[#This Row],[Active_months]]&gt;=1, 1, 0)</f>
        <v>1</v>
      </c>
    </row>
    <row r="464" spans="1:10" x14ac:dyDescent="0.3">
      <c r="A464">
        <v>160702738</v>
      </c>
      <c r="B464" s="1">
        <v>44872</v>
      </c>
      <c r="D464">
        <v>39</v>
      </c>
      <c r="E464" t="s">
        <v>6</v>
      </c>
      <c r="F464" t="s">
        <v>7</v>
      </c>
      <c r="G464" s="1">
        <f t="shared" si="21"/>
        <v>45199</v>
      </c>
      <c r="H464">
        <f t="shared" si="22"/>
        <v>10</v>
      </c>
      <c r="I464">
        <f t="shared" si="23"/>
        <v>1</v>
      </c>
      <c r="J464">
        <f>IF(Table1[[#This Row],[Active_months]]&gt;=1, 1, 0)</f>
        <v>1</v>
      </c>
    </row>
    <row r="465" spans="1:10" x14ac:dyDescent="0.3">
      <c r="A465">
        <v>138919619</v>
      </c>
      <c r="B465" s="1">
        <v>44872</v>
      </c>
      <c r="C465" s="1">
        <v>44901</v>
      </c>
      <c r="D465">
        <v>39</v>
      </c>
      <c r="E465" t="s">
        <v>6</v>
      </c>
      <c r="F465" t="s">
        <v>7</v>
      </c>
      <c r="G465" s="1">
        <f t="shared" si="21"/>
        <v>44901</v>
      </c>
      <c r="H465">
        <f t="shared" si="22"/>
        <v>1</v>
      </c>
      <c r="I465">
        <f t="shared" si="23"/>
        <v>0</v>
      </c>
      <c r="J465">
        <f>IF(Table1[[#This Row],[Active_months]]&gt;=1, 1, 0)</f>
        <v>1</v>
      </c>
    </row>
    <row r="466" spans="1:10" x14ac:dyDescent="0.3">
      <c r="A466">
        <v>121571816</v>
      </c>
      <c r="B466" s="1">
        <v>44872</v>
      </c>
      <c r="C466" s="1">
        <v>45011</v>
      </c>
      <c r="D466">
        <v>39</v>
      </c>
      <c r="E466" t="s">
        <v>6</v>
      </c>
      <c r="F466" t="s">
        <v>7</v>
      </c>
      <c r="G466" s="1">
        <f t="shared" si="21"/>
        <v>45011</v>
      </c>
      <c r="H466">
        <f t="shared" si="22"/>
        <v>4</v>
      </c>
      <c r="I466">
        <f t="shared" si="23"/>
        <v>0</v>
      </c>
      <c r="J466">
        <f>IF(Table1[[#This Row],[Active_months]]&gt;=1, 1, 0)</f>
        <v>1</v>
      </c>
    </row>
    <row r="467" spans="1:10" x14ac:dyDescent="0.3">
      <c r="A467">
        <v>160623955</v>
      </c>
      <c r="B467" s="1">
        <v>44872</v>
      </c>
      <c r="C467" s="1">
        <v>45112</v>
      </c>
      <c r="D467">
        <v>39</v>
      </c>
      <c r="E467" t="s">
        <v>6</v>
      </c>
      <c r="F467" t="s">
        <v>7</v>
      </c>
      <c r="G467" s="1">
        <f t="shared" si="21"/>
        <v>45112</v>
      </c>
      <c r="H467">
        <f t="shared" si="22"/>
        <v>8</v>
      </c>
      <c r="I467">
        <f t="shared" si="23"/>
        <v>1</v>
      </c>
      <c r="J467">
        <f>IF(Table1[[#This Row],[Active_months]]&gt;=1, 1, 0)</f>
        <v>1</v>
      </c>
    </row>
    <row r="468" spans="1:10" x14ac:dyDescent="0.3">
      <c r="A468">
        <v>160010850</v>
      </c>
      <c r="B468" s="1">
        <v>44872</v>
      </c>
      <c r="C468" s="1">
        <v>44994</v>
      </c>
      <c r="D468">
        <v>39</v>
      </c>
      <c r="E468" t="s">
        <v>6</v>
      </c>
      <c r="F468" t="s">
        <v>7</v>
      </c>
      <c r="G468" s="1">
        <f t="shared" si="21"/>
        <v>44994</v>
      </c>
      <c r="H468">
        <f t="shared" si="22"/>
        <v>4</v>
      </c>
      <c r="I468">
        <f t="shared" si="23"/>
        <v>0</v>
      </c>
      <c r="J468">
        <f>IF(Table1[[#This Row],[Active_months]]&gt;=1, 1, 0)</f>
        <v>1</v>
      </c>
    </row>
    <row r="469" spans="1:10" x14ac:dyDescent="0.3">
      <c r="A469">
        <v>160823268</v>
      </c>
      <c r="B469" s="1">
        <v>44872</v>
      </c>
      <c r="C469" s="1">
        <v>44963</v>
      </c>
      <c r="D469">
        <v>39</v>
      </c>
      <c r="E469" t="s">
        <v>6</v>
      </c>
      <c r="F469" t="s">
        <v>7</v>
      </c>
      <c r="G469" s="1">
        <f t="shared" si="21"/>
        <v>44963</v>
      </c>
      <c r="H469">
        <f t="shared" si="22"/>
        <v>3</v>
      </c>
      <c r="I469">
        <f t="shared" si="23"/>
        <v>0</v>
      </c>
      <c r="J469">
        <f>IF(Table1[[#This Row],[Active_months]]&gt;=1, 1, 0)</f>
        <v>1</v>
      </c>
    </row>
    <row r="470" spans="1:10" x14ac:dyDescent="0.3">
      <c r="A470">
        <v>158992873</v>
      </c>
      <c r="B470" s="1">
        <v>44872</v>
      </c>
      <c r="C470" s="1">
        <v>44971</v>
      </c>
      <c r="D470">
        <v>39</v>
      </c>
      <c r="E470" t="s">
        <v>6</v>
      </c>
      <c r="F470" t="s">
        <v>7</v>
      </c>
      <c r="G470" s="1">
        <f t="shared" si="21"/>
        <v>44971</v>
      </c>
      <c r="H470">
        <f t="shared" si="22"/>
        <v>3</v>
      </c>
      <c r="I470">
        <f t="shared" si="23"/>
        <v>0</v>
      </c>
      <c r="J470">
        <f>IF(Table1[[#This Row],[Active_months]]&gt;=1, 1, 0)</f>
        <v>1</v>
      </c>
    </row>
    <row r="471" spans="1:10" x14ac:dyDescent="0.3">
      <c r="A471">
        <v>159878556</v>
      </c>
      <c r="B471" s="1">
        <v>44872</v>
      </c>
      <c r="C471" s="1">
        <v>44902</v>
      </c>
      <c r="D471">
        <v>39</v>
      </c>
      <c r="E471" t="s">
        <v>6</v>
      </c>
      <c r="F471" t="s">
        <v>7</v>
      </c>
      <c r="G471" s="1">
        <f t="shared" si="21"/>
        <v>44902</v>
      </c>
      <c r="H471">
        <f t="shared" si="22"/>
        <v>1</v>
      </c>
      <c r="I471">
        <f t="shared" si="23"/>
        <v>0</v>
      </c>
      <c r="J471">
        <f>IF(Table1[[#This Row],[Active_months]]&gt;=1, 1, 0)</f>
        <v>1</v>
      </c>
    </row>
    <row r="472" spans="1:10" x14ac:dyDescent="0.3">
      <c r="A472">
        <v>160833652</v>
      </c>
      <c r="B472" s="1">
        <v>44872</v>
      </c>
      <c r="C472" s="1">
        <v>44909</v>
      </c>
      <c r="D472">
        <v>39</v>
      </c>
      <c r="E472" t="s">
        <v>6</v>
      </c>
      <c r="F472" t="s">
        <v>7</v>
      </c>
      <c r="G472" s="1">
        <f t="shared" si="21"/>
        <v>44909</v>
      </c>
      <c r="H472">
        <f t="shared" si="22"/>
        <v>1</v>
      </c>
      <c r="I472">
        <f t="shared" si="23"/>
        <v>0</v>
      </c>
      <c r="J472">
        <f>IF(Table1[[#This Row],[Active_months]]&gt;=1, 1, 0)</f>
        <v>1</v>
      </c>
    </row>
    <row r="473" spans="1:10" x14ac:dyDescent="0.3">
      <c r="A473">
        <v>157663870</v>
      </c>
      <c r="B473" s="1">
        <v>44872</v>
      </c>
      <c r="C473" s="1">
        <v>44903</v>
      </c>
      <c r="D473">
        <v>39</v>
      </c>
      <c r="E473" t="s">
        <v>6</v>
      </c>
      <c r="F473" t="s">
        <v>7</v>
      </c>
      <c r="G473" s="1">
        <f t="shared" si="21"/>
        <v>44903</v>
      </c>
      <c r="H473">
        <f t="shared" si="22"/>
        <v>1</v>
      </c>
      <c r="I473">
        <f t="shared" si="23"/>
        <v>0</v>
      </c>
      <c r="J473">
        <f>IF(Table1[[#This Row],[Active_months]]&gt;=1, 1, 0)</f>
        <v>1</v>
      </c>
    </row>
    <row r="474" spans="1:10" x14ac:dyDescent="0.3">
      <c r="A474">
        <v>160615413</v>
      </c>
      <c r="B474" s="1">
        <v>44872</v>
      </c>
      <c r="C474" s="1">
        <v>44920</v>
      </c>
      <c r="D474">
        <v>39</v>
      </c>
      <c r="E474" t="s">
        <v>6</v>
      </c>
      <c r="F474" t="s">
        <v>7</v>
      </c>
      <c r="G474" s="1">
        <f t="shared" si="21"/>
        <v>44920</v>
      </c>
      <c r="H474">
        <f t="shared" si="22"/>
        <v>1</v>
      </c>
      <c r="I474">
        <f t="shared" si="23"/>
        <v>0</v>
      </c>
      <c r="J474">
        <f>IF(Table1[[#This Row],[Active_months]]&gt;=1, 1, 0)</f>
        <v>1</v>
      </c>
    </row>
    <row r="475" spans="1:10" x14ac:dyDescent="0.3">
      <c r="A475">
        <v>156207052</v>
      </c>
      <c r="B475" s="1">
        <v>44872</v>
      </c>
      <c r="C475" s="1">
        <v>44899</v>
      </c>
      <c r="D475">
        <v>39</v>
      </c>
      <c r="E475" t="s">
        <v>6</v>
      </c>
      <c r="F475" t="s">
        <v>7</v>
      </c>
      <c r="G475" s="1">
        <f t="shared" si="21"/>
        <v>44899</v>
      </c>
      <c r="H475">
        <f t="shared" si="22"/>
        <v>1</v>
      </c>
      <c r="I475">
        <f t="shared" si="23"/>
        <v>0</v>
      </c>
      <c r="J475">
        <f>IF(Table1[[#This Row],[Active_months]]&gt;=1, 1, 0)</f>
        <v>1</v>
      </c>
    </row>
    <row r="476" spans="1:10" x14ac:dyDescent="0.3">
      <c r="A476">
        <v>160103792</v>
      </c>
      <c r="B476" s="1">
        <v>44872</v>
      </c>
      <c r="C476" s="1">
        <v>44872</v>
      </c>
      <c r="D476">
        <v>39</v>
      </c>
      <c r="E476" t="s">
        <v>6</v>
      </c>
      <c r="F476" t="s">
        <v>7</v>
      </c>
      <c r="G476" s="1">
        <f t="shared" si="21"/>
        <v>44872</v>
      </c>
      <c r="H476">
        <f t="shared" si="22"/>
        <v>0</v>
      </c>
      <c r="I476">
        <f t="shared" si="23"/>
        <v>0</v>
      </c>
      <c r="J476">
        <f>IF(Table1[[#This Row],[Active_months]]&gt;=1, 1, 0)</f>
        <v>0</v>
      </c>
    </row>
    <row r="477" spans="1:10" x14ac:dyDescent="0.3">
      <c r="A477">
        <v>160969302</v>
      </c>
      <c r="B477" s="1">
        <v>44874</v>
      </c>
      <c r="C477" s="1">
        <v>45168</v>
      </c>
      <c r="D477">
        <v>39</v>
      </c>
      <c r="E477" t="s">
        <v>6</v>
      </c>
      <c r="F477" t="s">
        <v>7</v>
      </c>
      <c r="G477" s="1">
        <f t="shared" si="21"/>
        <v>45168</v>
      </c>
      <c r="H477">
        <f t="shared" si="22"/>
        <v>9</v>
      </c>
      <c r="I477">
        <f t="shared" si="23"/>
        <v>1</v>
      </c>
      <c r="J477">
        <f>IF(Table1[[#This Row],[Active_months]]&gt;=1, 1, 0)</f>
        <v>1</v>
      </c>
    </row>
    <row r="478" spans="1:10" x14ac:dyDescent="0.3">
      <c r="A478">
        <v>149648746</v>
      </c>
      <c r="B478" s="1">
        <v>44874</v>
      </c>
      <c r="C478" s="1">
        <v>45079</v>
      </c>
      <c r="D478">
        <v>39</v>
      </c>
      <c r="E478" t="s">
        <v>6</v>
      </c>
      <c r="F478" t="s">
        <v>7</v>
      </c>
      <c r="G478" s="1">
        <f t="shared" si="21"/>
        <v>45079</v>
      </c>
      <c r="H478">
        <f t="shared" si="22"/>
        <v>7</v>
      </c>
      <c r="I478">
        <f t="shared" si="23"/>
        <v>1</v>
      </c>
      <c r="J478">
        <f>IF(Table1[[#This Row],[Active_months]]&gt;=1, 1, 0)</f>
        <v>1</v>
      </c>
    </row>
    <row r="479" spans="1:10" x14ac:dyDescent="0.3">
      <c r="A479">
        <v>155643390</v>
      </c>
      <c r="B479" s="1">
        <v>44874</v>
      </c>
      <c r="C479" s="1">
        <v>45016</v>
      </c>
      <c r="D479">
        <v>39</v>
      </c>
      <c r="E479" t="s">
        <v>6</v>
      </c>
      <c r="F479" t="s">
        <v>7</v>
      </c>
      <c r="G479" s="1">
        <f t="shared" si="21"/>
        <v>45016</v>
      </c>
      <c r="H479">
        <f t="shared" si="22"/>
        <v>4</v>
      </c>
      <c r="I479">
        <f t="shared" si="23"/>
        <v>0</v>
      </c>
      <c r="J479">
        <f>IF(Table1[[#This Row],[Active_months]]&gt;=1, 1, 0)</f>
        <v>1</v>
      </c>
    </row>
    <row r="480" spans="1:10" x14ac:dyDescent="0.3">
      <c r="A480">
        <v>119294384</v>
      </c>
      <c r="B480" s="1">
        <v>44874</v>
      </c>
      <c r="C480" s="1">
        <v>44987</v>
      </c>
      <c r="D480">
        <v>39</v>
      </c>
      <c r="E480" t="s">
        <v>6</v>
      </c>
      <c r="F480" t="s">
        <v>7</v>
      </c>
      <c r="G480" s="1">
        <f t="shared" si="21"/>
        <v>44987</v>
      </c>
      <c r="H480">
        <f t="shared" si="22"/>
        <v>4</v>
      </c>
      <c r="I480">
        <f t="shared" si="23"/>
        <v>0</v>
      </c>
      <c r="J480">
        <f>IF(Table1[[#This Row],[Active_months]]&gt;=1, 1, 0)</f>
        <v>1</v>
      </c>
    </row>
    <row r="481" spans="1:10" x14ac:dyDescent="0.3">
      <c r="A481">
        <v>160171541</v>
      </c>
      <c r="B481" s="1">
        <v>44874</v>
      </c>
      <c r="C481" s="1">
        <v>44929</v>
      </c>
      <c r="D481">
        <v>39</v>
      </c>
      <c r="E481" t="s">
        <v>6</v>
      </c>
      <c r="F481" t="s">
        <v>7</v>
      </c>
      <c r="G481" s="1">
        <f t="shared" si="21"/>
        <v>44929</v>
      </c>
      <c r="H481">
        <f t="shared" si="22"/>
        <v>2</v>
      </c>
      <c r="I481">
        <f t="shared" si="23"/>
        <v>0</v>
      </c>
      <c r="J481">
        <f>IF(Table1[[#This Row],[Active_months]]&gt;=1, 1, 0)</f>
        <v>1</v>
      </c>
    </row>
    <row r="482" spans="1:10" x14ac:dyDescent="0.3">
      <c r="A482">
        <v>150569213</v>
      </c>
      <c r="B482" s="1">
        <v>44874</v>
      </c>
      <c r="C482" s="1">
        <v>44911</v>
      </c>
      <c r="D482">
        <v>39</v>
      </c>
      <c r="E482" t="s">
        <v>6</v>
      </c>
      <c r="F482" t="s">
        <v>7</v>
      </c>
      <c r="G482" s="1">
        <f t="shared" si="21"/>
        <v>44911</v>
      </c>
      <c r="H482">
        <f t="shared" si="22"/>
        <v>1</v>
      </c>
      <c r="I482">
        <f t="shared" si="23"/>
        <v>0</v>
      </c>
      <c r="J482">
        <f>IF(Table1[[#This Row],[Active_months]]&gt;=1, 1, 0)</f>
        <v>1</v>
      </c>
    </row>
    <row r="483" spans="1:10" x14ac:dyDescent="0.3">
      <c r="A483">
        <v>156710028</v>
      </c>
      <c r="B483" s="1">
        <v>44875</v>
      </c>
      <c r="C483" s="1">
        <v>44992</v>
      </c>
      <c r="D483">
        <v>39</v>
      </c>
      <c r="E483" t="s">
        <v>6</v>
      </c>
      <c r="F483" t="s">
        <v>7</v>
      </c>
      <c r="G483" s="1">
        <f t="shared" si="21"/>
        <v>44992</v>
      </c>
      <c r="H483">
        <f t="shared" si="22"/>
        <v>4</v>
      </c>
      <c r="I483">
        <f t="shared" si="23"/>
        <v>0</v>
      </c>
      <c r="J483">
        <f>IF(Table1[[#This Row],[Active_months]]&gt;=1, 1, 0)</f>
        <v>1</v>
      </c>
    </row>
    <row r="484" spans="1:10" x14ac:dyDescent="0.3">
      <c r="A484">
        <v>157670310</v>
      </c>
      <c r="B484" s="1">
        <v>44875</v>
      </c>
      <c r="C484" s="1">
        <v>44958</v>
      </c>
      <c r="D484">
        <v>39</v>
      </c>
      <c r="E484" t="s">
        <v>6</v>
      </c>
      <c r="F484" t="s">
        <v>7</v>
      </c>
      <c r="G484" s="1">
        <f t="shared" si="21"/>
        <v>44958</v>
      </c>
      <c r="H484">
        <f t="shared" si="22"/>
        <v>3</v>
      </c>
      <c r="I484">
        <f t="shared" si="23"/>
        <v>0</v>
      </c>
      <c r="J484">
        <f>IF(Table1[[#This Row],[Active_months]]&gt;=1, 1, 0)</f>
        <v>1</v>
      </c>
    </row>
    <row r="485" spans="1:10" x14ac:dyDescent="0.3">
      <c r="A485">
        <v>157091067</v>
      </c>
      <c r="B485" s="1">
        <v>44875</v>
      </c>
      <c r="C485" s="1">
        <v>44969</v>
      </c>
      <c r="D485">
        <v>39</v>
      </c>
      <c r="E485" t="s">
        <v>6</v>
      </c>
      <c r="F485" t="s">
        <v>7</v>
      </c>
      <c r="G485" s="1">
        <f t="shared" si="21"/>
        <v>44969</v>
      </c>
      <c r="H485">
        <f t="shared" si="22"/>
        <v>3</v>
      </c>
      <c r="I485">
        <f t="shared" si="23"/>
        <v>0</v>
      </c>
      <c r="J485">
        <f>IF(Table1[[#This Row],[Active_months]]&gt;=1, 1, 0)</f>
        <v>1</v>
      </c>
    </row>
    <row r="486" spans="1:10" x14ac:dyDescent="0.3">
      <c r="A486">
        <v>159639128</v>
      </c>
      <c r="B486" s="1">
        <v>44875</v>
      </c>
      <c r="C486" s="1">
        <v>44875</v>
      </c>
      <c r="D486">
        <v>39</v>
      </c>
      <c r="E486" t="s">
        <v>6</v>
      </c>
      <c r="F486" t="s">
        <v>7</v>
      </c>
      <c r="G486" s="1">
        <f t="shared" si="21"/>
        <v>44875</v>
      </c>
      <c r="H486">
        <f t="shared" si="22"/>
        <v>0</v>
      </c>
      <c r="I486">
        <f t="shared" si="23"/>
        <v>0</v>
      </c>
      <c r="J486">
        <f>IF(Table1[[#This Row],[Active_months]]&gt;=1, 1, 0)</f>
        <v>0</v>
      </c>
    </row>
    <row r="487" spans="1:10" x14ac:dyDescent="0.3">
      <c r="A487">
        <v>149728468</v>
      </c>
      <c r="B487" s="1">
        <v>44876</v>
      </c>
      <c r="C487" s="1">
        <v>44877</v>
      </c>
      <c r="D487">
        <v>39</v>
      </c>
      <c r="E487" t="s">
        <v>6</v>
      </c>
      <c r="F487" t="s">
        <v>7</v>
      </c>
      <c r="G487" s="1">
        <f t="shared" si="21"/>
        <v>44877</v>
      </c>
      <c r="H487">
        <f t="shared" si="22"/>
        <v>0</v>
      </c>
      <c r="I487">
        <f t="shared" si="23"/>
        <v>0</v>
      </c>
      <c r="J487">
        <f>IF(Table1[[#This Row],[Active_months]]&gt;=1, 1, 0)</f>
        <v>0</v>
      </c>
    </row>
    <row r="488" spans="1:10" x14ac:dyDescent="0.3">
      <c r="A488">
        <v>160714172</v>
      </c>
      <c r="B488" s="1">
        <v>44876</v>
      </c>
      <c r="C488" s="1">
        <v>44926</v>
      </c>
      <c r="D488">
        <v>39</v>
      </c>
      <c r="E488" t="s">
        <v>6</v>
      </c>
      <c r="F488" t="s">
        <v>7</v>
      </c>
      <c r="G488" s="1">
        <f t="shared" si="21"/>
        <v>44926</v>
      </c>
      <c r="H488">
        <f t="shared" si="22"/>
        <v>1</v>
      </c>
      <c r="I488">
        <f t="shared" si="23"/>
        <v>0</v>
      </c>
      <c r="J488">
        <f>IF(Table1[[#This Row],[Active_months]]&gt;=1, 1, 0)</f>
        <v>1</v>
      </c>
    </row>
    <row r="489" spans="1:10" x14ac:dyDescent="0.3">
      <c r="A489">
        <v>161464205</v>
      </c>
      <c r="B489" s="1">
        <v>44876</v>
      </c>
      <c r="C489" s="1">
        <v>44911</v>
      </c>
      <c r="D489">
        <v>39</v>
      </c>
      <c r="E489" t="s">
        <v>6</v>
      </c>
      <c r="F489" t="s">
        <v>7</v>
      </c>
      <c r="G489" s="1">
        <f t="shared" si="21"/>
        <v>44911</v>
      </c>
      <c r="H489">
        <f t="shared" si="22"/>
        <v>1</v>
      </c>
      <c r="I489">
        <f t="shared" si="23"/>
        <v>0</v>
      </c>
      <c r="J489">
        <f>IF(Table1[[#This Row],[Active_months]]&gt;=1, 1, 0)</f>
        <v>1</v>
      </c>
    </row>
    <row r="490" spans="1:10" x14ac:dyDescent="0.3">
      <c r="A490">
        <v>141084753</v>
      </c>
      <c r="B490" s="1">
        <v>44877</v>
      </c>
      <c r="C490" s="1">
        <v>45035</v>
      </c>
      <c r="D490">
        <v>39</v>
      </c>
      <c r="E490" t="s">
        <v>6</v>
      </c>
      <c r="F490" t="s">
        <v>7</v>
      </c>
      <c r="G490" s="1">
        <f t="shared" si="21"/>
        <v>45035</v>
      </c>
      <c r="H490">
        <f t="shared" si="22"/>
        <v>5</v>
      </c>
      <c r="I490">
        <f t="shared" si="23"/>
        <v>1</v>
      </c>
      <c r="J490">
        <f>IF(Table1[[#This Row],[Active_months]]&gt;=1, 1, 0)</f>
        <v>1</v>
      </c>
    </row>
    <row r="491" spans="1:10" x14ac:dyDescent="0.3">
      <c r="A491">
        <v>161768948</v>
      </c>
      <c r="B491" s="1">
        <v>44877</v>
      </c>
      <c r="C491" s="1">
        <v>45021</v>
      </c>
      <c r="D491">
        <v>39</v>
      </c>
      <c r="E491" t="s">
        <v>6</v>
      </c>
      <c r="F491" t="s">
        <v>7</v>
      </c>
      <c r="G491" s="1">
        <f t="shared" si="21"/>
        <v>45021</v>
      </c>
      <c r="H491">
        <f t="shared" si="22"/>
        <v>5</v>
      </c>
      <c r="I491">
        <f t="shared" si="23"/>
        <v>1</v>
      </c>
      <c r="J491">
        <f>IF(Table1[[#This Row],[Active_months]]&gt;=1, 1, 0)</f>
        <v>1</v>
      </c>
    </row>
    <row r="492" spans="1:10" x14ac:dyDescent="0.3">
      <c r="A492">
        <v>161692109</v>
      </c>
      <c r="B492" s="1">
        <v>44877</v>
      </c>
      <c r="C492" s="1">
        <v>44976</v>
      </c>
      <c r="D492">
        <v>39</v>
      </c>
      <c r="E492" t="s">
        <v>6</v>
      </c>
      <c r="F492" t="s">
        <v>7</v>
      </c>
      <c r="G492" s="1">
        <f t="shared" si="21"/>
        <v>44976</v>
      </c>
      <c r="H492">
        <f t="shared" si="22"/>
        <v>3</v>
      </c>
      <c r="I492">
        <f t="shared" si="23"/>
        <v>0</v>
      </c>
      <c r="J492">
        <f>IF(Table1[[#This Row],[Active_months]]&gt;=1, 1, 0)</f>
        <v>1</v>
      </c>
    </row>
    <row r="493" spans="1:10" x14ac:dyDescent="0.3">
      <c r="A493">
        <v>161424706</v>
      </c>
      <c r="B493" s="1">
        <v>44877</v>
      </c>
      <c r="C493" s="1">
        <v>44904</v>
      </c>
      <c r="D493">
        <v>39</v>
      </c>
      <c r="E493" t="s">
        <v>6</v>
      </c>
      <c r="F493" t="s">
        <v>7</v>
      </c>
      <c r="G493" s="1">
        <f t="shared" si="21"/>
        <v>44904</v>
      </c>
      <c r="H493">
        <f t="shared" si="22"/>
        <v>1</v>
      </c>
      <c r="I493">
        <f t="shared" si="23"/>
        <v>0</v>
      </c>
      <c r="J493">
        <f>IF(Table1[[#This Row],[Active_months]]&gt;=1, 1, 0)</f>
        <v>1</v>
      </c>
    </row>
    <row r="494" spans="1:10" x14ac:dyDescent="0.3">
      <c r="A494">
        <v>153186137</v>
      </c>
      <c r="B494" s="1">
        <v>44877</v>
      </c>
      <c r="C494" s="1">
        <v>44877</v>
      </c>
      <c r="D494">
        <v>39</v>
      </c>
      <c r="E494" t="s">
        <v>6</v>
      </c>
      <c r="F494" t="s">
        <v>7</v>
      </c>
      <c r="G494" s="1">
        <f t="shared" si="21"/>
        <v>44877</v>
      </c>
      <c r="H494">
        <f t="shared" si="22"/>
        <v>0</v>
      </c>
      <c r="I494">
        <f t="shared" si="23"/>
        <v>0</v>
      </c>
      <c r="J494">
        <f>IF(Table1[[#This Row],[Active_months]]&gt;=1, 1, 0)</f>
        <v>0</v>
      </c>
    </row>
    <row r="495" spans="1:10" x14ac:dyDescent="0.3">
      <c r="A495">
        <v>158906669</v>
      </c>
      <c r="B495" s="1">
        <v>44878</v>
      </c>
      <c r="C495" s="1">
        <v>44969</v>
      </c>
      <c r="D495">
        <v>39</v>
      </c>
      <c r="E495" t="s">
        <v>6</v>
      </c>
      <c r="F495" t="s">
        <v>7</v>
      </c>
      <c r="G495" s="1">
        <f t="shared" si="21"/>
        <v>44969</v>
      </c>
      <c r="H495">
        <f t="shared" si="22"/>
        <v>3</v>
      </c>
      <c r="I495">
        <f t="shared" si="23"/>
        <v>0</v>
      </c>
      <c r="J495">
        <f>IF(Table1[[#This Row],[Active_months]]&gt;=1, 1, 0)</f>
        <v>1</v>
      </c>
    </row>
    <row r="496" spans="1:10" x14ac:dyDescent="0.3">
      <c r="A496">
        <v>154085972</v>
      </c>
      <c r="B496" s="1">
        <v>44878</v>
      </c>
      <c r="C496" s="1">
        <v>44900</v>
      </c>
      <c r="D496">
        <v>39</v>
      </c>
      <c r="E496" t="s">
        <v>6</v>
      </c>
      <c r="F496" t="s">
        <v>7</v>
      </c>
      <c r="G496" s="1">
        <f t="shared" si="21"/>
        <v>44900</v>
      </c>
      <c r="H496">
        <f t="shared" si="22"/>
        <v>1</v>
      </c>
      <c r="I496">
        <f t="shared" si="23"/>
        <v>0</v>
      </c>
      <c r="J496">
        <f>IF(Table1[[#This Row],[Active_months]]&gt;=1, 1, 0)</f>
        <v>1</v>
      </c>
    </row>
    <row r="497" spans="1:10" x14ac:dyDescent="0.3">
      <c r="A497">
        <v>162409676</v>
      </c>
      <c r="B497" s="1">
        <v>44879</v>
      </c>
      <c r="D497">
        <v>39</v>
      </c>
      <c r="E497" t="s">
        <v>6</v>
      </c>
      <c r="F497" t="s">
        <v>7</v>
      </c>
      <c r="G497" s="1">
        <f t="shared" si="21"/>
        <v>45199</v>
      </c>
      <c r="H497">
        <f t="shared" si="22"/>
        <v>10</v>
      </c>
      <c r="I497">
        <f t="shared" si="23"/>
        <v>1</v>
      </c>
      <c r="J497">
        <f>IF(Table1[[#This Row],[Active_months]]&gt;=1, 1, 0)</f>
        <v>1</v>
      </c>
    </row>
    <row r="498" spans="1:10" x14ac:dyDescent="0.3">
      <c r="A498">
        <v>157438261</v>
      </c>
      <c r="B498" s="1">
        <v>44879</v>
      </c>
      <c r="D498">
        <v>39</v>
      </c>
      <c r="E498" t="s">
        <v>6</v>
      </c>
      <c r="F498" t="s">
        <v>7</v>
      </c>
      <c r="G498" s="1">
        <f t="shared" si="21"/>
        <v>45199</v>
      </c>
      <c r="H498">
        <f t="shared" si="22"/>
        <v>10</v>
      </c>
      <c r="I498">
        <f t="shared" si="23"/>
        <v>1</v>
      </c>
      <c r="J498">
        <f>IF(Table1[[#This Row],[Active_months]]&gt;=1, 1, 0)</f>
        <v>1</v>
      </c>
    </row>
    <row r="499" spans="1:10" x14ac:dyDescent="0.3">
      <c r="A499">
        <v>132579012</v>
      </c>
      <c r="B499" s="1">
        <v>44879</v>
      </c>
      <c r="C499" s="1">
        <v>44999</v>
      </c>
      <c r="D499">
        <v>39</v>
      </c>
      <c r="E499" t="s">
        <v>6</v>
      </c>
      <c r="F499" t="s">
        <v>7</v>
      </c>
      <c r="G499" s="1">
        <f t="shared" si="21"/>
        <v>44999</v>
      </c>
      <c r="H499">
        <f t="shared" si="22"/>
        <v>4</v>
      </c>
      <c r="I499">
        <f t="shared" si="23"/>
        <v>0</v>
      </c>
      <c r="J499">
        <f>IF(Table1[[#This Row],[Active_months]]&gt;=1, 1, 0)</f>
        <v>1</v>
      </c>
    </row>
    <row r="500" spans="1:10" x14ac:dyDescent="0.3">
      <c r="A500">
        <v>129140042</v>
      </c>
      <c r="B500" s="1">
        <v>44879</v>
      </c>
      <c r="C500" s="1">
        <v>44966</v>
      </c>
      <c r="D500">
        <v>39</v>
      </c>
      <c r="E500" t="s">
        <v>6</v>
      </c>
      <c r="F500" t="s">
        <v>7</v>
      </c>
      <c r="G500" s="1">
        <f t="shared" si="21"/>
        <v>44966</v>
      </c>
      <c r="H500">
        <f t="shared" si="22"/>
        <v>3</v>
      </c>
      <c r="I500">
        <f t="shared" si="23"/>
        <v>0</v>
      </c>
      <c r="J500">
        <f>IF(Table1[[#This Row],[Active_months]]&gt;=1, 1, 0)</f>
        <v>1</v>
      </c>
    </row>
    <row r="501" spans="1:10" x14ac:dyDescent="0.3">
      <c r="A501">
        <v>147100996</v>
      </c>
      <c r="B501" s="1">
        <v>44879</v>
      </c>
      <c r="C501" s="1">
        <v>44941</v>
      </c>
      <c r="D501">
        <v>39</v>
      </c>
      <c r="E501" t="s">
        <v>6</v>
      </c>
      <c r="F501" t="s">
        <v>7</v>
      </c>
      <c r="G501" s="1">
        <f t="shared" si="21"/>
        <v>44941</v>
      </c>
      <c r="H501">
        <f t="shared" si="22"/>
        <v>2</v>
      </c>
      <c r="I501">
        <f t="shared" si="23"/>
        <v>0</v>
      </c>
      <c r="J501">
        <f>IF(Table1[[#This Row],[Active_months]]&gt;=1, 1, 0)</f>
        <v>1</v>
      </c>
    </row>
    <row r="502" spans="1:10" x14ac:dyDescent="0.3">
      <c r="A502">
        <v>158437198</v>
      </c>
      <c r="B502" s="1">
        <v>44879</v>
      </c>
      <c r="C502" s="1">
        <v>45011</v>
      </c>
      <c r="D502">
        <v>39</v>
      </c>
      <c r="E502" t="s">
        <v>6</v>
      </c>
      <c r="F502" t="s">
        <v>7</v>
      </c>
      <c r="G502" s="1">
        <f t="shared" si="21"/>
        <v>45011</v>
      </c>
      <c r="H502">
        <f t="shared" si="22"/>
        <v>4</v>
      </c>
      <c r="I502">
        <f t="shared" si="23"/>
        <v>0</v>
      </c>
      <c r="J502">
        <f>IF(Table1[[#This Row],[Active_months]]&gt;=1, 1, 0)</f>
        <v>1</v>
      </c>
    </row>
    <row r="503" spans="1:10" x14ac:dyDescent="0.3">
      <c r="A503">
        <v>162343403</v>
      </c>
      <c r="B503" s="1">
        <v>44879</v>
      </c>
      <c r="C503" s="1">
        <v>45001</v>
      </c>
      <c r="D503">
        <v>39</v>
      </c>
      <c r="E503" t="s">
        <v>6</v>
      </c>
      <c r="F503" t="s">
        <v>7</v>
      </c>
      <c r="G503" s="1">
        <f t="shared" si="21"/>
        <v>45001</v>
      </c>
      <c r="H503">
        <f t="shared" si="22"/>
        <v>4</v>
      </c>
      <c r="I503">
        <f t="shared" si="23"/>
        <v>0</v>
      </c>
      <c r="J503">
        <f>IF(Table1[[#This Row],[Active_months]]&gt;=1, 1, 0)</f>
        <v>1</v>
      </c>
    </row>
    <row r="504" spans="1:10" x14ac:dyDescent="0.3">
      <c r="A504">
        <v>162218672</v>
      </c>
      <c r="B504" s="1">
        <v>44879</v>
      </c>
      <c r="C504" s="1">
        <v>44994</v>
      </c>
      <c r="D504">
        <v>39</v>
      </c>
      <c r="E504" t="s">
        <v>6</v>
      </c>
      <c r="F504" t="s">
        <v>7</v>
      </c>
      <c r="G504" s="1">
        <f t="shared" si="21"/>
        <v>44994</v>
      </c>
      <c r="H504">
        <f t="shared" si="22"/>
        <v>4</v>
      </c>
      <c r="I504">
        <f t="shared" si="23"/>
        <v>0</v>
      </c>
      <c r="J504">
        <f>IF(Table1[[#This Row],[Active_months]]&gt;=1, 1, 0)</f>
        <v>1</v>
      </c>
    </row>
    <row r="505" spans="1:10" x14ac:dyDescent="0.3">
      <c r="A505">
        <v>120738319</v>
      </c>
      <c r="B505" s="1">
        <v>44879</v>
      </c>
      <c r="C505" s="1">
        <v>45019</v>
      </c>
      <c r="D505">
        <v>39</v>
      </c>
      <c r="E505" t="s">
        <v>6</v>
      </c>
      <c r="F505" t="s">
        <v>7</v>
      </c>
      <c r="G505" s="1">
        <f t="shared" si="21"/>
        <v>45019</v>
      </c>
      <c r="H505">
        <f t="shared" si="22"/>
        <v>5</v>
      </c>
      <c r="I505">
        <f t="shared" si="23"/>
        <v>1</v>
      </c>
      <c r="J505">
        <f>IF(Table1[[#This Row],[Active_months]]&gt;=1, 1, 0)</f>
        <v>1</v>
      </c>
    </row>
    <row r="506" spans="1:10" x14ac:dyDescent="0.3">
      <c r="A506">
        <v>162147786</v>
      </c>
      <c r="B506" s="1">
        <v>44879</v>
      </c>
      <c r="C506" s="1">
        <v>45030</v>
      </c>
      <c r="D506">
        <v>39</v>
      </c>
      <c r="E506" t="s">
        <v>6</v>
      </c>
      <c r="F506" t="s">
        <v>7</v>
      </c>
      <c r="G506" s="1">
        <f t="shared" si="21"/>
        <v>45030</v>
      </c>
      <c r="H506">
        <f t="shared" si="22"/>
        <v>5</v>
      </c>
      <c r="I506">
        <f t="shared" si="23"/>
        <v>1</v>
      </c>
      <c r="J506">
        <f>IF(Table1[[#This Row],[Active_months]]&gt;=1, 1, 0)</f>
        <v>1</v>
      </c>
    </row>
    <row r="507" spans="1:10" x14ac:dyDescent="0.3">
      <c r="A507">
        <v>153165084</v>
      </c>
      <c r="B507" s="1">
        <v>44879</v>
      </c>
      <c r="C507" s="1">
        <v>44965</v>
      </c>
      <c r="D507">
        <v>39</v>
      </c>
      <c r="E507" t="s">
        <v>6</v>
      </c>
      <c r="F507" t="s">
        <v>7</v>
      </c>
      <c r="G507" s="1">
        <f t="shared" si="21"/>
        <v>44965</v>
      </c>
      <c r="H507">
        <f t="shared" si="22"/>
        <v>3</v>
      </c>
      <c r="I507">
        <f t="shared" si="23"/>
        <v>0</v>
      </c>
      <c r="J507">
        <f>IF(Table1[[#This Row],[Active_months]]&gt;=1, 1, 0)</f>
        <v>1</v>
      </c>
    </row>
    <row r="508" spans="1:10" x14ac:dyDescent="0.3">
      <c r="A508">
        <v>161815335</v>
      </c>
      <c r="B508" s="1">
        <v>44879</v>
      </c>
      <c r="C508" s="1">
        <v>44976</v>
      </c>
      <c r="D508">
        <v>39</v>
      </c>
      <c r="E508" t="s">
        <v>6</v>
      </c>
      <c r="F508" t="s">
        <v>7</v>
      </c>
      <c r="G508" s="1">
        <f t="shared" si="21"/>
        <v>44976</v>
      </c>
      <c r="H508">
        <f t="shared" si="22"/>
        <v>3</v>
      </c>
      <c r="I508">
        <f t="shared" si="23"/>
        <v>0</v>
      </c>
      <c r="J508">
        <f>IF(Table1[[#This Row],[Active_months]]&gt;=1, 1, 0)</f>
        <v>1</v>
      </c>
    </row>
    <row r="509" spans="1:10" x14ac:dyDescent="0.3">
      <c r="A509">
        <v>162294529</v>
      </c>
      <c r="B509" s="1">
        <v>44879</v>
      </c>
      <c r="C509" s="1">
        <v>44964</v>
      </c>
      <c r="D509">
        <v>39</v>
      </c>
      <c r="E509" t="s">
        <v>6</v>
      </c>
      <c r="F509" t="s">
        <v>7</v>
      </c>
      <c r="G509" s="1">
        <f t="shared" si="21"/>
        <v>44964</v>
      </c>
      <c r="H509">
        <f t="shared" si="22"/>
        <v>3</v>
      </c>
      <c r="I509">
        <f t="shared" si="23"/>
        <v>0</v>
      </c>
      <c r="J509">
        <f>IF(Table1[[#This Row],[Active_months]]&gt;=1, 1, 0)</f>
        <v>1</v>
      </c>
    </row>
    <row r="510" spans="1:10" x14ac:dyDescent="0.3">
      <c r="A510">
        <v>162176080</v>
      </c>
      <c r="B510" s="1">
        <v>44879</v>
      </c>
      <c r="C510" s="1">
        <v>44962</v>
      </c>
      <c r="D510">
        <v>39</v>
      </c>
      <c r="E510" t="s">
        <v>6</v>
      </c>
      <c r="F510" t="s">
        <v>7</v>
      </c>
      <c r="G510" s="1">
        <f t="shared" si="21"/>
        <v>44962</v>
      </c>
      <c r="H510">
        <f t="shared" si="22"/>
        <v>3</v>
      </c>
      <c r="I510">
        <f t="shared" si="23"/>
        <v>0</v>
      </c>
      <c r="J510">
        <f>IF(Table1[[#This Row],[Active_months]]&gt;=1, 1, 0)</f>
        <v>1</v>
      </c>
    </row>
    <row r="511" spans="1:10" x14ac:dyDescent="0.3">
      <c r="A511">
        <v>162412232</v>
      </c>
      <c r="B511" s="1">
        <v>44879</v>
      </c>
      <c r="C511" s="1">
        <v>44916</v>
      </c>
      <c r="D511">
        <v>39</v>
      </c>
      <c r="E511" t="s">
        <v>6</v>
      </c>
      <c r="F511" t="s">
        <v>7</v>
      </c>
      <c r="G511" s="1">
        <f t="shared" si="21"/>
        <v>44916</v>
      </c>
      <c r="H511">
        <f t="shared" si="22"/>
        <v>1</v>
      </c>
      <c r="I511">
        <f t="shared" si="23"/>
        <v>0</v>
      </c>
      <c r="J511">
        <f>IF(Table1[[#This Row],[Active_months]]&gt;=1, 1, 0)</f>
        <v>1</v>
      </c>
    </row>
    <row r="512" spans="1:10" x14ac:dyDescent="0.3">
      <c r="A512">
        <v>158575772</v>
      </c>
      <c r="B512" s="1">
        <v>44879</v>
      </c>
      <c r="C512" s="1">
        <v>44911</v>
      </c>
      <c r="D512">
        <v>39</v>
      </c>
      <c r="E512" t="s">
        <v>6</v>
      </c>
      <c r="F512" t="s">
        <v>7</v>
      </c>
      <c r="G512" s="1">
        <f t="shared" si="21"/>
        <v>44911</v>
      </c>
      <c r="H512">
        <f t="shared" si="22"/>
        <v>1</v>
      </c>
      <c r="I512">
        <f t="shared" si="23"/>
        <v>0</v>
      </c>
      <c r="J512">
        <f>IF(Table1[[#This Row],[Active_months]]&gt;=1, 1, 0)</f>
        <v>1</v>
      </c>
    </row>
    <row r="513" spans="1:10" x14ac:dyDescent="0.3">
      <c r="A513">
        <v>162247173</v>
      </c>
      <c r="B513" s="1">
        <v>44879</v>
      </c>
      <c r="C513" s="1">
        <v>44906</v>
      </c>
      <c r="D513">
        <v>39</v>
      </c>
      <c r="E513" t="s">
        <v>6</v>
      </c>
      <c r="F513" t="s">
        <v>7</v>
      </c>
      <c r="G513" s="1">
        <f t="shared" si="21"/>
        <v>44906</v>
      </c>
      <c r="H513">
        <f t="shared" si="22"/>
        <v>1</v>
      </c>
      <c r="I513">
        <f t="shared" si="23"/>
        <v>0</v>
      </c>
      <c r="J513">
        <f>IF(Table1[[#This Row],[Active_months]]&gt;=1, 1, 0)</f>
        <v>1</v>
      </c>
    </row>
    <row r="514" spans="1:10" x14ac:dyDescent="0.3">
      <c r="A514">
        <v>153630282</v>
      </c>
      <c r="B514" s="1">
        <v>44879</v>
      </c>
      <c r="C514" s="1">
        <v>44903</v>
      </c>
      <c r="D514">
        <v>39</v>
      </c>
      <c r="E514" t="s">
        <v>6</v>
      </c>
      <c r="F514" t="s">
        <v>7</v>
      </c>
      <c r="G514" s="1">
        <f t="shared" si="21"/>
        <v>44903</v>
      </c>
      <c r="H514">
        <f t="shared" si="22"/>
        <v>1</v>
      </c>
      <c r="I514">
        <f t="shared" si="23"/>
        <v>0</v>
      </c>
      <c r="J514">
        <f>IF(Table1[[#This Row],[Active_months]]&gt;=1, 1, 0)</f>
        <v>1</v>
      </c>
    </row>
    <row r="515" spans="1:10" x14ac:dyDescent="0.3">
      <c r="A515">
        <v>156699431</v>
      </c>
      <c r="B515" s="1">
        <v>44879</v>
      </c>
      <c r="C515" s="1">
        <v>44888</v>
      </c>
      <c r="D515">
        <v>39</v>
      </c>
      <c r="E515" t="s">
        <v>6</v>
      </c>
      <c r="F515" t="s">
        <v>7</v>
      </c>
      <c r="G515" s="1">
        <f t="shared" ref="G515:G578" si="24">IF(ISBLANK(C515), DATE(2023,9,30), C515)</f>
        <v>44888</v>
      </c>
      <c r="H515">
        <f t="shared" ref="H515:H578" si="25">(YEAR(G515)-YEAR(B515))*12 + (MONTH(G515)-MONTH(B515))</f>
        <v>0</v>
      </c>
      <c r="I515">
        <f t="shared" ref="I515:I578" si="26">IF(H515 &gt;=5, 1, 0)</f>
        <v>0</v>
      </c>
      <c r="J515">
        <f>IF(Table1[[#This Row],[Active_months]]&gt;=1, 1, 0)</f>
        <v>0</v>
      </c>
    </row>
    <row r="516" spans="1:10" x14ac:dyDescent="0.3">
      <c r="A516">
        <v>148018000</v>
      </c>
      <c r="B516" s="1">
        <v>44879</v>
      </c>
      <c r="C516" s="1">
        <v>45139</v>
      </c>
      <c r="D516">
        <v>39</v>
      </c>
      <c r="E516" t="s">
        <v>6</v>
      </c>
      <c r="F516" t="s">
        <v>7</v>
      </c>
      <c r="G516" s="1">
        <f t="shared" si="24"/>
        <v>45139</v>
      </c>
      <c r="H516">
        <f t="shared" si="25"/>
        <v>9</v>
      </c>
      <c r="I516">
        <f t="shared" si="26"/>
        <v>1</v>
      </c>
      <c r="J516">
        <f>IF(Table1[[#This Row],[Active_months]]&gt;=1, 1, 0)</f>
        <v>1</v>
      </c>
    </row>
    <row r="517" spans="1:10" x14ac:dyDescent="0.3">
      <c r="A517">
        <v>161623906</v>
      </c>
      <c r="B517" s="1">
        <v>44880</v>
      </c>
      <c r="D517">
        <v>39</v>
      </c>
      <c r="E517" t="s">
        <v>6</v>
      </c>
      <c r="F517" t="s">
        <v>7</v>
      </c>
      <c r="G517" s="1">
        <f t="shared" si="24"/>
        <v>45199</v>
      </c>
      <c r="H517">
        <f t="shared" si="25"/>
        <v>10</v>
      </c>
      <c r="I517">
        <f t="shared" si="26"/>
        <v>1</v>
      </c>
      <c r="J517">
        <f>IF(Table1[[#This Row],[Active_months]]&gt;=1, 1, 0)</f>
        <v>1</v>
      </c>
    </row>
    <row r="518" spans="1:10" x14ac:dyDescent="0.3">
      <c r="A518">
        <v>145664226</v>
      </c>
      <c r="B518" s="1">
        <v>44880</v>
      </c>
      <c r="D518">
        <v>39</v>
      </c>
      <c r="E518" t="s">
        <v>6</v>
      </c>
      <c r="F518" t="s">
        <v>7</v>
      </c>
      <c r="G518" s="1">
        <f t="shared" si="24"/>
        <v>45199</v>
      </c>
      <c r="H518">
        <f t="shared" si="25"/>
        <v>10</v>
      </c>
      <c r="I518">
        <f t="shared" si="26"/>
        <v>1</v>
      </c>
      <c r="J518">
        <f>IF(Table1[[#This Row],[Active_months]]&gt;=1, 1, 0)</f>
        <v>1</v>
      </c>
    </row>
    <row r="519" spans="1:10" x14ac:dyDescent="0.3">
      <c r="A519">
        <v>162529715</v>
      </c>
      <c r="B519" s="1">
        <v>44880</v>
      </c>
      <c r="C519" s="1">
        <v>45007</v>
      </c>
      <c r="D519">
        <v>39</v>
      </c>
      <c r="E519" t="s">
        <v>6</v>
      </c>
      <c r="F519" t="s">
        <v>7</v>
      </c>
      <c r="G519" s="1">
        <f t="shared" si="24"/>
        <v>45007</v>
      </c>
      <c r="H519">
        <f t="shared" si="25"/>
        <v>4</v>
      </c>
      <c r="I519">
        <f t="shared" si="26"/>
        <v>0</v>
      </c>
      <c r="J519">
        <f>IF(Table1[[#This Row],[Active_months]]&gt;=1, 1, 0)</f>
        <v>1</v>
      </c>
    </row>
    <row r="520" spans="1:10" x14ac:dyDescent="0.3">
      <c r="A520">
        <v>162581284</v>
      </c>
      <c r="B520" s="1">
        <v>44880</v>
      </c>
      <c r="C520" s="1">
        <v>44906</v>
      </c>
      <c r="D520">
        <v>39</v>
      </c>
      <c r="E520" t="s">
        <v>6</v>
      </c>
      <c r="F520" t="s">
        <v>7</v>
      </c>
      <c r="G520" s="1">
        <f t="shared" si="24"/>
        <v>44906</v>
      </c>
      <c r="H520">
        <f t="shared" si="25"/>
        <v>1</v>
      </c>
      <c r="I520">
        <f t="shared" si="26"/>
        <v>0</v>
      </c>
      <c r="J520">
        <f>IF(Table1[[#This Row],[Active_months]]&gt;=1, 1, 0)</f>
        <v>1</v>
      </c>
    </row>
    <row r="521" spans="1:10" x14ac:dyDescent="0.3">
      <c r="A521">
        <v>152655443</v>
      </c>
      <c r="B521" s="1">
        <v>44880</v>
      </c>
      <c r="C521" s="1">
        <v>44950</v>
      </c>
      <c r="D521">
        <v>39</v>
      </c>
      <c r="E521" t="s">
        <v>6</v>
      </c>
      <c r="F521" t="s">
        <v>7</v>
      </c>
      <c r="G521" s="1">
        <f t="shared" si="24"/>
        <v>44950</v>
      </c>
      <c r="H521">
        <f t="shared" si="25"/>
        <v>2</v>
      </c>
      <c r="I521">
        <f t="shared" si="26"/>
        <v>0</v>
      </c>
      <c r="J521">
        <f>IF(Table1[[#This Row],[Active_months]]&gt;=1, 1, 0)</f>
        <v>1</v>
      </c>
    </row>
    <row r="522" spans="1:10" x14ac:dyDescent="0.3">
      <c r="A522">
        <v>162443327</v>
      </c>
      <c r="B522" s="1">
        <v>44880</v>
      </c>
      <c r="C522" s="1">
        <v>44938</v>
      </c>
      <c r="D522">
        <v>39</v>
      </c>
      <c r="E522" t="s">
        <v>6</v>
      </c>
      <c r="F522" t="s">
        <v>7</v>
      </c>
      <c r="G522" s="1">
        <f t="shared" si="24"/>
        <v>44938</v>
      </c>
      <c r="H522">
        <f t="shared" si="25"/>
        <v>2</v>
      </c>
      <c r="I522">
        <f t="shared" si="26"/>
        <v>0</v>
      </c>
      <c r="J522">
        <f>IF(Table1[[#This Row],[Active_months]]&gt;=1, 1, 0)</f>
        <v>1</v>
      </c>
    </row>
    <row r="523" spans="1:10" x14ac:dyDescent="0.3">
      <c r="A523">
        <v>148348600</v>
      </c>
      <c r="B523" s="1">
        <v>44880</v>
      </c>
      <c r="C523" s="1">
        <v>44908</v>
      </c>
      <c r="D523">
        <v>39</v>
      </c>
      <c r="E523" t="s">
        <v>6</v>
      </c>
      <c r="F523" t="s">
        <v>7</v>
      </c>
      <c r="G523" s="1">
        <f t="shared" si="24"/>
        <v>44908</v>
      </c>
      <c r="H523">
        <f t="shared" si="25"/>
        <v>1</v>
      </c>
      <c r="I523">
        <f t="shared" si="26"/>
        <v>0</v>
      </c>
      <c r="J523">
        <f>IF(Table1[[#This Row],[Active_months]]&gt;=1, 1, 0)</f>
        <v>1</v>
      </c>
    </row>
    <row r="524" spans="1:10" x14ac:dyDescent="0.3">
      <c r="A524">
        <v>162992590</v>
      </c>
      <c r="B524" s="1">
        <v>44881</v>
      </c>
      <c r="D524">
        <v>39</v>
      </c>
      <c r="E524" t="s">
        <v>6</v>
      </c>
      <c r="F524" t="s">
        <v>7</v>
      </c>
      <c r="G524" s="1">
        <f t="shared" si="24"/>
        <v>45199</v>
      </c>
      <c r="H524">
        <f t="shared" si="25"/>
        <v>10</v>
      </c>
      <c r="I524">
        <f t="shared" si="26"/>
        <v>1</v>
      </c>
      <c r="J524">
        <f>IF(Table1[[#This Row],[Active_months]]&gt;=1, 1, 0)</f>
        <v>1</v>
      </c>
    </row>
    <row r="525" spans="1:10" x14ac:dyDescent="0.3">
      <c r="A525">
        <v>156633222</v>
      </c>
      <c r="B525" s="1">
        <v>44881</v>
      </c>
      <c r="C525" s="1">
        <v>44881</v>
      </c>
      <c r="D525">
        <v>39</v>
      </c>
      <c r="E525" t="s">
        <v>6</v>
      </c>
      <c r="F525" t="s">
        <v>8</v>
      </c>
      <c r="G525" s="1">
        <f t="shared" si="24"/>
        <v>44881</v>
      </c>
      <c r="H525">
        <f t="shared" si="25"/>
        <v>0</v>
      </c>
      <c r="I525">
        <f t="shared" si="26"/>
        <v>0</v>
      </c>
      <c r="J525">
        <f>IF(Table1[[#This Row],[Active_months]]&gt;=1, 1, 0)</f>
        <v>0</v>
      </c>
    </row>
    <row r="526" spans="1:10" x14ac:dyDescent="0.3">
      <c r="A526">
        <v>133595094</v>
      </c>
      <c r="B526" s="1">
        <v>44881</v>
      </c>
      <c r="C526" s="1">
        <v>44988</v>
      </c>
      <c r="D526">
        <v>39</v>
      </c>
      <c r="E526" t="s">
        <v>6</v>
      </c>
      <c r="F526" t="s">
        <v>7</v>
      </c>
      <c r="G526" s="1">
        <f t="shared" si="24"/>
        <v>44988</v>
      </c>
      <c r="H526">
        <f t="shared" si="25"/>
        <v>4</v>
      </c>
      <c r="I526">
        <f t="shared" si="26"/>
        <v>0</v>
      </c>
      <c r="J526">
        <f>IF(Table1[[#This Row],[Active_months]]&gt;=1, 1, 0)</f>
        <v>1</v>
      </c>
    </row>
    <row r="527" spans="1:10" x14ac:dyDescent="0.3">
      <c r="A527">
        <v>147770763</v>
      </c>
      <c r="B527" s="1">
        <v>44881</v>
      </c>
      <c r="C527" s="1">
        <v>44988</v>
      </c>
      <c r="D527">
        <v>39</v>
      </c>
      <c r="E527" t="s">
        <v>6</v>
      </c>
      <c r="F527" t="s">
        <v>7</v>
      </c>
      <c r="G527" s="1">
        <f t="shared" si="24"/>
        <v>44988</v>
      </c>
      <c r="H527">
        <f t="shared" si="25"/>
        <v>4</v>
      </c>
      <c r="I527">
        <f t="shared" si="26"/>
        <v>0</v>
      </c>
      <c r="J527">
        <f>IF(Table1[[#This Row],[Active_months]]&gt;=1, 1, 0)</f>
        <v>1</v>
      </c>
    </row>
    <row r="528" spans="1:10" x14ac:dyDescent="0.3">
      <c r="A528">
        <v>155370139</v>
      </c>
      <c r="B528" s="1">
        <v>44881</v>
      </c>
      <c r="C528" s="1">
        <v>45008</v>
      </c>
      <c r="D528">
        <v>39</v>
      </c>
      <c r="E528" t="s">
        <v>6</v>
      </c>
      <c r="F528" t="s">
        <v>7</v>
      </c>
      <c r="G528" s="1">
        <f t="shared" si="24"/>
        <v>45008</v>
      </c>
      <c r="H528">
        <f t="shared" si="25"/>
        <v>4</v>
      </c>
      <c r="I528">
        <f t="shared" si="26"/>
        <v>0</v>
      </c>
      <c r="J528">
        <f>IF(Table1[[#This Row],[Active_months]]&gt;=1, 1, 0)</f>
        <v>1</v>
      </c>
    </row>
    <row r="529" spans="1:10" x14ac:dyDescent="0.3">
      <c r="A529">
        <v>151890876</v>
      </c>
      <c r="B529" s="1">
        <v>44881</v>
      </c>
      <c r="C529" s="1">
        <v>44980</v>
      </c>
      <c r="D529">
        <v>39</v>
      </c>
      <c r="E529" t="s">
        <v>6</v>
      </c>
      <c r="F529" t="s">
        <v>7</v>
      </c>
      <c r="G529" s="1">
        <f t="shared" si="24"/>
        <v>44980</v>
      </c>
      <c r="H529">
        <f t="shared" si="25"/>
        <v>3</v>
      </c>
      <c r="I529">
        <f t="shared" si="26"/>
        <v>0</v>
      </c>
      <c r="J529">
        <f>IF(Table1[[#This Row],[Active_months]]&gt;=1, 1, 0)</f>
        <v>1</v>
      </c>
    </row>
    <row r="530" spans="1:10" x14ac:dyDescent="0.3">
      <c r="A530">
        <v>162920304</v>
      </c>
      <c r="B530" s="1">
        <v>44881</v>
      </c>
      <c r="C530" s="1">
        <v>44941</v>
      </c>
      <c r="D530">
        <v>39</v>
      </c>
      <c r="E530" t="s">
        <v>6</v>
      </c>
      <c r="F530" t="s">
        <v>7</v>
      </c>
      <c r="G530" s="1">
        <f t="shared" si="24"/>
        <v>44941</v>
      </c>
      <c r="H530">
        <f t="shared" si="25"/>
        <v>2</v>
      </c>
      <c r="I530">
        <f t="shared" si="26"/>
        <v>0</v>
      </c>
      <c r="J530">
        <f>IF(Table1[[#This Row],[Active_months]]&gt;=1, 1, 0)</f>
        <v>1</v>
      </c>
    </row>
    <row r="531" spans="1:10" x14ac:dyDescent="0.3">
      <c r="A531">
        <v>148838269</v>
      </c>
      <c r="B531" s="1">
        <v>44881</v>
      </c>
      <c r="C531" s="1">
        <v>44881</v>
      </c>
      <c r="D531">
        <v>39</v>
      </c>
      <c r="E531" t="s">
        <v>6</v>
      </c>
      <c r="F531" t="s">
        <v>7</v>
      </c>
      <c r="G531" s="1">
        <f t="shared" si="24"/>
        <v>44881</v>
      </c>
      <c r="H531">
        <f t="shared" si="25"/>
        <v>0</v>
      </c>
      <c r="I531">
        <f t="shared" si="26"/>
        <v>0</v>
      </c>
      <c r="J531">
        <f>IF(Table1[[#This Row],[Active_months]]&gt;=1, 1, 0)</f>
        <v>0</v>
      </c>
    </row>
    <row r="532" spans="1:10" x14ac:dyDescent="0.3">
      <c r="A532">
        <v>162913792</v>
      </c>
      <c r="B532" s="1">
        <v>44881</v>
      </c>
      <c r="C532" s="1">
        <v>45161</v>
      </c>
      <c r="D532">
        <v>39</v>
      </c>
      <c r="E532" t="s">
        <v>6</v>
      </c>
      <c r="F532" t="s">
        <v>7</v>
      </c>
      <c r="G532" s="1">
        <f t="shared" si="24"/>
        <v>45161</v>
      </c>
      <c r="H532">
        <f t="shared" si="25"/>
        <v>9</v>
      </c>
      <c r="I532">
        <f t="shared" si="26"/>
        <v>1</v>
      </c>
      <c r="J532">
        <f>IF(Table1[[#This Row],[Active_months]]&gt;=1, 1, 0)</f>
        <v>1</v>
      </c>
    </row>
    <row r="533" spans="1:10" x14ac:dyDescent="0.3">
      <c r="A533">
        <v>152316740</v>
      </c>
      <c r="B533" s="1">
        <v>44882</v>
      </c>
      <c r="D533">
        <v>39</v>
      </c>
      <c r="E533" t="s">
        <v>6</v>
      </c>
      <c r="F533" t="s">
        <v>7</v>
      </c>
      <c r="G533" s="1">
        <f t="shared" si="24"/>
        <v>45199</v>
      </c>
      <c r="H533">
        <f t="shared" si="25"/>
        <v>10</v>
      </c>
      <c r="I533">
        <f t="shared" si="26"/>
        <v>1</v>
      </c>
      <c r="J533">
        <f>IF(Table1[[#This Row],[Active_months]]&gt;=1, 1, 0)</f>
        <v>1</v>
      </c>
    </row>
    <row r="534" spans="1:10" x14ac:dyDescent="0.3">
      <c r="A534">
        <v>135480868</v>
      </c>
      <c r="B534" s="1">
        <v>44882</v>
      </c>
      <c r="C534" s="1">
        <v>44952</v>
      </c>
      <c r="D534">
        <v>39</v>
      </c>
      <c r="E534" t="s">
        <v>6</v>
      </c>
      <c r="F534" t="s">
        <v>7</v>
      </c>
      <c r="G534" s="1">
        <f t="shared" si="24"/>
        <v>44952</v>
      </c>
      <c r="H534">
        <f t="shared" si="25"/>
        <v>2</v>
      </c>
      <c r="I534">
        <f t="shared" si="26"/>
        <v>0</v>
      </c>
      <c r="J534">
        <f>IF(Table1[[#This Row],[Active_months]]&gt;=1, 1, 0)</f>
        <v>1</v>
      </c>
    </row>
    <row r="535" spans="1:10" x14ac:dyDescent="0.3">
      <c r="A535">
        <v>136315690</v>
      </c>
      <c r="B535" s="1">
        <v>44882</v>
      </c>
      <c r="C535" s="1">
        <v>44981</v>
      </c>
      <c r="D535">
        <v>39</v>
      </c>
      <c r="E535" t="s">
        <v>6</v>
      </c>
      <c r="F535" t="s">
        <v>7</v>
      </c>
      <c r="G535" s="1">
        <f t="shared" si="24"/>
        <v>44981</v>
      </c>
      <c r="H535">
        <f t="shared" si="25"/>
        <v>3</v>
      </c>
      <c r="I535">
        <f t="shared" si="26"/>
        <v>0</v>
      </c>
      <c r="J535">
        <f>IF(Table1[[#This Row],[Active_months]]&gt;=1, 1, 0)</f>
        <v>1</v>
      </c>
    </row>
    <row r="536" spans="1:10" x14ac:dyDescent="0.3">
      <c r="A536">
        <v>163224262</v>
      </c>
      <c r="B536" s="1">
        <v>44882</v>
      </c>
      <c r="C536" s="1">
        <v>44969</v>
      </c>
      <c r="D536">
        <v>39</v>
      </c>
      <c r="E536" t="s">
        <v>6</v>
      </c>
      <c r="F536" t="s">
        <v>7</v>
      </c>
      <c r="G536" s="1">
        <f t="shared" si="24"/>
        <v>44969</v>
      </c>
      <c r="H536">
        <f t="shared" si="25"/>
        <v>3</v>
      </c>
      <c r="I536">
        <f t="shared" si="26"/>
        <v>0</v>
      </c>
      <c r="J536">
        <f>IF(Table1[[#This Row],[Active_months]]&gt;=1, 1, 0)</f>
        <v>1</v>
      </c>
    </row>
    <row r="537" spans="1:10" x14ac:dyDescent="0.3">
      <c r="A537">
        <v>163330072</v>
      </c>
      <c r="B537" s="1">
        <v>44882</v>
      </c>
      <c r="C537" s="1">
        <v>44950</v>
      </c>
      <c r="D537">
        <v>39</v>
      </c>
      <c r="E537" t="s">
        <v>6</v>
      </c>
      <c r="F537" t="s">
        <v>7</v>
      </c>
      <c r="G537" s="1">
        <f t="shared" si="24"/>
        <v>44950</v>
      </c>
      <c r="H537">
        <f t="shared" si="25"/>
        <v>2</v>
      </c>
      <c r="I537">
        <f t="shared" si="26"/>
        <v>0</v>
      </c>
      <c r="J537">
        <f>IF(Table1[[#This Row],[Active_months]]&gt;=1, 1, 0)</f>
        <v>1</v>
      </c>
    </row>
    <row r="538" spans="1:10" x14ac:dyDescent="0.3">
      <c r="A538">
        <v>134646164</v>
      </c>
      <c r="B538" s="1">
        <v>44882</v>
      </c>
      <c r="C538" s="1">
        <v>44919</v>
      </c>
      <c r="D538">
        <v>39</v>
      </c>
      <c r="E538" t="s">
        <v>6</v>
      </c>
      <c r="F538" t="s">
        <v>7</v>
      </c>
      <c r="G538" s="1">
        <f t="shared" si="24"/>
        <v>44919</v>
      </c>
      <c r="H538">
        <f t="shared" si="25"/>
        <v>1</v>
      </c>
      <c r="I538">
        <f t="shared" si="26"/>
        <v>0</v>
      </c>
      <c r="J538">
        <f>IF(Table1[[#This Row],[Active_months]]&gt;=1, 1, 0)</f>
        <v>1</v>
      </c>
    </row>
    <row r="539" spans="1:10" x14ac:dyDescent="0.3">
      <c r="A539">
        <v>163282336</v>
      </c>
      <c r="B539" s="1">
        <v>44882</v>
      </c>
      <c r="C539" s="1">
        <v>45148</v>
      </c>
      <c r="D539">
        <v>39</v>
      </c>
      <c r="E539" t="s">
        <v>6</v>
      </c>
      <c r="F539" t="s">
        <v>7</v>
      </c>
      <c r="G539" s="1">
        <f t="shared" si="24"/>
        <v>45148</v>
      </c>
      <c r="H539">
        <f t="shared" si="25"/>
        <v>9</v>
      </c>
      <c r="I539">
        <f t="shared" si="26"/>
        <v>1</v>
      </c>
      <c r="J539">
        <f>IF(Table1[[#This Row],[Active_months]]&gt;=1, 1, 0)</f>
        <v>1</v>
      </c>
    </row>
    <row r="540" spans="1:10" x14ac:dyDescent="0.3">
      <c r="A540">
        <v>162490128</v>
      </c>
      <c r="B540" s="1">
        <v>44883</v>
      </c>
      <c r="D540">
        <v>39</v>
      </c>
      <c r="E540" t="s">
        <v>6</v>
      </c>
      <c r="F540" t="s">
        <v>7</v>
      </c>
      <c r="G540" s="1">
        <f t="shared" si="24"/>
        <v>45199</v>
      </c>
      <c r="H540">
        <f t="shared" si="25"/>
        <v>10</v>
      </c>
      <c r="I540">
        <f t="shared" si="26"/>
        <v>1</v>
      </c>
      <c r="J540">
        <f>IF(Table1[[#This Row],[Active_months]]&gt;=1, 1, 0)</f>
        <v>1</v>
      </c>
    </row>
    <row r="541" spans="1:10" x14ac:dyDescent="0.3">
      <c r="A541">
        <v>147122277</v>
      </c>
      <c r="B541" s="1">
        <v>44883</v>
      </c>
      <c r="C541" s="1">
        <v>44884</v>
      </c>
      <c r="D541">
        <v>39</v>
      </c>
      <c r="E541" t="s">
        <v>6</v>
      </c>
      <c r="F541" t="s">
        <v>8</v>
      </c>
      <c r="G541" s="1">
        <f t="shared" si="24"/>
        <v>44884</v>
      </c>
      <c r="H541">
        <f t="shared" si="25"/>
        <v>0</v>
      </c>
      <c r="I541">
        <f t="shared" si="26"/>
        <v>0</v>
      </c>
      <c r="J541">
        <f>IF(Table1[[#This Row],[Active_months]]&gt;=1, 1, 0)</f>
        <v>0</v>
      </c>
    </row>
    <row r="542" spans="1:10" x14ac:dyDescent="0.3">
      <c r="A542">
        <v>163623375</v>
      </c>
      <c r="B542" s="1">
        <v>44883</v>
      </c>
      <c r="C542" s="1">
        <v>44884</v>
      </c>
      <c r="D542">
        <v>39</v>
      </c>
      <c r="E542" t="s">
        <v>6</v>
      </c>
      <c r="F542" t="s">
        <v>8</v>
      </c>
      <c r="G542" s="1">
        <f t="shared" si="24"/>
        <v>44884</v>
      </c>
      <c r="H542">
        <f t="shared" si="25"/>
        <v>0</v>
      </c>
      <c r="I542">
        <f t="shared" si="26"/>
        <v>0</v>
      </c>
      <c r="J542">
        <f>IF(Table1[[#This Row],[Active_months]]&gt;=1, 1, 0)</f>
        <v>0</v>
      </c>
    </row>
    <row r="543" spans="1:10" x14ac:dyDescent="0.3">
      <c r="A543">
        <v>132918654</v>
      </c>
      <c r="B543" s="1">
        <v>44883</v>
      </c>
      <c r="C543" s="1">
        <v>44944</v>
      </c>
      <c r="D543">
        <v>39</v>
      </c>
      <c r="E543" t="s">
        <v>6</v>
      </c>
      <c r="F543" t="s">
        <v>7</v>
      </c>
      <c r="G543" s="1">
        <f t="shared" si="24"/>
        <v>44944</v>
      </c>
      <c r="H543">
        <f t="shared" si="25"/>
        <v>2</v>
      </c>
      <c r="I543">
        <f t="shared" si="26"/>
        <v>0</v>
      </c>
      <c r="J543">
        <f>IF(Table1[[#This Row],[Active_months]]&gt;=1, 1, 0)</f>
        <v>1</v>
      </c>
    </row>
    <row r="544" spans="1:10" x14ac:dyDescent="0.3">
      <c r="A544">
        <v>160601062</v>
      </c>
      <c r="B544" s="1">
        <v>44883</v>
      </c>
      <c r="C544" s="1">
        <v>44935</v>
      </c>
      <c r="D544">
        <v>39</v>
      </c>
      <c r="E544" t="s">
        <v>6</v>
      </c>
      <c r="F544" t="s">
        <v>7</v>
      </c>
      <c r="G544" s="1">
        <f t="shared" si="24"/>
        <v>44935</v>
      </c>
      <c r="H544">
        <f t="shared" si="25"/>
        <v>2</v>
      </c>
      <c r="I544">
        <f t="shared" si="26"/>
        <v>0</v>
      </c>
      <c r="J544">
        <f>IF(Table1[[#This Row],[Active_months]]&gt;=1, 1, 0)</f>
        <v>1</v>
      </c>
    </row>
    <row r="545" spans="1:10" x14ac:dyDescent="0.3">
      <c r="A545">
        <v>144573808</v>
      </c>
      <c r="B545" s="1">
        <v>44883</v>
      </c>
      <c r="C545" s="1">
        <v>44944</v>
      </c>
      <c r="D545">
        <v>39</v>
      </c>
      <c r="E545" t="s">
        <v>6</v>
      </c>
      <c r="F545" t="s">
        <v>7</v>
      </c>
      <c r="G545" s="1">
        <f t="shared" si="24"/>
        <v>44944</v>
      </c>
      <c r="H545">
        <f t="shared" si="25"/>
        <v>2</v>
      </c>
      <c r="I545">
        <f t="shared" si="26"/>
        <v>0</v>
      </c>
      <c r="J545">
        <f>IF(Table1[[#This Row],[Active_months]]&gt;=1, 1, 0)</f>
        <v>1</v>
      </c>
    </row>
    <row r="546" spans="1:10" x14ac:dyDescent="0.3">
      <c r="A546">
        <v>114435366</v>
      </c>
      <c r="B546" s="1">
        <v>44883</v>
      </c>
      <c r="C546" s="1">
        <v>44883</v>
      </c>
      <c r="D546">
        <v>39</v>
      </c>
      <c r="E546" t="s">
        <v>6</v>
      </c>
      <c r="F546" t="s">
        <v>7</v>
      </c>
      <c r="G546" s="1">
        <f t="shared" si="24"/>
        <v>44883</v>
      </c>
      <c r="H546">
        <f t="shared" si="25"/>
        <v>0</v>
      </c>
      <c r="I546">
        <f t="shared" si="26"/>
        <v>0</v>
      </c>
      <c r="J546">
        <f>IF(Table1[[#This Row],[Active_months]]&gt;=1, 1, 0)</f>
        <v>0</v>
      </c>
    </row>
    <row r="547" spans="1:10" x14ac:dyDescent="0.3">
      <c r="A547">
        <v>163399934</v>
      </c>
      <c r="B547" s="1">
        <v>44883</v>
      </c>
      <c r="C547" s="1">
        <v>44883</v>
      </c>
      <c r="D547">
        <v>39</v>
      </c>
      <c r="E547" t="s">
        <v>6</v>
      </c>
      <c r="F547" t="s">
        <v>7</v>
      </c>
      <c r="G547" s="1">
        <f t="shared" si="24"/>
        <v>44883</v>
      </c>
      <c r="H547">
        <f t="shared" si="25"/>
        <v>0</v>
      </c>
      <c r="I547">
        <f t="shared" si="26"/>
        <v>0</v>
      </c>
      <c r="J547">
        <f>IF(Table1[[#This Row],[Active_months]]&gt;=1, 1, 0)</f>
        <v>0</v>
      </c>
    </row>
    <row r="548" spans="1:10" x14ac:dyDescent="0.3">
      <c r="A548">
        <v>133599090</v>
      </c>
      <c r="B548" s="1">
        <v>44884</v>
      </c>
      <c r="C548" s="1">
        <v>44996</v>
      </c>
      <c r="D548">
        <v>39</v>
      </c>
      <c r="E548" t="s">
        <v>6</v>
      </c>
      <c r="F548" t="s">
        <v>7</v>
      </c>
      <c r="G548" s="1">
        <f t="shared" si="24"/>
        <v>44996</v>
      </c>
      <c r="H548">
        <f t="shared" si="25"/>
        <v>4</v>
      </c>
      <c r="I548">
        <f t="shared" si="26"/>
        <v>0</v>
      </c>
      <c r="J548">
        <f>IF(Table1[[#This Row],[Active_months]]&gt;=1, 1, 0)</f>
        <v>1</v>
      </c>
    </row>
    <row r="549" spans="1:10" x14ac:dyDescent="0.3">
      <c r="A549">
        <v>154767246</v>
      </c>
      <c r="B549" s="1">
        <v>44884</v>
      </c>
      <c r="C549" s="1">
        <v>44915</v>
      </c>
      <c r="D549">
        <v>39</v>
      </c>
      <c r="E549" t="s">
        <v>6</v>
      </c>
      <c r="F549" t="s">
        <v>7</v>
      </c>
      <c r="G549" s="1">
        <f t="shared" si="24"/>
        <v>44915</v>
      </c>
      <c r="H549">
        <f t="shared" si="25"/>
        <v>1</v>
      </c>
      <c r="I549">
        <f t="shared" si="26"/>
        <v>0</v>
      </c>
      <c r="J549">
        <f>IF(Table1[[#This Row],[Active_months]]&gt;=1, 1, 0)</f>
        <v>1</v>
      </c>
    </row>
    <row r="550" spans="1:10" x14ac:dyDescent="0.3">
      <c r="A550">
        <v>164085988</v>
      </c>
      <c r="B550" s="1">
        <v>44884</v>
      </c>
      <c r="C550" s="1">
        <v>44915</v>
      </c>
      <c r="D550">
        <v>39</v>
      </c>
      <c r="E550" t="s">
        <v>6</v>
      </c>
      <c r="F550" t="s">
        <v>7</v>
      </c>
      <c r="G550" s="1">
        <f t="shared" si="24"/>
        <v>44915</v>
      </c>
      <c r="H550">
        <f t="shared" si="25"/>
        <v>1</v>
      </c>
      <c r="I550">
        <f t="shared" si="26"/>
        <v>0</v>
      </c>
      <c r="J550">
        <f>IF(Table1[[#This Row],[Active_months]]&gt;=1, 1, 0)</f>
        <v>1</v>
      </c>
    </row>
    <row r="551" spans="1:10" x14ac:dyDescent="0.3">
      <c r="A551">
        <v>164255751</v>
      </c>
      <c r="B551" s="1">
        <v>44885</v>
      </c>
      <c r="C551" s="1">
        <v>45159</v>
      </c>
      <c r="D551">
        <v>39</v>
      </c>
      <c r="E551" t="s">
        <v>6</v>
      </c>
      <c r="F551" t="s">
        <v>7</v>
      </c>
      <c r="G551" s="1">
        <f t="shared" si="24"/>
        <v>45159</v>
      </c>
      <c r="H551">
        <f t="shared" si="25"/>
        <v>9</v>
      </c>
      <c r="I551">
        <f t="shared" si="26"/>
        <v>1</v>
      </c>
      <c r="J551">
        <f>IF(Table1[[#This Row],[Active_months]]&gt;=1, 1, 0)</f>
        <v>1</v>
      </c>
    </row>
    <row r="552" spans="1:10" x14ac:dyDescent="0.3">
      <c r="A552">
        <v>150663530</v>
      </c>
      <c r="B552" s="1">
        <v>44885</v>
      </c>
      <c r="C552" s="1">
        <v>45043</v>
      </c>
      <c r="D552">
        <v>39</v>
      </c>
      <c r="E552" t="s">
        <v>6</v>
      </c>
      <c r="F552" t="s">
        <v>7</v>
      </c>
      <c r="G552" s="1">
        <f t="shared" si="24"/>
        <v>45043</v>
      </c>
      <c r="H552">
        <f t="shared" si="25"/>
        <v>5</v>
      </c>
      <c r="I552">
        <f t="shared" si="26"/>
        <v>1</v>
      </c>
      <c r="J552">
        <f>IF(Table1[[#This Row],[Active_months]]&gt;=1, 1, 0)</f>
        <v>1</v>
      </c>
    </row>
    <row r="553" spans="1:10" x14ac:dyDescent="0.3">
      <c r="A553">
        <v>155333508</v>
      </c>
      <c r="B553" s="1">
        <v>44885</v>
      </c>
      <c r="C553" s="1">
        <v>44945</v>
      </c>
      <c r="D553">
        <v>39</v>
      </c>
      <c r="E553" t="s">
        <v>6</v>
      </c>
      <c r="F553" t="s">
        <v>7</v>
      </c>
      <c r="G553" s="1">
        <f t="shared" si="24"/>
        <v>44945</v>
      </c>
      <c r="H553">
        <f t="shared" si="25"/>
        <v>2</v>
      </c>
      <c r="I553">
        <f t="shared" si="26"/>
        <v>0</v>
      </c>
      <c r="J553">
        <f>IF(Table1[[#This Row],[Active_months]]&gt;=1, 1, 0)</f>
        <v>1</v>
      </c>
    </row>
    <row r="554" spans="1:10" x14ac:dyDescent="0.3">
      <c r="A554">
        <v>163178244</v>
      </c>
      <c r="B554" s="1">
        <v>44886</v>
      </c>
      <c r="D554">
        <v>39</v>
      </c>
      <c r="E554" t="s">
        <v>6</v>
      </c>
      <c r="F554" t="s">
        <v>8</v>
      </c>
      <c r="G554" s="1">
        <f t="shared" si="24"/>
        <v>45199</v>
      </c>
      <c r="H554">
        <f t="shared" si="25"/>
        <v>10</v>
      </c>
      <c r="I554">
        <f t="shared" si="26"/>
        <v>1</v>
      </c>
      <c r="J554">
        <f>IF(Table1[[#This Row],[Active_months]]&gt;=1, 1, 0)</f>
        <v>1</v>
      </c>
    </row>
    <row r="555" spans="1:10" x14ac:dyDescent="0.3">
      <c r="A555">
        <v>130245484</v>
      </c>
      <c r="B555" s="1">
        <v>44886</v>
      </c>
      <c r="C555" s="1">
        <v>44977</v>
      </c>
      <c r="D555">
        <v>39</v>
      </c>
      <c r="E555" t="s">
        <v>6</v>
      </c>
      <c r="F555" t="s">
        <v>7</v>
      </c>
      <c r="G555" s="1">
        <f t="shared" si="24"/>
        <v>44977</v>
      </c>
      <c r="H555">
        <f t="shared" si="25"/>
        <v>3</v>
      </c>
      <c r="I555">
        <f t="shared" si="26"/>
        <v>0</v>
      </c>
      <c r="J555">
        <f>IF(Table1[[#This Row],[Active_months]]&gt;=1, 1, 0)</f>
        <v>1</v>
      </c>
    </row>
    <row r="556" spans="1:10" x14ac:dyDescent="0.3">
      <c r="A556">
        <v>164578320</v>
      </c>
      <c r="B556" s="1">
        <v>44886</v>
      </c>
      <c r="C556" s="1">
        <v>44916</v>
      </c>
      <c r="D556">
        <v>39</v>
      </c>
      <c r="E556" t="s">
        <v>6</v>
      </c>
      <c r="F556" t="s">
        <v>7</v>
      </c>
      <c r="G556" s="1">
        <f t="shared" si="24"/>
        <v>44916</v>
      </c>
      <c r="H556">
        <f t="shared" si="25"/>
        <v>1</v>
      </c>
      <c r="I556">
        <f t="shared" si="26"/>
        <v>0</v>
      </c>
      <c r="J556">
        <f>IF(Table1[[#This Row],[Active_months]]&gt;=1, 1, 0)</f>
        <v>1</v>
      </c>
    </row>
    <row r="557" spans="1:10" x14ac:dyDescent="0.3">
      <c r="A557">
        <v>164542692</v>
      </c>
      <c r="B557" s="1">
        <v>44886</v>
      </c>
      <c r="C557" s="1">
        <v>44923</v>
      </c>
      <c r="D557">
        <v>39</v>
      </c>
      <c r="E557" t="s">
        <v>6</v>
      </c>
      <c r="F557" t="s">
        <v>7</v>
      </c>
      <c r="G557" s="1">
        <f t="shared" si="24"/>
        <v>44923</v>
      </c>
      <c r="H557">
        <f t="shared" si="25"/>
        <v>1</v>
      </c>
      <c r="I557">
        <f t="shared" si="26"/>
        <v>0</v>
      </c>
      <c r="J557">
        <f>IF(Table1[[#This Row],[Active_months]]&gt;=1, 1, 0)</f>
        <v>1</v>
      </c>
    </row>
    <row r="558" spans="1:10" x14ac:dyDescent="0.3">
      <c r="A558">
        <v>164087136</v>
      </c>
      <c r="B558" s="1">
        <v>44887</v>
      </c>
      <c r="D558">
        <v>39</v>
      </c>
      <c r="E558" t="s">
        <v>6</v>
      </c>
      <c r="F558" t="s">
        <v>7</v>
      </c>
      <c r="G558" s="1">
        <f t="shared" si="24"/>
        <v>45199</v>
      </c>
      <c r="H558">
        <f t="shared" si="25"/>
        <v>10</v>
      </c>
      <c r="I558">
        <f t="shared" si="26"/>
        <v>1</v>
      </c>
      <c r="J558">
        <f>IF(Table1[[#This Row],[Active_months]]&gt;=1, 1, 0)</f>
        <v>1</v>
      </c>
    </row>
    <row r="559" spans="1:10" x14ac:dyDescent="0.3">
      <c r="A559">
        <v>155414052</v>
      </c>
      <c r="B559" s="1">
        <v>44887</v>
      </c>
      <c r="C559" s="1">
        <v>44888</v>
      </c>
      <c r="D559">
        <v>39</v>
      </c>
      <c r="E559" t="s">
        <v>6</v>
      </c>
      <c r="F559" t="s">
        <v>8</v>
      </c>
      <c r="G559" s="1">
        <f t="shared" si="24"/>
        <v>44888</v>
      </c>
      <c r="H559">
        <f t="shared" si="25"/>
        <v>0</v>
      </c>
      <c r="I559">
        <f t="shared" si="26"/>
        <v>0</v>
      </c>
      <c r="J559">
        <f>IF(Table1[[#This Row],[Active_months]]&gt;=1, 1, 0)</f>
        <v>0</v>
      </c>
    </row>
    <row r="560" spans="1:10" x14ac:dyDescent="0.3">
      <c r="A560">
        <v>152253972</v>
      </c>
      <c r="B560" s="1">
        <v>44887</v>
      </c>
      <c r="C560" s="1">
        <v>45014</v>
      </c>
      <c r="D560">
        <v>39</v>
      </c>
      <c r="E560" t="s">
        <v>6</v>
      </c>
      <c r="F560" t="s">
        <v>7</v>
      </c>
      <c r="G560" s="1">
        <f t="shared" si="24"/>
        <v>45014</v>
      </c>
      <c r="H560">
        <f t="shared" si="25"/>
        <v>4</v>
      </c>
      <c r="I560">
        <f t="shared" si="26"/>
        <v>0</v>
      </c>
      <c r="J560">
        <f>IF(Table1[[#This Row],[Active_months]]&gt;=1, 1, 0)</f>
        <v>1</v>
      </c>
    </row>
    <row r="561" spans="1:10" x14ac:dyDescent="0.3">
      <c r="A561">
        <v>152754329</v>
      </c>
      <c r="B561" s="1">
        <v>44887</v>
      </c>
      <c r="C561" s="1">
        <v>44949</v>
      </c>
      <c r="D561">
        <v>39</v>
      </c>
      <c r="E561" t="s">
        <v>6</v>
      </c>
      <c r="F561" t="s">
        <v>7</v>
      </c>
      <c r="G561" s="1">
        <f t="shared" si="24"/>
        <v>44949</v>
      </c>
      <c r="H561">
        <f t="shared" si="25"/>
        <v>2</v>
      </c>
      <c r="I561">
        <f t="shared" si="26"/>
        <v>0</v>
      </c>
      <c r="J561">
        <f>IF(Table1[[#This Row],[Active_months]]&gt;=1, 1, 0)</f>
        <v>1</v>
      </c>
    </row>
    <row r="562" spans="1:10" x14ac:dyDescent="0.3">
      <c r="A562">
        <v>159724071</v>
      </c>
      <c r="B562" s="1">
        <v>44888</v>
      </c>
      <c r="C562" s="1">
        <v>44945</v>
      </c>
      <c r="D562">
        <v>39</v>
      </c>
      <c r="E562" t="s">
        <v>6</v>
      </c>
      <c r="F562" t="s">
        <v>7</v>
      </c>
      <c r="G562" s="1">
        <f t="shared" si="24"/>
        <v>44945</v>
      </c>
      <c r="H562">
        <f t="shared" si="25"/>
        <v>2</v>
      </c>
      <c r="I562">
        <f t="shared" si="26"/>
        <v>0</v>
      </c>
      <c r="J562">
        <f>IF(Table1[[#This Row],[Active_months]]&gt;=1, 1, 0)</f>
        <v>1</v>
      </c>
    </row>
    <row r="563" spans="1:10" x14ac:dyDescent="0.3">
      <c r="A563">
        <v>165164673</v>
      </c>
      <c r="B563" s="1">
        <v>44888</v>
      </c>
      <c r="C563" s="1">
        <v>44891</v>
      </c>
      <c r="D563">
        <v>39</v>
      </c>
      <c r="E563" t="s">
        <v>6</v>
      </c>
      <c r="F563" t="s">
        <v>7</v>
      </c>
      <c r="G563" s="1">
        <f t="shared" si="24"/>
        <v>44891</v>
      </c>
      <c r="H563">
        <f t="shared" si="25"/>
        <v>0</v>
      </c>
      <c r="I563">
        <f t="shared" si="26"/>
        <v>0</v>
      </c>
      <c r="J563">
        <f>IF(Table1[[#This Row],[Active_months]]&gt;=1, 1, 0)</f>
        <v>0</v>
      </c>
    </row>
    <row r="564" spans="1:10" x14ac:dyDescent="0.3">
      <c r="A564">
        <v>165529460</v>
      </c>
      <c r="B564" s="1">
        <v>44889</v>
      </c>
      <c r="C564" s="1">
        <v>45037</v>
      </c>
      <c r="D564">
        <v>39</v>
      </c>
      <c r="E564" t="s">
        <v>6</v>
      </c>
      <c r="F564" t="s">
        <v>7</v>
      </c>
      <c r="G564" s="1">
        <f t="shared" si="24"/>
        <v>45037</v>
      </c>
      <c r="H564">
        <f t="shared" si="25"/>
        <v>5</v>
      </c>
      <c r="I564">
        <f t="shared" si="26"/>
        <v>1</v>
      </c>
      <c r="J564">
        <f>IF(Table1[[#This Row],[Active_months]]&gt;=1, 1, 0)</f>
        <v>1</v>
      </c>
    </row>
    <row r="565" spans="1:10" x14ac:dyDescent="0.3">
      <c r="A565">
        <v>163362190</v>
      </c>
      <c r="B565" s="1">
        <v>44890</v>
      </c>
      <c r="D565">
        <v>39</v>
      </c>
      <c r="E565" t="s">
        <v>6</v>
      </c>
      <c r="F565" t="s">
        <v>7</v>
      </c>
      <c r="G565" s="1">
        <f t="shared" si="24"/>
        <v>45199</v>
      </c>
      <c r="H565">
        <f t="shared" si="25"/>
        <v>10</v>
      </c>
      <c r="I565">
        <f t="shared" si="26"/>
        <v>1</v>
      </c>
      <c r="J565">
        <f>IF(Table1[[#This Row],[Active_months]]&gt;=1, 1, 0)</f>
        <v>1</v>
      </c>
    </row>
    <row r="566" spans="1:10" x14ac:dyDescent="0.3">
      <c r="A566">
        <v>155810350</v>
      </c>
      <c r="B566" s="1">
        <v>44890</v>
      </c>
      <c r="C566" s="1">
        <v>44917</v>
      </c>
      <c r="D566">
        <v>39</v>
      </c>
      <c r="E566" t="s">
        <v>6</v>
      </c>
      <c r="F566" t="s">
        <v>7</v>
      </c>
      <c r="G566" s="1">
        <f t="shared" si="24"/>
        <v>44917</v>
      </c>
      <c r="H566">
        <f t="shared" si="25"/>
        <v>1</v>
      </c>
      <c r="I566">
        <f t="shared" si="26"/>
        <v>0</v>
      </c>
      <c r="J566">
        <f>IF(Table1[[#This Row],[Active_months]]&gt;=1, 1, 0)</f>
        <v>1</v>
      </c>
    </row>
    <row r="567" spans="1:10" x14ac:dyDescent="0.3">
      <c r="A567">
        <v>161793136</v>
      </c>
      <c r="B567" s="1">
        <v>44890</v>
      </c>
      <c r="C567" s="1">
        <v>45090</v>
      </c>
      <c r="D567">
        <v>39</v>
      </c>
      <c r="E567" t="s">
        <v>6</v>
      </c>
      <c r="F567" t="s">
        <v>7</v>
      </c>
      <c r="G567" s="1">
        <f t="shared" si="24"/>
        <v>45090</v>
      </c>
      <c r="H567">
        <f t="shared" si="25"/>
        <v>7</v>
      </c>
      <c r="I567">
        <f t="shared" si="26"/>
        <v>1</v>
      </c>
      <c r="J567">
        <f>IF(Table1[[#This Row],[Active_months]]&gt;=1, 1, 0)</f>
        <v>1</v>
      </c>
    </row>
    <row r="568" spans="1:10" x14ac:dyDescent="0.3">
      <c r="A568">
        <v>159255776</v>
      </c>
      <c r="B568" s="1">
        <v>44890</v>
      </c>
      <c r="C568" s="1">
        <v>45006</v>
      </c>
      <c r="D568">
        <v>39</v>
      </c>
      <c r="E568" t="s">
        <v>6</v>
      </c>
      <c r="F568" t="s">
        <v>7</v>
      </c>
      <c r="G568" s="1">
        <f t="shared" si="24"/>
        <v>45006</v>
      </c>
      <c r="H568">
        <f t="shared" si="25"/>
        <v>4</v>
      </c>
      <c r="I568">
        <f t="shared" si="26"/>
        <v>0</v>
      </c>
      <c r="J568">
        <f>IF(Table1[[#This Row],[Active_months]]&gt;=1, 1, 0)</f>
        <v>1</v>
      </c>
    </row>
    <row r="569" spans="1:10" x14ac:dyDescent="0.3">
      <c r="A569">
        <v>165807144</v>
      </c>
      <c r="B569" s="1">
        <v>44890</v>
      </c>
      <c r="C569" s="1">
        <v>44958</v>
      </c>
      <c r="D569">
        <v>39</v>
      </c>
      <c r="E569" t="s">
        <v>6</v>
      </c>
      <c r="F569" t="s">
        <v>7</v>
      </c>
      <c r="G569" s="1">
        <f t="shared" si="24"/>
        <v>44958</v>
      </c>
      <c r="H569">
        <f t="shared" si="25"/>
        <v>3</v>
      </c>
      <c r="I569">
        <f t="shared" si="26"/>
        <v>0</v>
      </c>
      <c r="J569">
        <f>IF(Table1[[#This Row],[Active_months]]&gt;=1, 1, 0)</f>
        <v>1</v>
      </c>
    </row>
    <row r="570" spans="1:10" x14ac:dyDescent="0.3">
      <c r="A570">
        <v>165788743</v>
      </c>
      <c r="B570" s="1">
        <v>44890</v>
      </c>
      <c r="C570" s="1">
        <v>44975</v>
      </c>
      <c r="D570">
        <v>39</v>
      </c>
      <c r="E570" t="s">
        <v>6</v>
      </c>
      <c r="F570" t="s">
        <v>7</v>
      </c>
      <c r="G570" s="1">
        <f t="shared" si="24"/>
        <v>44975</v>
      </c>
      <c r="H570">
        <f t="shared" si="25"/>
        <v>3</v>
      </c>
      <c r="I570">
        <f t="shared" si="26"/>
        <v>0</v>
      </c>
      <c r="J570">
        <f>IF(Table1[[#This Row],[Active_months]]&gt;=1, 1, 0)</f>
        <v>1</v>
      </c>
    </row>
    <row r="571" spans="1:10" x14ac:dyDescent="0.3">
      <c r="A571">
        <v>162513776</v>
      </c>
      <c r="B571" s="1">
        <v>44890</v>
      </c>
      <c r="C571" s="1">
        <v>44956</v>
      </c>
      <c r="D571">
        <v>39</v>
      </c>
      <c r="E571" t="s">
        <v>6</v>
      </c>
      <c r="F571" t="s">
        <v>7</v>
      </c>
      <c r="G571" s="1">
        <f t="shared" si="24"/>
        <v>44956</v>
      </c>
      <c r="H571">
        <f t="shared" si="25"/>
        <v>2</v>
      </c>
      <c r="I571">
        <f t="shared" si="26"/>
        <v>0</v>
      </c>
      <c r="J571">
        <f>IF(Table1[[#This Row],[Active_months]]&gt;=1, 1, 0)</f>
        <v>1</v>
      </c>
    </row>
    <row r="572" spans="1:10" x14ac:dyDescent="0.3">
      <c r="A572">
        <v>161841028</v>
      </c>
      <c r="B572" s="1">
        <v>44890</v>
      </c>
      <c r="C572" s="1">
        <v>44951</v>
      </c>
      <c r="D572">
        <v>39</v>
      </c>
      <c r="E572" t="s">
        <v>6</v>
      </c>
      <c r="F572" t="s">
        <v>7</v>
      </c>
      <c r="G572" s="1">
        <f t="shared" si="24"/>
        <v>44951</v>
      </c>
      <c r="H572">
        <f t="shared" si="25"/>
        <v>2</v>
      </c>
      <c r="I572">
        <f t="shared" si="26"/>
        <v>0</v>
      </c>
      <c r="J572">
        <f>IF(Table1[[#This Row],[Active_months]]&gt;=1, 1, 0)</f>
        <v>1</v>
      </c>
    </row>
    <row r="573" spans="1:10" x14ac:dyDescent="0.3">
      <c r="A573">
        <v>160597612</v>
      </c>
      <c r="B573" s="1">
        <v>44890</v>
      </c>
      <c r="C573" s="1">
        <v>44906</v>
      </c>
      <c r="D573">
        <v>39</v>
      </c>
      <c r="E573" t="s">
        <v>6</v>
      </c>
      <c r="F573" t="s">
        <v>7</v>
      </c>
      <c r="G573" s="1">
        <f t="shared" si="24"/>
        <v>44906</v>
      </c>
      <c r="H573">
        <f t="shared" si="25"/>
        <v>1</v>
      </c>
      <c r="I573">
        <f t="shared" si="26"/>
        <v>0</v>
      </c>
      <c r="J573">
        <f>IF(Table1[[#This Row],[Active_months]]&gt;=1, 1, 0)</f>
        <v>1</v>
      </c>
    </row>
    <row r="574" spans="1:10" x14ac:dyDescent="0.3">
      <c r="A574">
        <v>165937140</v>
      </c>
      <c r="B574" s="1">
        <v>44891</v>
      </c>
      <c r="C574" s="1">
        <v>44892</v>
      </c>
      <c r="D574">
        <v>39</v>
      </c>
      <c r="E574" t="s">
        <v>6</v>
      </c>
      <c r="F574" t="s">
        <v>8</v>
      </c>
      <c r="G574" s="1">
        <f t="shared" si="24"/>
        <v>44892</v>
      </c>
      <c r="H574">
        <f t="shared" si="25"/>
        <v>0</v>
      </c>
      <c r="I574">
        <f t="shared" si="26"/>
        <v>0</v>
      </c>
      <c r="J574">
        <f>IF(Table1[[#This Row],[Active_months]]&gt;=1, 1, 0)</f>
        <v>0</v>
      </c>
    </row>
    <row r="575" spans="1:10" x14ac:dyDescent="0.3">
      <c r="A575">
        <v>165613975</v>
      </c>
      <c r="B575" s="1">
        <v>44891</v>
      </c>
      <c r="C575" s="1">
        <v>45053</v>
      </c>
      <c r="D575">
        <v>39</v>
      </c>
      <c r="E575" t="s">
        <v>6</v>
      </c>
      <c r="F575" t="s">
        <v>7</v>
      </c>
      <c r="G575" s="1">
        <f t="shared" si="24"/>
        <v>45053</v>
      </c>
      <c r="H575">
        <f t="shared" si="25"/>
        <v>6</v>
      </c>
      <c r="I575">
        <f t="shared" si="26"/>
        <v>1</v>
      </c>
      <c r="J575">
        <f>IF(Table1[[#This Row],[Active_months]]&gt;=1, 1, 0)</f>
        <v>1</v>
      </c>
    </row>
    <row r="576" spans="1:10" x14ac:dyDescent="0.3">
      <c r="A576">
        <v>164662173</v>
      </c>
      <c r="B576" s="1">
        <v>44891</v>
      </c>
      <c r="C576" s="1">
        <v>44952</v>
      </c>
      <c r="D576">
        <v>39</v>
      </c>
      <c r="E576" t="s">
        <v>6</v>
      </c>
      <c r="F576" t="s">
        <v>7</v>
      </c>
      <c r="G576" s="1">
        <f t="shared" si="24"/>
        <v>44952</v>
      </c>
      <c r="H576">
        <f t="shared" si="25"/>
        <v>2</v>
      </c>
      <c r="I576">
        <f t="shared" si="26"/>
        <v>0</v>
      </c>
      <c r="J576">
        <f>IF(Table1[[#This Row],[Active_months]]&gt;=1, 1, 0)</f>
        <v>1</v>
      </c>
    </row>
    <row r="577" spans="1:10" x14ac:dyDescent="0.3">
      <c r="A577">
        <v>162411394</v>
      </c>
      <c r="B577" s="1">
        <v>44891</v>
      </c>
      <c r="C577" s="1">
        <v>44930</v>
      </c>
      <c r="D577">
        <v>39</v>
      </c>
      <c r="E577" t="s">
        <v>6</v>
      </c>
      <c r="F577" t="s">
        <v>7</v>
      </c>
      <c r="G577" s="1">
        <f t="shared" si="24"/>
        <v>44930</v>
      </c>
      <c r="H577">
        <f t="shared" si="25"/>
        <v>2</v>
      </c>
      <c r="I577">
        <f t="shared" si="26"/>
        <v>0</v>
      </c>
      <c r="J577">
        <f>IF(Table1[[#This Row],[Active_months]]&gt;=1, 1, 0)</f>
        <v>1</v>
      </c>
    </row>
    <row r="578" spans="1:10" x14ac:dyDescent="0.3">
      <c r="A578">
        <v>121439836</v>
      </c>
      <c r="B578" s="1">
        <v>44892</v>
      </c>
      <c r="D578">
        <v>39</v>
      </c>
      <c r="E578" t="s">
        <v>6</v>
      </c>
      <c r="F578" t="s">
        <v>7</v>
      </c>
      <c r="G578" s="1">
        <f t="shared" si="24"/>
        <v>45199</v>
      </c>
      <c r="H578">
        <f t="shared" si="25"/>
        <v>10</v>
      </c>
      <c r="I578">
        <f t="shared" si="26"/>
        <v>1</v>
      </c>
      <c r="J578">
        <f>IF(Table1[[#This Row],[Active_months]]&gt;=1, 1, 0)</f>
        <v>1</v>
      </c>
    </row>
    <row r="579" spans="1:10" x14ac:dyDescent="0.3">
      <c r="A579">
        <v>157353623</v>
      </c>
      <c r="B579" s="1">
        <v>44892</v>
      </c>
      <c r="C579" s="1">
        <v>44892</v>
      </c>
      <c r="D579">
        <v>39</v>
      </c>
      <c r="E579" t="s">
        <v>6</v>
      </c>
      <c r="F579" t="s">
        <v>8</v>
      </c>
      <c r="G579" s="1">
        <f t="shared" ref="G579:G642" si="27">IF(ISBLANK(C579), DATE(2023,9,30), C579)</f>
        <v>44892</v>
      </c>
      <c r="H579">
        <f t="shared" ref="H579:H642" si="28">(YEAR(G579)-YEAR(B579))*12 + (MONTH(G579)-MONTH(B579))</f>
        <v>0</v>
      </c>
      <c r="I579">
        <f t="shared" ref="I579:I642" si="29">IF(H579 &gt;=5, 1, 0)</f>
        <v>0</v>
      </c>
      <c r="J579">
        <f>IF(Table1[[#This Row],[Active_months]]&gt;=1, 1, 0)</f>
        <v>0</v>
      </c>
    </row>
    <row r="580" spans="1:10" x14ac:dyDescent="0.3">
      <c r="A580">
        <v>165953219</v>
      </c>
      <c r="B580" s="1">
        <v>44892</v>
      </c>
      <c r="C580" s="1">
        <v>44929</v>
      </c>
      <c r="D580">
        <v>39</v>
      </c>
      <c r="E580" t="s">
        <v>6</v>
      </c>
      <c r="F580" t="s">
        <v>7</v>
      </c>
      <c r="G580" s="1">
        <f t="shared" si="27"/>
        <v>44929</v>
      </c>
      <c r="H580">
        <f t="shared" si="28"/>
        <v>2</v>
      </c>
      <c r="I580">
        <f t="shared" si="29"/>
        <v>0</v>
      </c>
      <c r="J580">
        <f>IF(Table1[[#This Row],[Active_months]]&gt;=1, 1, 0)</f>
        <v>1</v>
      </c>
    </row>
    <row r="581" spans="1:10" x14ac:dyDescent="0.3">
      <c r="A581">
        <v>154710805</v>
      </c>
      <c r="B581" s="1">
        <v>44893</v>
      </c>
      <c r="D581">
        <v>39</v>
      </c>
      <c r="E581" t="s">
        <v>6</v>
      </c>
      <c r="F581" t="s">
        <v>7</v>
      </c>
      <c r="G581" s="1">
        <f t="shared" si="27"/>
        <v>45199</v>
      </c>
      <c r="H581">
        <f t="shared" si="28"/>
        <v>10</v>
      </c>
      <c r="I581">
        <f t="shared" si="29"/>
        <v>1</v>
      </c>
      <c r="J581">
        <f>IF(Table1[[#This Row],[Active_months]]&gt;=1, 1, 0)</f>
        <v>1</v>
      </c>
    </row>
    <row r="582" spans="1:10" x14ac:dyDescent="0.3">
      <c r="A582">
        <v>164084318</v>
      </c>
      <c r="B582" s="1">
        <v>44893</v>
      </c>
      <c r="D582">
        <v>39</v>
      </c>
      <c r="E582" t="s">
        <v>6</v>
      </c>
      <c r="F582" t="s">
        <v>7</v>
      </c>
      <c r="G582" s="1">
        <f t="shared" si="27"/>
        <v>45199</v>
      </c>
      <c r="H582">
        <f t="shared" si="28"/>
        <v>10</v>
      </c>
      <c r="I582">
        <f t="shared" si="29"/>
        <v>1</v>
      </c>
      <c r="J582">
        <f>IF(Table1[[#This Row],[Active_months]]&gt;=1, 1, 0)</f>
        <v>1</v>
      </c>
    </row>
    <row r="583" spans="1:10" x14ac:dyDescent="0.3">
      <c r="A583">
        <v>160043327</v>
      </c>
      <c r="B583" s="1">
        <v>44893</v>
      </c>
      <c r="C583" s="1">
        <v>44894</v>
      </c>
      <c r="D583">
        <v>39</v>
      </c>
      <c r="E583" t="s">
        <v>6</v>
      </c>
      <c r="F583" t="s">
        <v>8</v>
      </c>
      <c r="G583" s="1">
        <f t="shared" si="27"/>
        <v>44894</v>
      </c>
      <c r="H583">
        <f t="shared" si="28"/>
        <v>0</v>
      </c>
      <c r="I583">
        <f t="shared" si="29"/>
        <v>0</v>
      </c>
      <c r="J583">
        <f>IF(Table1[[#This Row],[Active_months]]&gt;=1, 1, 0)</f>
        <v>0</v>
      </c>
    </row>
    <row r="584" spans="1:10" x14ac:dyDescent="0.3">
      <c r="A584">
        <v>131166579</v>
      </c>
      <c r="B584" s="1">
        <v>44893</v>
      </c>
      <c r="C584" s="1">
        <v>44930</v>
      </c>
      <c r="D584">
        <v>39</v>
      </c>
      <c r="E584" t="s">
        <v>6</v>
      </c>
      <c r="F584" t="s">
        <v>7</v>
      </c>
      <c r="G584" s="1">
        <f t="shared" si="27"/>
        <v>44930</v>
      </c>
      <c r="H584">
        <f t="shared" si="28"/>
        <v>2</v>
      </c>
      <c r="I584">
        <f t="shared" si="29"/>
        <v>0</v>
      </c>
      <c r="J584">
        <f>IF(Table1[[#This Row],[Active_months]]&gt;=1, 1, 0)</f>
        <v>1</v>
      </c>
    </row>
    <row r="585" spans="1:10" x14ac:dyDescent="0.3">
      <c r="A585">
        <v>166109726</v>
      </c>
      <c r="B585" s="1">
        <v>44893</v>
      </c>
      <c r="C585" s="1">
        <v>44938</v>
      </c>
      <c r="D585">
        <v>39</v>
      </c>
      <c r="E585" t="s">
        <v>6</v>
      </c>
      <c r="F585" t="s">
        <v>7</v>
      </c>
      <c r="G585" s="1">
        <f t="shared" si="27"/>
        <v>44938</v>
      </c>
      <c r="H585">
        <f t="shared" si="28"/>
        <v>2</v>
      </c>
      <c r="I585">
        <f t="shared" si="29"/>
        <v>0</v>
      </c>
      <c r="J585">
        <f>IF(Table1[[#This Row],[Active_months]]&gt;=1, 1, 0)</f>
        <v>1</v>
      </c>
    </row>
    <row r="586" spans="1:10" x14ac:dyDescent="0.3">
      <c r="A586">
        <v>155446081</v>
      </c>
      <c r="B586" s="1">
        <v>44893</v>
      </c>
      <c r="C586" s="1">
        <v>44927</v>
      </c>
      <c r="D586">
        <v>39</v>
      </c>
      <c r="E586" t="s">
        <v>6</v>
      </c>
      <c r="F586" t="s">
        <v>7</v>
      </c>
      <c r="G586" s="1">
        <f t="shared" si="27"/>
        <v>44927</v>
      </c>
      <c r="H586">
        <f t="shared" si="28"/>
        <v>2</v>
      </c>
      <c r="I586">
        <f t="shared" si="29"/>
        <v>0</v>
      </c>
      <c r="J586">
        <f>IF(Table1[[#This Row],[Active_months]]&gt;=1, 1, 0)</f>
        <v>1</v>
      </c>
    </row>
    <row r="587" spans="1:10" x14ac:dyDescent="0.3">
      <c r="A587">
        <v>166342075</v>
      </c>
      <c r="B587" s="1">
        <v>44893</v>
      </c>
      <c r="C587" s="1">
        <v>44923</v>
      </c>
      <c r="D587">
        <v>39</v>
      </c>
      <c r="E587" t="s">
        <v>6</v>
      </c>
      <c r="F587" t="s">
        <v>7</v>
      </c>
      <c r="G587" s="1">
        <f t="shared" si="27"/>
        <v>44923</v>
      </c>
      <c r="H587">
        <f t="shared" si="28"/>
        <v>1</v>
      </c>
      <c r="I587">
        <f t="shared" si="29"/>
        <v>0</v>
      </c>
      <c r="J587">
        <f>IF(Table1[[#This Row],[Active_months]]&gt;=1, 1, 0)</f>
        <v>1</v>
      </c>
    </row>
    <row r="588" spans="1:10" x14ac:dyDescent="0.3">
      <c r="A588">
        <v>154063985</v>
      </c>
      <c r="B588" s="1">
        <v>44893</v>
      </c>
      <c r="C588" s="1">
        <v>45142</v>
      </c>
      <c r="D588">
        <v>39</v>
      </c>
      <c r="E588" t="s">
        <v>6</v>
      </c>
      <c r="F588" t="s">
        <v>7</v>
      </c>
      <c r="G588" s="1">
        <f t="shared" si="27"/>
        <v>45142</v>
      </c>
      <c r="H588">
        <f t="shared" si="28"/>
        <v>9</v>
      </c>
      <c r="I588">
        <f t="shared" si="29"/>
        <v>1</v>
      </c>
      <c r="J588">
        <f>IF(Table1[[#This Row],[Active_months]]&gt;=1, 1, 0)</f>
        <v>1</v>
      </c>
    </row>
    <row r="589" spans="1:10" x14ac:dyDescent="0.3">
      <c r="A589">
        <v>164141888</v>
      </c>
      <c r="B589" s="1">
        <v>44894</v>
      </c>
      <c r="D589">
        <v>39</v>
      </c>
      <c r="E589" t="s">
        <v>6</v>
      </c>
      <c r="F589" t="s">
        <v>7</v>
      </c>
      <c r="G589" s="1">
        <f t="shared" si="27"/>
        <v>45199</v>
      </c>
      <c r="H589">
        <f t="shared" si="28"/>
        <v>10</v>
      </c>
      <c r="I589">
        <f t="shared" si="29"/>
        <v>1</v>
      </c>
      <c r="J589">
        <f>IF(Table1[[#This Row],[Active_months]]&gt;=1, 1, 0)</f>
        <v>1</v>
      </c>
    </row>
    <row r="590" spans="1:10" x14ac:dyDescent="0.3">
      <c r="A590">
        <v>165244044</v>
      </c>
      <c r="B590" s="1">
        <v>44894</v>
      </c>
      <c r="C590" s="1">
        <v>45061</v>
      </c>
      <c r="D590">
        <v>39</v>
      </c>
      <c r="E590" t="s">
        <v>6</v>
      </c>
      <c r="F590" t="s">
        <v>7</v>
      </c>
      <c r="G590" s="1">
        <f t="shared" si="27"/>
        <v>45061</v>
      </c>
      <c r="H590">
        <f t="shared" si="28"/>
        <v>6</v>
      </c>
      <c r="I590">
        <f t="shared" si="29"/>
        <v>1</v>
      </c>
      <c r="J590">
        <f>IF(Table1[[#This Row],[Active_months]]&gt;=1, 1, 0)</f>
        <v>1</v>
      </c>
    </row>
    <row r="591" spans="1:10" x14ac:dyDescent="0.3">
      <c r="A591">
        <v>136149379</v>
      </c>
      <c r="B591" s="1">
        <v>44894</v>
      </c>
      <c r="C591" s="1">
        <v>45018</v>
      </c>
      <c r="D591">
        <v>39</v>
      </c>
      <c r="E591" t="s">
        <v>6</v>
      </c>
      <c r="F591" t="s">
        <v>7</v>
      </c>
      <c r="G591" s="1">
        <f t="shared" si="27"/>
        <v>45018</v>
      </c>
      <c r="H591">
        <f t="shared" si="28"/>
        <v>5</v>
      </c>
      <c r="I591">
        <f t="shared" si="29"/>
        <v>1</v>
      </c>
      <c r="J591">
        <f>IF(Table1[[#This Row],[Active_months]]&gt;=1, 1, 0)</f>
        <v>1</v>
      </c>
    </row>
    <row r="592" spans="1:10" x14ac:dyDescent="0.3">
      <c r="A592">
        <v>158227426</v>
      </c>
      <c r="B592" s="1">
        <v>44894</v>
      </c>
      <c r="C592" s="1">
        <v>44986</v>
      </c>
      <c r="D592">
        <v>39</v>
      </c>
      <c r="E592" t="s">
        <v>6</v>
      </c>
      <c r="F592" t="s">
        <v>7</v>
      </c>
      <c r="G592" s="1">
        <f t="shared" si="27"/>
        <v>44986</v>
      </c>
      <c r="H592">
        <f t="shared" si="28"/>
        <v>4</v>
      </c>
      <c r="I592">
        <f t="shared" si="29"/>
        <v>0</v>
      </c>
      <c r="J592">
        <f>IF(Table1[[#This Row],[Active_months]]&gt;=1, 1, 0)</f>
        <v>1</v>
      </c>
    </row>
    <row r="593" spans="1:10" x14ac:dyDescent="0.3">
      <c r="A593">
        <v>166366125</v>
      </c>
      <c r="B593" s="1">
        <v>44894</v>
      </c>
      <c r="C593" s="1">
        <v>44994</v>
      </c>
      <c r="D593">
        <v>39</v>
      </c>
      <c r="E593" t="s">
        <v>6</v>
      </c>
      <c r="F593" t="s">
        <v>7</v>
      </c>
      <c r="G593" s="1">
        <f t="shared" si="27"/>
        <v>44994</v>
      </c>
      <c r="H593">
        <f t="shared" si="28"/>
        <v>4</v>
      </c>
      <c r="I593">
        <f t="shared" si="29"/>
        <v>0</v>
      </c>
      <c r="J593">
        <f>IF(Table1[[#This Row],[Active_months]]&gt;=1, 1, 0)</f>
        <v>1</v>
      </c>
    </row>
    <row r="594" spans="1:10" x14ac:dyDescent="0.3">
      <c r="A594">
        <v>166753946</v>
      </c>
      <c r="B594" s="1">
        <v>44894</v>
      </c>
      <c r="C594" s="1">
        <v>44962</v>
      </c>
      <c r="D594">
        <v>39</v>
      </c>
      <c r="E594" t="s">
        <v>6</v>
      </c>
      <c r="F594" t="s">
        <v>7</v>
      </c>
      <c r="G594" s="1">
        <f t="shared" si="27"/>
        <v>44962</v>
      </c>
      <c r="H594">
        <f t="shared" si="28"/>
        <v>3</v>
      </c>
      <c r="I594">
        <f t="shared" si="29"/>
        <v>0</v>
      </c>
      <c r="J594">
        <f>IF(Table1[[#This Row],[Active_months]]&gt;=1, 1, 0)</f>
        <v>1</v>
      </c>
    </row>
    <row r="595" spans="1:10" x14ac:dyDescent="0.3">
      <c r="A595">
        <v>157883110</v>
      </c>
      <c r="B595" s="1">
        <v>44894</v>
      </c>
      <c r="C595" s="1">
        <v>44949</v>
      </c>
      <c r="D595">
        <v>39</v>
      </c>
      <c r="E595" t="s">
        <v>6</v>
      </c>
      <c r="F595" t="s">
        <v>7</v>
      </c>
      <c r="G595" s="1">
        <f t="shared" si="27"/>
        <v>44949</v>
      </c>
      <c r="H595">
        <f t="shared" si="28"/>
        <v>2</v>
      </c>
      <c r="I595">
        <f t="shared" si="29"/>
        <v>0</v>
      </c>
      <c r="J595">
        <f>IF(Table1[[#This Row],[Active_months]]&gt;=1, 1, 0)</f>
        <v>1</v>
      </c>
    </row>
    <row r="596" spans="1:10" x14ac:dyDescent="0.3">
      <c r="A596">
        <v>138475621</v>
      </c>
      <c r="B596" s="1">
        <v>44894</v>
      </c>
      <c r="C596" s="1">
        <v>44910</v>
      </c>
      <c r="D596">
        <v>39</v>
      </c>
      <c r="E596" t="s">
        <v>6</v>
      </c>
      <c r="F596" t="s">
        <v>7</v>
      </c>
      <c r="G596" s="1">
        <f t="shared" si="27"/>
        <v>44910</v>
      </c>
      <c r="H596">
        <f t="shared" si="28"/>
        <v>1</v>
      </c>
      <c r="I596">
        <f t="shared" si="29"/>
        <v>0</v>
      </c>
      <c r="J596">
        <f>IF(Table1[[#This Row],[Active_months]]&gt;=1, 1, 0)</f>
        <v>1</v>
      </c>
    </row>
    <row r="597" spans="1:10" x14ac:dyDescent="0.3">
      <c r="A597">
        <v>166529240</v>
      </c>
      <c r="B597" s="1">
        <v>44895</v>
      </c>
      <c r="D597">
        <v>39</v>
      </c>
      <c r="E597" t="s">
        <v>6</v>
      </c>
      <c r="F597" t="s">
        <v>7</v>
      </c>
      <c r="G597" s="1">
        <f t="shared" si="27"/>
        <v>45199</v>
      </c>
      <c r="H597">
        <f t="shared" si="28"/>
        <v>10</v>
      </c>
      <c r="I597">
        <f t="shared" si="29"/>
        <v>1</v>
      </c>
      <c r="J597">
        <f>IF(Table1[[#This Row],[Active_months]]&gt;=1, 1, 0)</f>
        <v>1</v>
      </c>
    </row>
    <row r="598" spans="1:10" x14ac:dyDescent="0.3">
      <c r="A598">
        <v>125828506</v>
      </c>
      <c r="B598" s="1">
        <v>44895</v>
      </c>
      <c r="C598" s="1">
        <v>44971</v>
      </c>
      <c r="D598">
        <v>39</v>
      </c>
      <c r="E598" t="s">
        <v>6</v>
      </c>
      <c r="F598" t="s">
        <v>7</v>
      </c>
      <c r="G598" s="1">
        <f t="shared" si="27"/>
        <v>44971</v>
      </c>
      <c r="H598">
        <f t="shared" si="28"/>
        <v>3</v>
      </c>
      <c r="I598">
        <f t="shared" si="29"/>
        <v>0</v>
      </c>
      <c r="J598">
        <f>IF(Table1[[#This Row],[Active_months]]&gt;=1, 1, 0)</f>
        <v>1</v>
      </c>
    </row>
    <row r="599" spans="1:10" x14ac:dyDescent="0.3">
      <c r="A599">
        <v>148869381</v>
      </c>
      <c r="B599" s="1">
        <v>44895</v>
      </c>
      <c r="C599" s="1">
        <v>44957</v>
      </c>
      <c r="D599">
        <v>39</v>
      </c>
      <c r="E599" t="s">
        <v>6</v>
      </c>
      <c r="F599" t="s">
        <v>7</v>
      </c>
      <c r="G599" s="1">
        <f t="shared" si="27"/>
        <v>44957</v>
      </c>
      <c r="H599">
        <f t="shared" si="28"/>
        <v>2</v>
      </c>
      <c r="I599">
        <f t="shared" si="29"/>
        <v>0</v>
      </c>
      <c r="J599">
        <f>IF(Table1[[#This Row],[Active_months]]&gt;=1, 1, 0)</f>
        <v>1</v>
      </c>
    </row>
    <row r="600" spans="1:10" x14ac:dyDescent="0.3">
      <c r="A600">
        <v>134825962</v>
      </c>
      <c r="B600" s="1">
        <v>44895</v>
      </c>
      <c r="C600" s="1">
        <v>44927</v>
      </c>
      <c r="D600">
        <v>39</v>
      </c>
      <c r="E600" t="s">
        <v>6</v>
      </c>
      <c r="F600" t="s">
        <v>7</v>
      </c>
      <c r="G600" s="1">
        <f t="shared" si="27"/>
        <v>44927</v>
      </c>
      <c r="H600">
        <f t="shared" si="28"/>
        <v>2</v>
      </c>
      <c r="I600">
        <f t="shared" si="29"/>
        <v>0</v>
      </c>
      <c r="J600">
        <f>IF(Table1[[#This Row],[Active_months]]&gt;=1, 1, 0)</f>
        <v>1</v>
      </c>
    </row>
    <row r="601" spans="1:10" x14ac:dyDescent="0.3">
      <c r="A601">
        <v>151163143</v>
      </c>
      <c r="B601" s="1">
        <v>44895</v>
      </c>
      <c r="C601" s="1">
        <v>44932</v>
      </c>
      <c r="D601">
        <v>39</v>
      </c>
      <c r="E601" t="s">
        <v>6</v>
      </c>
      <c r="F601" t="s">
        <v>7</v>
      </c>
      <c r="G601" s="1">
        <f t="shared" si="27"/>
        <v>44932</v>
      </c>
      <c r="H601">
        <f t="shared" si="28"/>
        <v>2</v>
      </c>
      <c r="I601">
        <f t="shared" si="29"/>
        <v>0</v>
      </c>
      <c r="J601">
        <f>IF(Table1[[#This Row],[Active_months]]&gt;=1, 1, 0)</f>
        <v>1</v>
      </c>
    </row>
    <row r="602" spans="1:10" x14ac:dyDescent="0.3">
      <c r="A602">
        <v>156111982</v>
      </c>
      <c r="B602" s="1">
        <v>44895</v>
      </c>
      <c r="C602" s="1">
        <v>44918</v>
      </c>
      <c r="D602">
        <v>39</v>
      </c>
      <c r="E602" t="s">
        <v>6</v>
      </c>
      <c r="F602" t="s">
        <v>7</v>
      </c>
      <c r="G602" s="1">
        <f t="shared" si="27"/>
        <v>44918</v>
      </c>
      <c r="H602">
        <f t="shared" si="28"/>
        <v>1</v>
      </c>
      <c r="I602">
        <f t="shared" si="29"/>
        <v>0</v>
      </c>
      <c r="J602">
        <f>IF(Table1[[#This Row],[Active_months]]&gt;=1, 1, 0)</f>
        <v>1</v>
      </c>
    </row>
    <row r="603" spans="1:10" x14ac:dyDescent="0.3">
      <c r="A603">
        <v>166546201</v>
      </c>
      <c r="B603" s="1">
        <v>44895</v>
      </c>
      <c r="C603" s="1">
        <v>44906</v>
      </c>
      <c r="D603">
        <v>39</v>
      </c>
      <c r="E603" t="s">
        <v>6</v>
      </c>
      <c r="F603" t="s">
        <v>7</v>
      </c>
      <c r="G603" s="1">
        <f t="shared" si="27"/>
        <v>44906</v>
      </c>
      <c r="H603">
        <f t="shared" si="28"/>
        <v>1</v>
      </c>
      <c r="I603">
        <f t="shared" si="29"/>
        <v>0</v>
      </c>
      <c r="J603">
        <f>IF(Table1[[#This Row],[Active_months]]&gt;=1, 1, 0)</f>
        <v>1</v>
      </c>
    </row>
    <row r="604" spans="1:10" x14ac:dyDescent="0.3">
      <c r="A604">
        <v>162126074</v>
      </c>
      <c r="B604" s="1">
        <v>44896</v>
      </c>
      <c r="D604">
        <v>39</v>
      </c>
      <c r="E604" t="s">
        <v>6</v>
      </c>
      <c r="F604" t="s">
        <v>7</v>
      </c>
      <c r="G604" s="1">
        <f t="shared" si="27"/>
        <v>45199</v>
      </c>
      <c r="H604">
        <f t="shared" si="28"/>
        <v>9</v>
      </c>
      <c r="I604">
        <f t="shared" si="29"/>
        <v>1</v>
      </c>
      <c r="J604">
        <f>IF(Table1[[#This Row],[Active_months]]&gt;=1, 1, 0)</f>
        <v>1</v>
      </c>
    </row>
    <row r="605" spans="1:10" x14ac:dyDescent="0.3">
      <c r="A605">
        <v>162640429</v>
      </c>
      <c r="B605" s="1">
        <v>44896</v>
      </c>
      <c r="D605">
        <v>39</v>
      </c>
      <c r="E605" t="s">
        <v>6</v>
      </c>
      <c r="F605" t="s">
        <v>7</v>
      </c>
      <c r="G605" s="1">
        <f t="shared" si="27"/>
        <v>45199</v>
      </c>
      <c r="H605">
        <f t="shared" si="28"/>
        <v>9</v>
      </c>
      <c r="I605">
        <f t="shared" si="29"/>
        <v>1</v>
      </c>
      <c r="J605">
        <f>IF(Table1[[#This Row],[Active_months]]&gt;=1, 1, 0)</f>
        <v>1</v>
      </c>
    </row>
    <row r="606" spans="1:10" x14ac:dyDescent="0.3">
      <c r="A606">
        <v>164413682</v>
      </c>
      <c r="B606" s="1">
        <v>44896</v>
      </c>
      <c r="D606">
        <v>39</v>
      </c>
      <c r="E606" t="s">
        <v>6</v>
      </c>
      <c r="F606" t="s">
        <v>7</v>
      </c>
      <c r="G606" s="1">
        <f t="shared" si="27"/>
        <v>45199</v>
      </c>
      <c r="H606">
        <f t="shared" si="28"/>
        <v>9</v>
      </c>
      <c r="I606">
        <f t="shared" si="29"/>
        <v>1</v>
      </c>
      <c r="J606">
        <f>IF(Table1[[#This Row],[Active_months]]&gt;=1, 1, 0)</f>
        <v>1</v>
      </c>
    </row>
    <row r="607" spans="1:10" x14ac:dyDescent="0.3">
      <c r="A607">
        <v>162850052</v>
      </c>
      <c r="B607" s="1">
        <v>44896</v>
      </c>
      <c r="D607">
        <v>39</v>
      </c>
      <c r="E607" t="s">
        <v>6</v>
      </c>
      <c r="F607" t="s">
        <v>7</v>
      </c>
      <c r="G607" s="1">
        <f t="shared" si="27"/>
        <v>45199</v>
      </c>
      <c r="H607">
        <f t="shared" si="28"/>
        <v>9</v>
      </c>
      <c r="I607">
        <f t="shared" si="29"/>
        <v>1</v>
      </c>
      <c r="J607">
        <f>IF(Table1[[#This Row],[Active_months]]&gt;=1, 1, 0)</f>
        <v>1</v>
      </c>
    </row>
    <row r="608" spans="1:10" x14ac:dyDescent="0.3">
      <c r="A608">
        <v>162177746</v>
      </c>
      <c r="B608" s="1">
        <v>44896</v>
      </c>
      <c r="C608" s="1">
        <v>44924</v>
      </c>
      <c r="D608">
        <v>39</v>
      </c>
      <c r="E608" t="s">
        <v>6</v>
      </c>
      <c r="F608" t="s">
        <v>7</v>
      </c>
      <c r="G608" s="1">
        <f t="shared" si="27"/>
        <v>44924</v>
      </c>
      <c r="H608">
        <f t="shared" si="28"/>
        <v>0</v>
      </c>
      <c r="I608">
        <f t="shared" si="29"/>
        <v>0</v>
      </c>
      <c r="J608">
        <f>IF(Table1[[#This Row],[Active_months]]&gt;=1, 1, 0)</f>
        <v>0</v>
      </c>
    </row>
    <row r="609" spans="1:10" x14ac:dyDescent="0.3">
      <c r="A609">
        <v>135587508</v>
      </c>
      <c r="B609" s="1">
        <v>44896</v>
      </c>
      <c r="C609" s="1">
        <v>44966</v>
      </c>
      <c r="D609">
        <v>39</v>
      </c>
      <c r="E609" t="s">
        <v>6</v>
      </c>
      <c r="F609" t="s">
        <v>7</v>
      </c>
      <c r="G609" s="1">
        <f t="shared" si="27"/>
        <v>44966</v>
      </c>
      <c r="H609">
        <f t="shared" si="28"/>
        <v>2</v>
      </c>
      <c r="I609">
        <f t="shared" si="29"/>
        <v>0</v>
      </c>
      <c r="J609">
        <f>IF(Table1[[#This Row],[Active_months]]&gt;=1, 1, 0)</f>
        <v>1</v>
      </c>
    </row>
    <row r="610" spans="1:10" x14ac:dyDescent="0.3">
      <c r="A610">
        <v>161428649</v>
      </c>
      <c r="B610" s="1">
        <v>44896</v>
      </c>
      <c r="C610" s="1">
        <v>45024</v>
      </c>
      <c r="D610">
        <v>39</v>
      </c>
      <c r="E610" t="s">
        <v>6</v>
      </c>
      <c r="F610" t="s">
        <v>7</v>
      </c>
      <c r="G610" s="1">
        <f t="shared" si="27"/>
        <v>45024</v>
      </c>
      <c r="H610">
        <f t="shared" si="28"/>
        <v>4</v>
      </c>
      <c r="I610">
        <f t="shared" si="29"/>
        <v>0</v>
      </c>
      <c r="J610">
        <f>IF(Table1[[#This Row],[Active_months]]&gt;=1, 1, 0)</f>
        <v>1</v>
      </c>
    </row>
    <row r="611" spans="1:10" x14ac:dyDescent="0.3">
      <c r="A611">
        <v>166977144</v>
      </c>
      <c r="B611" s="1">
        <v>44896</v>
      </c>
      <c r="C611" s="1">
        <v>45024</v>
      </c>
      <c r="D611">
        <v>39</v>
      </c>
      <c r="E611" t="s">
        <v>6</v>
      </c>
      <c r="F611" t="s">
        <v>7</v>
      </c>
      <c r="G611" s="1">
        <f t="shared" si="27"/>
        <v>45024</v>
      </c>
      <c r="H611">
        <f t="shared" si="28"/>
        <v>4</v>
      </c>
      <c r="I611">
        <f t="shared" si="29"/>
        <v>0</v>
      </c>
      <c r="J611">
        <f>IF(Table1[[#This Row],[Active_months]]&gt;=1, 1, 0)</f>
        <v>1</v>
      </c>
    </row>
    <row r="612" spans="1:10" x14ac:dyDescent="0.3">
      <c r="A612">
        <v>161640666</v>
      </c>
      <c r="B612" s="1">
        <v>44896</v>
      </c>
      <c r="C612" s="1">
        <v>44986</v>
      </c>
      <c r="D612">
        <v>39</v>
      </c>
      <c r="E612" t="s">
        <v>6</v>
      </c>
      <c r="F612" t="s">
        <v>7</v>
      </c>
      <c r="G612" s="1">
        <f t="shared" si="27"/>
        <v>44986</v>
      </c>
      <c r="H612">
        <f t="shared" si="28"/>
        <v>3</v>
      </c>
      <c r="I612">
        <f t="shared" si="29"/>
        <v>0</v>
      </c>
      <c r="J612">
        <f>IF(Table1[[#This Row],[Active_months]]&gt;=1, 1, 0)</f>
        <v>1</v>
      </c>
    </row>
    <row r="613" spans="1:10" x14ac:dyDescent="0.3">
      <c r="A613">
        <v>165932696</v>
      </c>
      <c r="B613" s="1">
        <v>44896</v>
      </c>
      <c r="C613" s="1">
        <v>44986</v>
      </c>
      <c r="D613">
        <v>39</v>
      </c>
      <c r="E613" t="s">
        <v>6</v>
      </c>
      <c r="F613" t="s">
        <v>7</v>
      </c>
      <c r="G613" s="1">
        <f t="shared" si="27"/>
        <v>44986</v>
      </c>
      <c r="H613">
        <f t="shared" si="28"/>
        <v>3</v>
      </c>
      <c r="I613">
        <f t="shared" si="29"/>
        <v>0</v>
      </c>
      <c r="J613">
        <f>IF(Table1[[#This Row],[Active_months]]&gt;=1, 1, 0)</f>
        <v>1</v>
      </c>
    </row>
    <row r="614" spans="1:10" x14ac:dyDescent="0.3">
      <c r="A614">
        <v>165204032</v>
      </c>
      <c r="B614" s="1">
        <v>44896</v>
      </c>
      <c r="C614" s="1">
        <v>44971</v>
      </c>
      <c r="D614">
        <v>39</v>
      </c>
      <c r="E614" t="s">
        <v>6</v>
      </c>
      <c r="F614" t="s">
        <v>7</v>
      </c>
      <c r="G614" s="1">
        <f t="shared" si="27"/>
        <v>44971</v>
      </c>
      <c r="H614">
        <f t="shared" si="28"/>
        <v>2</v>
      </c>
      <c r="I614">
        <f t="shared" si="29"/>
        <v>0</v>
      </c>
      <c r="J614">
        <f>IF(Table1[[#This Row],[Active_months]]&gt;=1, 1, 0)</f>
        <v>1</v>
      </c>
    </row>
    <row r="615" spans="1:10" x14ac:dyDescent="0.3">
      <c r="A615">
        <v>162469903</v>
      </c>
      <c r="B615" s="1">
        <v>44896</v>
      </c>
      <c r="C615" s="1">
        <v>44965</v>
      </c>
      <c r="D615">
        <v>39</v>
      </c>
      <c r="E615" t="s">
        <v>6</v>
      </c>
      <c r="F615" t="s">
        <v>7</v>
      </c>
      <c r="G615" s="1">
        <f t="shared" si="27"/>
        <v>44965</v>
      </c>
      <c r="H615">
        <f t="shared" si="28"/>
        <v>2</v>
      </c>
      <c r="I615">
        <f t="shared" si="29"/>
        <v>0</v>
      </c>
      <c r="J615">
        <f>IF(Table1[[#This Row],[Active_months]]&gt;=1, 1, 0)</f>
        <v>1</v>
      </c>
    </row>
    <row r="616" spans="1:10" x14ac:dyDescent="0.3">
      <c r="A616">
        <v>166515564</v>
      </c>
      <c r="B616" s="1">
        <v>44896</v>
      </c>
      <c r="C616" s="1">
        <v>44945</v>
      </c>
      <c r="D616">
        <v>39</v>
      </c>
      <c r="E616" t="s">
        <v>6</v>
      </c>
      <c r="F616" t="s">
        <v>7</v>
      </c>
      <c r="G616" s="1">
        <f t="shared" si="27"/>
        <v>44945</v>
      </c>
      <c r="H616">
        <f t="shared" si="28"/>
        <v>1</v>
      </c>
      <c r="I616">
        <f t="shared" si="29"/>
        <v>0</v>
      </c>
      <c r="J616">
        <f>IF(Table1[[#This Row],[Active_months]]&gt;=1, 1, 0)</f>
        <v>1</v>
      </c>
    </row>
    <row r="617" spans="1:10" x14ac:dyDescent="0.3">
      <c r="A617">
        <v>139323228</v>
      </c>
      <c r="B617" s="1">
        <v>44896</v>
      </c>
      <c r="C617" s="1">
        <v>44950</v>
      </c>
      <c r="D617">
        <v>39</v>
      </c>
      <c r="E617" t="s">
        <v>6</v>
      </c>
      <c r="F617" t="s">
        <v>7</v>
      </c>
      <c r="G617" s="1">
        <f t="shared" si="27"/>
        <v>44950</v>
      </c>
      <c r="H617">
        <f t="shared" si="28"/>
        <v>1</v>
      </c>
      <c r="I617">
        <f t="shared" si="29"/>
        <v>0</v>
      </c>
      <c r="J617">
        <f>IF(Table1[[#This Row],[Active_months]]&gt;=1, 1, 0)</f>
        <v>1</v>
      </c>
    </row>
    <row r="618" spans="1:10" x14ac:dyDescent="0.3">
      <c r="A618">
        <v>162569750</v>
      </c>
      <c r="B618" s="1">
        <v>44896</v>
      </c>
      <c r="C618" s="1">
        <v>44899</v>
      </c>
      <c r="D618">
        <v>39</v>
      </c>
      <c r="E618" t="s">
        <v>6</v>
      </c>
      <c r="F618" t="s">
        <v>7</v>
      </c>
      <c r="G618" s="1">
        <f t="shared" si="27"/>
        <v>44899</v>
      </c>
      <c r="H618">
        <f t="shared" si="28"/>
        <v>0</v>
      </c>
      <c r="I618">
        <f t="shared" si="29"/>
        <v>0</v>
      </c>
      <c r="J618">
        <f>IF(Table1[[#This Row],[Active_months]]&gt;=1, 1, 0)</f>
        <v>0</v>
      </c>
    </row>
    <row r="619" spans="1:10" x14ac:dyDescent="0.3">
      <c r="A619">
        <v>165959602</v>
      </c>
      <c r="B619" s="1">
        <v>44896</v>
      </c>
      <c r="C619" s="1">
        <v>44918</v>
      </c>
      <c r="D619">
        <v>39</v>
      </c>
      <c r="E619" t="s">
        <v>6</v>
      </c>
      <c r="F619" t="s">
        <v>7</v>
      </c>
      <c r="G619" s="1">
        <f t="shared" si="27"/>
        <v>44918</v>
      </c>
      <c r="H619">
        <f t="shared" si="28"/>
        <v>0</v>
      </c>
      <c r="I619">
        <f t="shared" si="29"/>
        <v>0</v>
      </c>
      <c r="J619">
        <f>IF(Table1[[#This Row],[Active_months]]&gt;=1, 1, 0)</f>
        <v>0</v>
      </c>
    </row>
    <row r="620" spans="1:10" x14ac:dyDescent="0.3">
      <c r="A620">
        <v>160968524</v>
      </c>
      <c r="B620" s="1">
        <v>44896</v>
      </c>
      <c r="C620" s="1">
        <v>45127</v>
      </c>
      <c r="D620">
        <v>39</v>
      </c>
      <c r="E620" t="s">
        <v>6</v>
      </c>
      <c r="F620" t="s">
        <v>7</v>
      </c>
      <c r="G620" s="1">
        <f t="shared" si="27"/>
        <v>45127</v>
      </c>
      <c r="H620">
        <f t="shared" si="28"/>
        <v>7</v>
      </c>
      <c r="I620">
        <f t="shared" si="29"/>
        <v>1</v>
      </c>
      <c r="J620">
        <f>IF(Table1[[#This Row],[Active_months]]&gt;=1, 1, 0)</f>
        <v>1</v>
      </c>
    </row>
    <row r="621" spans="1:10" x14ac:dyDescent="0.3">
      <c r="A621">
        <v>163258260</v>
      </c>
      <c r="B621" s="1">
        <v>44897</v>
      </c>
      <c r="D621">
        <v>39</v>
      </c>
      <c r="E621" t="s">
        <v>6</v>
      </c>
      <c r="F621" t="s">
        <v>7</v>
      </c>
      <c r="G621" s="1">
        <f t="shared" si="27"/>
        <v>45199</v>
      </c>
      <c r="H621">
        <f t="shared" si="28"/>
        <v>9</v>
      </c>
      <c r="I621">
        <f t="shared" si="29"/>
        <v>1</v>
      </c>
      <c r="J621">
        <f>IF(Table1[[#This Row],[Active_months]]&gt;=1, 1, 0)</f>
        <v>1</v>
      </c>
    </row>
    <row r="622" spans="1:10" x14ac:dyDescent="0.3">
      <c r="A622">
        <v>167051046</v>
      </c>
      <c r="B622" s="1">
        <v>44897</v>
      </c>
      <c r="D622">
        <v>39</v>
      </c>
      <c r="E622" t="s">
        <v>6</v>
      </c>
      <c r="F622" t="s">
        <v>7</v>
      </c>
      <c r="G622" s="1">
        <f t="shared" si="27"/>
        <v>45199</v>
      </c>
      <c r="H622">
        <f t="shared" si="28"/>
        <v>9</v>
      </c>
      <c r="I622">
        <f t="shared" si="29"/>
        <v>1</v>
      </c>
      <c r="J622">
        <f>IF(Table1[[#This Row],[Active_months]]&gt;=1, 1, 0)</f>
        <v>1</v>
      </c>
    </row>
    <row r="623" spans="1:10" x14ac:dyDescent="0.3">
      <c r="A623">
        <v>161182367</v>
      </c>
      <c r="B623" s="1">
        <v>44897</v>
      </c>
      <c r="C623" s="1">
        <v>44898</v>
      </c>
      <c r="D623">
        <v>39</v>
      </c>
      <c r="E623" t="s">
        <v>6</v>
      </c>
      <c r="F623" t="s">
        <v>7</v>
      </c>
      <c r="G623" s="1">
        <f t="shared" si="27"/>
        <v>44898</v>
      </c>
      <c r="H623">
        <f t="shared" si="28"/>
        <v>0</v>
      </c>
      <c r="I623">
        <f t="shared" si="29"/>
        <v>0</v>
      </c>
      <c r="J623">
        <f>IF(Table1[[#This Row],[Active_months]]&gt;=1, 1, 0)</f>
        <v>0</v>
      </c>
    </row>
    <row r="624" spans="1:10" x14ac:dyDescent="0.3">
      <c r="A624">
        <v>167292985</v>
      </c>
      <c r="B624" s="1">
        <v>44897</v>
      </c>
      <c r="C624" s="1">
        <v>44898</v>
      </c>
      <c r="D624">
        <v>39</v>
      </c>
      <c r="E624" t="s">
        <v>6</v>
      </c>
      <c r="F624" t="s">
        <v>8</v>
      </c>
      <c r="G624" s="1">
        <f t="shared" si="27"/>
        <v>44898</v>
      </c>
      <c r="H624">
        <f t="shared" si="28"/>
        <v>0</v>
      </c>
      <c r="I624">
        <f t="shared" si="29"/>
        <v>0</v>
      </c>
      <c r="J624">
        <f>IF(Table1[[#This Row],[Active_months]]&gt;=1, 1, 0)</f>
        <v>0</v>
      </c>
    </row>
    <row r="625" spans="1:10" x14ac:dyDescent="0.3">
      <c r="A625">
        <v>166183014</v>
      </c>
      <c r="B625" s="1">
        <v>44897</v>
      </c>
      <c r="C625" s="1">
        <v>44898</v>
      </c>
      <c r="D625">
        <v>39</v>
      </c>
      <c r="E625" t="s">
        <v>6</v>
      </c>
      <c r="F625" t="s">
        <v>8</v>
      </c>
      <c r="G625" s="1">
        <f t="shared" si="27"/>
        <v>44898</v>
      </c>
      <c r="H625">
        <f t="shared" si="28"/>
        <v>0</v>
      </c>
      <c r="I625">
        <f t="shared" si="29"/>
        <v>0</v>
      </c>
      <c r="J625">
        <f>IF(Table1[[#This Row],[Active_months]]&gt;=1, 1, 0)</f>
        <v>0</v>
      </c>
    </row>
    <row r="626" spans="1:10" x14ac:dyDescent="0.3">
      <c r="A626">
        <v>165143920</v>
      </c>
      <c r="B626" s="1">
        <v>44897</v>
      </c>
      <c r="C626" s="1">
        <v>45079</v>
      </c>
      <c r="D626">
        <v>39</v>
      </c>
      <c r="E626" t="s">
        <v>6</v>
      </c>
      <c r="F626" t="s">
        <v>7</v>
      </c>
      <c r="G626" s="1">
        <f t="shared" si="27"/>
        <v>45079</v>
      </c>
      <c r="H626">
        <f t="shared" si="28"/>
        <v>6</v>
      </c>
      <c r="I626">
        <f t="shared" si="29"/>
        <v>1</v>
      </c>
      <c r="J626">
        <f>IF(Table1[[#This Row],[Active_months]]&gt;=1, 1, 0)</f>
        <v>1</v>
      </c>
    </row>
    <row r="627" spans="1:10" x14ac:dyDescent="0.3">
      <c r="A627">
        <v>165958089</v>
      </c>
      <c r="B627" s="1">
        <v>44897</v>
      </c>
      <c r="C627" s="1">
        <v>44966</v>
      </c>
      <c r="D627">
        <v>39</v>
      </c>
      <c r="E627" t="s">
        <v>6</v>
      </c>
      <c r="F627" t="s">
        <v>7</v>
      </c>
      <c r="G627" s="1">
        <f t="shared" si="27"/>
        <v>44966</v>
      </c>
      <c r="H627">
        <f t="shared" si="28"/>
        <v>2</v>
      </c>
      <c r="I627">
        <f t="shared" si="29"/>
        <v>0</v>
      </c>
      <c r="J627">
        <f>IF(Table1[[#This Row],[Active_months]]&gt;=1, 1, 0)</f>
        <v>1</v>
      </c>
    </row>
    <row r="628" spans="1:10" x14ac:dyDescent="0.3">
      <c r="A628">
        <v>165431576</v>
      </c>
      <c r="B628" s="1">
        <v>44897</v>
      </c>
      <c r="C628" s="1">
        <v>44958</v>
      </c>
      <c r="D628">
        <v>39</v>
      </c>
      <c r="E628" t="s">
        <v>6</v>
      </c>
      <c r="F628" t="s">
        <v>7</v>
      </c>
      <c r="G628" s="1">
        <f t="shared" si="27"/>
        <v>44958</v>
      </c>
      <c r="H628">
        <f t="shared" si="28"/>
        <v>2</v>
      </c>
      <c r="I628">
        <f t="shared" si="29"/>
        <v>0</v>
      </c>
      <c r="J628">
        <f>IF(Table1[[#This Row],[Active_months]]&gt;=1, 1, 0)</f>
        <v>1</v>
      </c>
    </row>
    <row r="629" spans="1:10" x14ac:dyDescent="0.3">
      <c r="A629">
        <v>163708513</v>
      </c>
      <c r="B629" s="1">
        <v>44897</v>
      </c>
      <c r="C629" s="1">
        <v>44925</v>
      </c>
      <c r="D629">
        <v>39</v>
      </c>
      <c r="E629" t="s">
        <v>6</v>
      </c>
      <c r="F629" t="s">
        <v>7</v>
      </c>
      <c r="G629" s="1">
        <f t="shared" si="27"/>
        <v>44925</v>
      </c>
      <c r="H629">
        <f t="shared" si="28"/>
        <v>0</v>
      </c>
      <c r="I629">
        <f t="shared" si="29"/>
        <v>0</v>
      </c>
      <c r="J629">
        <f>IF(Table1[[#This Row],[Active_months]]&gt;=1, 1, 0)</f>
        <v>0</v>
      </c>
    </row>
    <row r="630" spans="1:10" x14ac:dyDescent="0.3">
      <c r="A630">
        <v>164521419</v>
      </c>
      <c r="B630" s="1">
        <v>44897</v>
      </c>
      <c r="C630" s="1">
        <v>44924</v>
      </c>
      <c r="D630">
        <v>39</v>
      </c>
      <c r="E630" t="s">
        <v>6</v>
      </c>
      <c r="F630" t="s">
        <v>7</v>
      </c>
      <c r="G630" s="1">
        <f t="shared" si="27"/>
        <v>44924</v>
      </c>
      <c r="H630">
        <f t="shared" si="28"/>
        <v>0</v>
      </c>
      <c r="I630">
        <f t="shared" si="29"/>
        <v>0</v>
      </c>
      <c r="J630">
        <f>IF(Table1[[#This Row],[Active_months]]&gt;=1, 1, 0)</f>
        <v>0</v>
      </c>
    </row>
    <row r="631" spans="1:10" x14ac:dyDescent="0.3">
      <c r="A631">
        <v>166257164</v>
      </c>
      <c r="B631" s="1">
        <v>44897</v>
      </c>
      <c r="C631" s="1">
        <v>44916</v>
      </c>
      <c r="D631">
        <v>39</v>
      </c>
      <c r="E631" t="s">
        <v>6</v>
      </c>
      <c r="F631" t="s">
        <v>7</v>
      </c>
      <c r="G631" s="1">
        <f t="shared" si="27"/>
        <v>44916</v>
      </c>
      <c r="H631">
        <f t="shared" si="28"/>
        <v>0</v>
      </c>
      <c r="I631">
        <f t="shared" si="29"/>
        <v>0</v>
      </c>
      <c r="J631">
        <f>IF(Table1[[#This Row],[Active_months]]&gt;=1, 1, 0)</f>
        <v>0</v>
      </c>
    </row>
    <row r="632" spans="1:10" x14ac:dyDescent="0.3">
      <c r="A632">
        <v>121348156</v>
      </c>
      <c r="B632" s="1">
        <v>44897</v>
      </c>
      <c r="C632" s="1">
        <v>44901</v>
      </c>
      <c r="D632">
        <v>39</v>
      </c>
      <c r="E632" t="s">
        <v>6</v>
      </c>
      <c r="F632" t="s">
        <v>7</v>
      </c>
      <c r="G632" s="1">
        <f t="shared" si="27"/>
        <v>44901</v>
      </c>
      <c r="H632">
        <f t="shared" si="28"/>
        <v>0</v>
      </c>
      <c r="I632">
        <f t="shared" si="29"/>
        <v>0</v>
      </c>
      <c r="J632">
        <f>IF(Table1[[#This Row],[Active_months]]&gt;=1, 1, 0)</f>
        <v>0</v>
      </c>
    </row>
    <row r="633" spans="1:10" x14ac:dyDescent="0.3">
      <c r="A633">
        <v>167280894</v>
      </c>
      <c r="B633" s="1">
        <v>44897</v>
      </c>
      <c r="C633" s="1">
        <v>45113</v>
      </c>
      <c r="D633">
        <v>39</v>
      </c>
      <c r="E633" t="s">
        <v>6</v>
      </c>
      <c r="F633" t="s">
        <v>7</v>
      </c>
      <c r="G633" s="1">
        <f t="shared" si="27"/>
        <v>45113</v>
      </c>
      <c r="H633">
        <f t="shared" si="28"/>
        <v>7</v>
      </c>
      <c r="I633">
        <f t="shared" si="29"/>
        <v>1</v>
      </c>
      <c r="J633">
        <f>IF(Table1[[#This Row],[Active_months]]&gt;=1, 1, 0)</f>
        <v>1</v>
      </c>
    </row>
    <row r="634" spans="1:10" x14ac:dyDescent="0.3">
      <c r="A634">
        <v>160980795</v>
      </c>
      <c r="B634" s="1">
        <v>44898</v>
      </c>
      <c r="D634">
        <v>39</v>
      </c>
      <c r="E634" t="s">
        <v>6</v>
      </c>
      <c r="F634" t="s">
        <v>7</v>
      </c>
      <c r="G634" s="1">
        <f t="shared" si="27"/>
        <v>45199</v>
      </c>
      <c r="H634">
        <f t="shared" si="28"/>
        <v>9</v>
      </c>
      <c r="I634">
        <f t="shared" si="29"/>
        <v>1</v>
      </c>
      <c r="J634">
        <f>IF(Table1[[#This Row],[Active_months]]&gt;=1, 1, 0)</f>
        <v>1</v>
      </c>
    </row>
    <row r="635" spans="1:10" x14ac:dyDescent="0.3">
      <c r="A635">
        <v>167544686</v>
      </c>
      <c r="B635" s="1">
        <v>44898</v>
      </c>
      <c r="D635">
        <v>39</v>
      </c>
      <c r="E635" t="s">
        <v>6</v>
      </c>
      <c r="F635" t="s">
        <v>7</v>
      </c>
      <c r="G635" s="1">
        <f t="shared" si="27"/>
        <v>45199</v>
      </c>
      <c r="H635">
        <f t="shared" si="28"/>
        <v>9</v>
      </c>
      <c r="I635">
        <f t="shared" si="29"/>
        <v>1</v>
      </c>
      <c r="J635">
        <f>IF(Table1[[#This Row],[Active_months]]&gt;=1, 1, 0)</f>
        <v>1</v>
      </c>
    </row>
    <row r="636" spans="1:10" x14ac:dyDescent="0.3">
      <c r="A636">
        <v>161968719</v>
      </c>
      <c r="B636" s="1">
        <v>44898</v>
      </c>
      <c r="D636">
        <v>39</v>
      </c>
      <c r="E636" t="s">
        <v>6</v>
      </c>
      <c r="F636" t="s">
        <v>7</v>
      </c>
      <c r="G636" s="1">
        <f t="shared" si="27"/>
        <v>45199</v>
      </c>
      <c r="H636">
        <f t="shared" si="28"/>
        <v>9</v>
      </c>
      <c r="I636">
        <f t="shared" si="29"/>
        <v>1</v>
      </c>
      <c r="J636">
        <f>IF(Table1[[#This Row],[Active_months]]&gt;=1, 1, 0)</f>
        <v>1</v>
      </c>
    </row>
    <row r="637" spans="1:10" x14ac:dyDescent="0.3">
      <c r="A637">
        <v>159070152</v>
      </c>
      <c r="B637" s="1">
        <v>44898</v>
      </c>
      <c r="D637">
        <v>39</v>
      </c>
      <c r="E637" t="s">
        <v>6</v>
      </c>
      <c r="F637" t="s">
        <v>7</v>
      </c>
      <c r="G637" s="1">
        <f t="shared" si="27"/>
        <v>45199</v>
      </c>
      <c r="H637">
        <f t="shared" si="28"/>
        <v>9</v>
      </c>
      <c r="I637">
        <f t="shared" si="29"/>
        <v>1</v>
      </c>
      <c r="J637">
        <f>IF(Table1[[#This Row],[Active_months]]&gt;=1, 1, 0)</f>
        <v>1</v>
      </c>
    </row>
    <row r="638" spans="1:10" x14ac:dyDescent="0.3">
      <c r="A638">
        <v>167445788</v>
      </c>
      <c r="B638" s="1">
        <v>44898</v>
      </c>
      <c r="C638" s="1">
        <v>44899</v>
      </c>
      <c r="D638">
        <v>39</v>
      </c>
      <c r="E638" t="s">
        <v>6</v>
      </c>
      <c r="F638" t="s">
        <v>8</v>
      </c>
      <c r="G638" s="1">
        <f t="shared" si="27"/>
        <v>44899</v>
      </c>
      <c r="H638">
        <f t="shared" si="28"/>
        <v>0</v>
      </c>
      <c r="I638">
        <f t="shared" si="29"/>
        <v>0</v>
      </c>
      <c r="J638">
        <f>IF(Table1[[#This Row],[Active_months]]&gt;=1, 1, 0)</f>
        <v>0</v>
      </c>
    </row>
    <row r="639" spans="1:10" x14ac:dyDescent="0.3">
      <c r="A639">
        <v>167441263</v>
      </c>
      <c r="B639" s="1">
        <v>44898</v>
      </c>
      <c r="C639" s="1">
        <v>45087</v>
      </c>
      <c r="D639">
        <v>39</v>
      </c>
      <c r="E639" t="s">
        <v>6</v>
      </c>
      <c r="F639" t="s">
        <v>7</v>
      </c>
      <c r="G639" s="1">
        <f t="shared" si="27"/>
        <v>45087</v>
      </c>
      <c r="H639">
        <f t="shared" si="28"/>
        <v>6</v>
      </c>
      <c r="I639">
        <f t="shared" si="29"/>
        <v>1</v>
      </c>
      <c r="J639">
        <f>IF(Table1[[#This Row],[Active_months]]&gt;=1, 1, 0)</f>
        <v>1</v>
      </c>
    </row>
    <row r="640" spans="1:10" x14ac:dyDescent="0.3">
      <c r="A640">
        <v>167586100</v>
      </c>
      <c r="B640" s="1">
        <v>44898</v>
      </c>
      <c r="C640" s="1">
        <v>44987</v>
      </c>
      <c r="D640">
        <v>39</v>
      </c>
      <c r="E640" t="s">
        <v>6</v>
      </c>
      <c r="F640" t="s">
        <v>7</v>
      </c>
      <c r="G640" s="1">
        <f t="shared" si="27"/>
        <v>44987</v>
      </c>
      <c r="H640">
        <f t="shared" si="28"/>
        <v>3</v>
      </c>
      <c r="I640">
        <f t="shared" si="29"/>
        <v>0</v>
      </c>
      <c r="J640">
        <f>IF(Table1[[#This Row],[Active_months]]&gt;=1, 1, 0)</f>
        <v>1</v>
      </c>
    </row>
    <row r="641" spans="1:10" x14ac:dyDescent="0.3">
      <c r="A641">
        <v>139789436</v>
      </c>
      <c r="B641" s="1">
        <v>44898</v>
      </c>
      <c r="C641" s="1">
        <v>44955</v>
      </c>
      <c r="D641">
        <v>39</v>
      </c>
      <c r="E641" t="s">
        <v>6</v>
      </c>
      <c r="F641" t="s">
        <v>7</v>
      </c>
      <c r="G641" s="1">
        <f t="shared" si="27"/>
        <v>44955</v>
      </c>
      <c r="H641">
        <f t="shared" si="28"/>
        <v>1</v>
      </c>
      <c r="I641">
        <f t="shared" si="29"/>
        <v>0</v>
      </c>
      <c r="J641">
        <f>IF(Table1[[#This Row],[Active_months]]&gt;=1, 1, 0)</f>
        <v>1</v>
      </c>
    </row>
    <row r="642" spans="1:10" x14ac:dyDescent="0.3">
      <c r="A642">
        <v>116319450</v>
      </c>
      <c r="B642" s="1">
        <v>44899</v>
      </c>
      <c r="C642" s="1">
        <v>45035</v>
      </c>
      <c r="D642">
        <v>39</v>
      </c>
      <c r="E642" t="s">
        <v>6</v>
      </c>
      <c r="F642" t="s">
        <v>7</v>
      </c>
      <c r="G642" s="1">
        <f t="shared" si="27"/>
        <v>45035</v>
      </c>
      <c r="H642">
        <f t="shared" si="28"/>
        <v>4</v>
      </c>
      <c r="I642">
        <f t="shared" si="29"/>
        <v>0</v>
      </c>
      <c r="J642">
        <f>IF(Table1[[#This Row],[Active_months]]&gt;=1, 1, 0)</f>
        <v>1</v>
      </c>
    </row>
    <row r="643" spans="1:10" x14ac:dyDescent="0.3">
      <c r="A643">
        <v>162939264</v>
      </c>
      <c r="B643" s="1">
        <v>44899</v>
      </c>
      <c r="C643" s="1">
        <v>45050</v>
      </c>
      <c r="D643">
        <v>39</v>
      </c>
      <c r="E643" t="s">
        <v>6</v>
      </c>
      <c r="F643" t="s">
        <v>7</v>
      </c>
      <c r="G643" s="1">
        <f t="shared" ref="G643:G706" si="30">IF(ISBLANK(C643), DATE(2023,9,30), C643)</f>
        <v>45050</v>
      </c>
      <c r="H643">
        <f t="shared" ref="H643:H706" si="31">(YEAR(G643)-YEAR(B643))*12 + (MONTH(G643)-MONTH(B643))</f>
        <v>5</v>
      </c>
      <c r="I643">
        <f t="shared" ref="I643:I706" si="32">IF(H643 &gt;=5, 1, 0)</f>
        <v>1</v>
      </c>
      <c r="J643">
        <f>IF(Table1[[#This Row],[Active_months]]&gt;=1, 1, 0)</f>
        <v>1</v>
      </c>
    </row>
    <row r="644" spans="1:10" x14ac:dyDescent="0.3">
      <c r="A644">
        <v>167711417</v>
      </c>
      <c r="B644" s="1">
        <v>44899</v>
      </c>
      <c r="C644" s="1">
        <v>45010</v>
      </c>
      <c r="D644">
        <v>39</v>
      </c>
      <c r="E644" t="s">
        <v>6</v>
      </c>
      <c r="F644" t="s">
        <v>7</v>
      </c>
      <c r="G644" s="1">
        <f t="shared" si="30"/>
        <v>45010</v>
      </c>
      <c r="H644">
        <f t="shared" si="31"/>
        <v>3</v>
      </c>
      <c r="I644">
        <f t="shared" si="32"/>
        <v>0</v>
      </c>
      <c r="J644">
        <f>IF(Table1[[#This Row],[Active_months]]&gt;=1, 1, 0)</f>
        <v>1</v>
      </c>
    </row>
    <row r="645" spans="1:10" x14ac:dyDescent="0.3">
      <c r="A645">
        <v>157381517</v>
      </c>
      <c r="B645" s="1">
        <v>44900</v>
      </c>
      <c r="D645">
        <v>39</v>
      </c>
      <c r="E645" t="s">
        <v>6</v>
      </c>
      <c r="F645" t="s">
        <v>7</v>
      </c>
      <c r="G645" s="1">
        <f t="shared" si="30"/>
        <v>45199</v>
      </c>
      <c r="H645">
        <f t="shared" si="31"/>
        <v>9</v>
      </c>
      <c r="I645">
        <f t="shared" si="32"/>
        <v>1</v>
      </c>
      <c r="J645">
        <f>IF(Table1[[#This Row],[Active_months]]&gt;=1, 1, 0)</f>
        <v>1</v>
      </c>
    </row>
    <row r="646" spans="1:10" x14ac:dyDescent="0.3">
      <c r="A646">
        <v>162912102</v>
      </c>
      <c r="B646" s="1">
        <v>44900</v>
      </c>
      <c r="C646" s="1">
        <v>44901</v>
      </c>
      <c r="D646">
        <v>39</v>
      </c>
      <c r="E646" t="s">
        <v>6</v>
      </c>
      <c r="F646" t="s">
        <v>7</v>
      </c>
      <c r="G646" s="1">
        <f t="shared" si="30"/>
        <v>44901</v>
      </c>
      <c r="H646">
        <f t="shared" si="31"/>
        <v>0</v>
      </c>
      <c r="I646">
        <f t="shared" si="32"/>
        <v>0</v>
      </c>
      <c r="J646">
        <f>IF(Table1[[#This Row],[Active_months]]&gt;=1, 1, 0)</f>
        <v>0</v>
      </c>
    </row>
    <row r="647" spans="1:10" x14ac:dyDescent="0.3">
      <c r="A647">
        <v>167833210</v>
      </c>
      <c r="B647" s="1">
        <v>44900</v>
      </c>
      <c r="C647" s="1">
        <v>45110</v>
      </c>
      <c r="D647">
        <v>39</v>
      </c>
      <c r="E647" t="s">
        <v>6</v>
      </c>
      <c r="F647" t="s">
        <v>7</v>
      </c>
      <c r="G647" s="1">
        <f t="shared" si="30"/>
        <v>45110</v>
      </c>
      <c r="H647">
        <f t="shared" si="31"/>
        <v>7</v>
      </c>
      <c r="I647">
        <f t="shared" si="32"/>
        <v>1</v>
      </c>
      <c r="J647">
        <f>IF(Table1[[#This Row],[Active_months]]&gt;=1, 1, 0)</f>
        <v>1</v>
      </c>
    </row>
    <row r="648" spans="1:10" x14ac:dyDescent="0.3">
      <c r="A648">
        <v>165676999</v>
      </c>
      <c r="B648" s="1">
        <v>44900</v>
      </c>
      <c r="C648" s="1">
        <v>44962</v>
      </c>
      <c r="D648">
        <v>39</v>
      </c>
      <c r="E648" t="s">
        <v>6</v>
      </c>
      <c r="F648" t="s">
        <v>7</v>
      </c>
      <c r="G648" s="1">
        <f t="shared" si="30"/>
        <v>44962</v>
      </c>
      <c r="H648">
        <f t="shared" si="31"/>
        <v>2</v>
      </c>
      <c r="I648">
        <f t="shared" si="32"/>
        <v>0</v>
      </c>
      <c r="J648">
        <f>IF(Table1[[#This Row],[Active_months]]&gt;=1, 1, 0)</f>
        <v>1</v>
      </c>
    </row>
    <row r="649" spans="1:10" x14ac:dyDescent="0.3">
      <c r="A649">
        <v>167253106</v>
      </c>
      <c r="B649" s="1">
        <v>44900</v>
      </c>
      <c r="C649" s="1">
        <v>44963</v>
      </c>
      <c r="D649">
        <v>39</v>
      </c>
      <c r="E649" t="s">
        <v>6</v>
      </c>
      <c r="F649" t="s">
        <v>7</v>
      </c>
      <c r="G649" s="1">
        <f t="shared" si="30"/>
        <v>44963</v>
      </c>
      <c r="H649">
        <f t="shared" si="31"/>
        <v>2</v>
      </c>
      <c r="I649">
        <f t="shared" si="32"/>
        <v>0</v>
      </c>
      <c r="J649">
        <f>IF(Table1[[#This Row],[Active_months]]&gt;=1, 1, 0)</f>
        <v>1</v>
      </c>
    </row>
    <row r="650" spans="1:10" x14ac:dyDescent="0.3">
      <c r="A650">
        <v>168022972</v>
      </c>
      <c r="B650" s="1">
        <v>44900</v>
      </c>
      <c r="C650" s="1">
        <v>44939</v>
      </c>
      <c r="D650">
        <v>39</v>
      </c>
      <c r="E650" t="s">
        <v>6</v>
      </c>
      <c r="F650" t="s">
        <v>7</v>
      </c>
      <c r="G650" s="1">
        <f t="shared" si="30"/>
        <v>44939</v>
      </c>
      <c r="H650">
        <f t="shared" si="31"/>
        <v>1</v>
      </c>
      <c r="I650">
        <f t="shared" si="32"/>
        <v>0</v>
      </c>
      <c r="J650">
        <f>IF(Table1[[#This Row],[Active_months]]&gt;=1, 1, 0)</f>
        <v>1</v>
      </c>
    </row>
    <row r="651" spans="1:10" x14ac:dyDescent="0.3">
      <c r="A651">
        <v>167315920</v>
      </c>
      <c r="B651" s="1">
        <v>44900</v>
      </c>
      <c r="C651" s="1">
        <v>44931</v>
      </c>
      <c r="D651">
        <v>39</v>
      </c>
      <c r="E651" t="s">
        <v>6</v>
      </c>
      <c r="F651" t="s">
        <v>7</v>
      </c>
      <c r="G651" s="1">
        <f t="shared" si="30"/>
        <v>44931</v>
      </c>
      <c r="H651">
        <f t="shared" si="31"/>
        <v>1</v>
      </c>
      <c r="I651">
        <f t="shared" si="32"/>
        <v>0</v>
      </c>
      <c r="J651">
        <f>IF(Table1[[#This Row],[Active_months]]&gt;=1, 1, 0)</f>
        <v>1</v>
      </c>
    </row>
    <row r="652" spans="1:10" x14ac:dyDescent="0.3">
      <c r="A652">
        <v>167928962</v>
      </c>
      <c r="B652" s="1">
        <v>44900</v>
      </c>
      <c r="C652" s="1">
        <v>44924</v>
      </c>
      <c r="D652">
        <v>39</v>
      </c>
      <c r="E652" t="s">
        <v>6</v>
      </c>
      <c r="F652" t="s">
        <v>7</v>
      </c>
      <c r="G652" s="1">
        <f t="shared" si="30"/>
        <v>44924</v>
      </c>
      <c r="H652">
        <f t="shared" si="31"/>
        <v>0</v>
      </c>
      <c r="I652">
        <f t="shared" si="32"/>
        <v>0</v>
      </c>
      <c r="J652">
        <f>IF(Table1[[#This Row],[Active_months]]&gt;=1, 1, 0)</f>
        <v>0</v>
      </c>
    </row>
    <row r="653" spans="1:10" x14ac:dyDescent="0.3">
      <c r="A653">
        <v>166211741</v>
      </c>
      <c r="B653" s="1">
        <v>44901</v>
      </c>
      <c r="C653" s="1">
        <v>45027</v>
      </c>
      <c r="D653">
        <v>39</v>
      </c>
      <c r="E653" t="s">
        <v>6</v>
      </c>
      <c r="F653" t="s">
        <v>7</v>
      </c>
      <c r="G653" s="1">
        <f t="shared" si="30"/>
        <v>45027</v>
      </c>
      <c r="H653">
        <f t="shared" si="31"/>
        <v>4</v>
      </c>
      <c r="I653">
        <f t="shared" si="32"/>
        <v>0</v>
      </c>
      <c r="J653">
        <f>IF(Table1[[#This Row],[Active_months]]&gt;=1, 1, 0)</f>
        <v>1</v>
      </c>
    </row>
    <row r="654" spans="1:10" x14ac:dyDescent="0.3">
      <c r="A654">
        <v>161450418</v>
      </c>
      <c r="B654" s="1">
        <v>44901</v>
      </c>
      <c r="C654" s="1">
        <v>45050</v>
      </c>
      <c r="D654">
        <v>39</v>
      </c>
      <c r="E654" t="s">
        <v>6</v>
      </c>
      <c r="F654" t="s">
        <v>7</v>
      </c>
      <c r="G654" s="1">
        <f t="shared" si="30"/>
        <v>45050</v>
      </c>
      <c r="H654">
        <f t="shared" si="31"/>
        <v>5</v>
      </c>
      <c r="I654">
        <f t="shared" si="32"/>
        <v>1</v>
      </c>
      <c r="J654">
        <f>IF(Table1[[#This Row],[Active_months]]&gt;=1, 1, 0)</f>
        <v>1</v>
      </c>
    </row>
    <row r="655" spans="1:10" x14ac:dyDescent="0.3">
      <c r="A655">
        <v>144961802</v>
      </c>
      <c r="B655" s="1">
        <v>44901</v>
      </c>
      <c r="C655" s="1">
        <v>44987</v>
      </c>
      <c r="D655">
        <v>39</v>
      </c>
      <c r="E655" t="s">
        <v>6</v>
      </c>
      <c r="F655" t="s">
        <v>7</v>
      </c>
      <c r="G655" s="1">
        <f t="shared" si="30"/>
        <v>44987</v>
      </c>
      <c r="H655">
        <f t="shared" si="31"/>
        <v>3</v>
      </c>
      <c r="I655">
        <f t="shared" si="32"/>
        <v>0</v>
      </c>
      <c r="J655">
        <f>IF(Table1[[#This Row],[Active_months]]&gt;=1, 1, 0)</f>
        <v>1</v>
      </c>
    </row>
    <row r="656" spans="1:10" x14ac:dyDescent="0.3">
      <c r="A656">
        <v>168137404</v>
      </c>
      <c r="B656" s="1">
        <v>44901</v>
      </c>
      <c r="C656" s="1">
        <v>44958</v>
      </c>
      <c r="D656">
        <v>39</v>
      </c>
      <c r="E656" t="s">
        <v>6</v>
      </c>
      <c r="F656" t="s">
        <v>7</v>
      </c>
      <c r="G656" s="1">
        <f t="shared" si="30"/>
        <v>44958</v>
      </c>
      <c r="H656">
        <f t="shared" si="31"/>
        <v>2</v>
      </c>
      <c r="I656">
        <f t="shared" si="32"/>
        <v>0</v>
      </c>
      <c r="J656">
        <f>IF(Table1[[#This Row],[Active_months]]&gt;=1, 1, 0)</f>
        <v>1</v>
      </c>
    </row>
    <row r="657" spans="1:10" x14ac:dyDescent="0.3">
      <c r="A657">
        <v>153441732</v>
      </c>
      <c r="B657" s="1">
        <v>44901</v>
      </c>
      <c r="C657" s="1">
        <v>44970</v>
      </c>
      <c r="D657">
        <v>39</v>
      </c>
      <c r="E657" t="s">
        <v>6</v>
      </c>
      <c r="F657" t="s">
        <v>7</v>
      </c>
      <c r="G657" s="1">
        <f t="shared" si="30"/>
        <v>44970</v>
      </c>
      <c r="H657">
        <f t="shared" si="31"/>
        <v>2</v>
      </c>
      <c r="I657">
        <f t="shared" si="32"/>
        <v>0</v>
      </c>
      <c r="J657">
        <f>IF(Table1[[#This Row],[Active_months]]&gt;=1, 1, 0)</f>
        <v>1</v>
      </c>
    </row>
    <row r="658" spans="1:10" x14ac:dyDescent="0.3">
      <c r="A658">
        <v>167649041</v>
      </c>
      <c r="B658" s="1">
        <v>44901</v>
      </c>
      <c r="C658" s="1">
        <v>44957</v>
      </c>
      <c r="D658">
        <v>39</v>
      </c>
      <c r="E658" t="s">
        <v>6</v>
      </c>
      <c r="F658" t="s">
        <v>7</v>
      </c>
      <c r="G658" s="1">
        <f t="shared" si="30"/>
        <v>44957</v>
      </c>
      <c r="H658">
        <f t="shared" si="31"/>
        <v>1</v>
      </c>
      <c r="I658">
        <f t="shared" si="32"/>
        <v>0</v>
      </c>
      <c r="J658">
        <f>IF(Table1[[#This Row],[Active_months]]&gt;=1, 1, 0)</f>
        <v>1</v>
      </c>
    </row>
    <row r="659" spans="1:10" x14ac:dyDescent="0.3">
      <c r="A659">
        <v>168089746</v>
      </c>
      <c r="B659" s="1">
        <v>44901</v>
      </c>
      <c r="C659" s="1">
        <v>44939</v>
      </c>
      <c r="D659">
        <v>39</v>
      </c>
      <c r="E659" t="s">
        <v>6</v>
      </c>
      <c r="F659" t="s">
        <v>7</v>
      </c>
      <c r="G659" s="1">
        <f t="shared" si="30"/>
        <v>44939</v>
      </c>
      <c r="H659">
        <f t="shared" si="31"/>
        <v>1</v>
      </c>
      <c r="I659">
        <f t="shared" si="32"/>
        <v>0</v>
      </c>
      <c r="J659">
        <f>IF(Table1[[#This Row],[Active_months]]&gt;=1, 1, 0)</f>
        <v>1</v>
      </c>
    </row>
    <row r="660" spans="1:10" x14ac:dyDescent="0.3">
      <c r="A660">
        <v>158177274</v>
      </c>
      <c r="B660" s="1">
        <v>44901</v>
      </c>
      <c r="C660" s="1">
        <v>44952</v>
      </c>
      <c r="D660">
        <v>39</v>
      </c>
      <c r="E660" t="s">
        <v>6</v>
      </c>
      <c r="F660" t="s">
        <v>7</v>
      </c>
      <c r="G660" s="1">
        <f t="shared" si="30"/>
        <v>44952</v>
      </c>
      <c r="H660">
        <f t="shared" si="31"/>
        <v>1</v>
      </c>
      <c r="I660">
        <f t="shared" si="32"/>
        <v>0</v>
      </c>
      <c r="J660">
        <f>IF(Table1[[#This Row],[Active_months]]&gt;=1, 1, 0)</f>
        <v>1</v>
      </c>
    </row>
    <row r="661" spans="1:10" x14ac:dyDescent="0.3">
      <c r="A661">
        <v>168061628</v>
      </c>
      <c r="B661" s="1">
        <v>44901</v>
      </c>
      <c r="C661" s="1">
        <v>44939</v>
      </c>
      <c r="D661">
        <v>39</v>
      </c>
      <c r="E661" t="s">
        <v>6</v>
      </c>
      <c r="F661" t="s">
        <v>7</v>
      </c>
      <c r="G661" s="1">
        <f t="shared" si="30"/>
        <v>44939</v>
      </c>
      <c r="H661">
        <f t="shared" si="31"/>
        <v>1</v>
      </c>
      <c r="I661">
        <f t="shared" si="32"/>
        <v>0</v>
      </c>
      <c r="J661">
        <f>IF(Table1[[#This Row],[Active_months]]&gt;=1, 1, 0)</f>
        <v>1</v>
      </c>
    </row>
    <row r="662" spans="1:10" x14ac:dyDescent="0.3">
      <c r="A662">
        <v>168436401</v>
      </c>
      <c r="B662" s="1">
        <v>44902</v>
      </c>
      <c r="D662">
        <v>39</v>
      </c>
      <c r="E662" t="s">
        <v>6</v>
      </c>
      <c r="F662" t="s">
        <v>7</v>
      </c>
      <c r="G662" s="1">
        <f t="shared" si="30"/>
        <v>45199</v>
      </c>
      <c r="H662">
        <f t="shared" si="31"/>
        <v>9</v>
      </c>
      <c r="I662">
        <f t="shared" si="32"/>
        <v>1</v>
      </c>
      <c r="J662">
        <f>IF(Table1[[#This Row],[Active_months]]&gt;=1, 1, 0)</f>
        <v>1</v>
      </c>
    </row>
    <row r="663" spans="1:10" x14ac:dyDescent="0.3">
      <c r="A663">
        <v>126770376</v>
      </c>
      <c r="B663" s="1">
        <v>44902</v>
      </c>
      <c r="C663" s="1">
        <v>44928</v>
      </c>
      <c r="D663">
        <v>39</v>
      </c>
      <c r="E663" t="s">
        <v>6</v>
      </c>
      <c r="F663" t="s">
        <v>7</v>
      </c>
      <c r="G663" s="1">
        <f t="shared" si="30"/>
        <v>44928</v>
      </c>
      <c r="H663">
        <f t="shared" si="31"/>
        <v>1</v>
      </c>
      <c r="I663">
        <f t="shared" si="32"/>
        <v>0</v>
      </c>
      <c r="J663">
        <f>IF(Table1[[#This Row],[Active_months]]&gt;=1, 1, 0)</f>
        <v>1</v>
      </c>
    </row>
    <row r="664" spans="1:10" x14ac:dyDescent="0.3">
      <c r="A664">
        <v>153468957</v>
      </c>
      <c r="B664" s="1">
        <v>44902</v>
      </c>
      <c r="C664" s="1">
        <v>44971</v>
      </c>
      <c r="D664">
        <v>39</v>
      </c>
      <c r="E664" t="s">
        <v>6</v>
      </c>
      <c r="F664" t="s">
        <v>7</v>
      </c>
      <c r="G664" s="1">
        <f t="shared" si="30"/>
        <v>44971</v>
      </c>
      <c r="H664">
        <f t="shared" si="31"/>
        <v>2</v>
      </c>
      <c r="I664">
        <f t="shared" si="32"/>
        <v>0</v>
      </c>
      <c r="J664">
        <f>IF(Table1[[#This Row],[Active_months]]&gt;=1, 1, 0)</f>
        <v>1</v>
      </c>
    </row>
    <row r="665" spans="1:10" x14ac:dyDescent="0.3">
      <c r="A665">
        <v>168336474</v>
      </c>
      <c r="B665" s="1">
        <v>44902</v>
      </c>
      <c r="C665" s="1">
        <v>44984</v>
      </c>
      <c r="D665">
        <v>39</v>
      </c>
      <c r="E665" t="s">
        <v>6</v>
      </c>
      <c r="F665" t="s">
        <v>7</v>
      </c>
      <c r="G665" s="1">
        <f t="shared" si="30"/>
        <v>44984</v>
      </c>
      <c r="H665">
        <f t="shared" si="31"/>
        <v>2</v>
      </c>
      <c r="I665">
        <f t="shared" si="32"/>
        <v>0</v>
      </c>
      <c r="J665">
        <f>IF(Table1[[#This Row],[Active_months]]&gt;=1, 1, 0)</f>
        <v>1</v>
      </c>
    </row>
    <row r="666" spans="1:10" x14ac:dyDescent="0.3">
      <c r="A666">
        <v>166929423</v>
      </c>
      <c r="B666" s="1">
        <v>44902</v>
      </c>
      <c r="C666" s="1">
        <v>44923</v>
      </c>
      <c r="D666">
        <v>39</v>
      </c>
      <c r="E666" t="s">
        <v>6</v>
      </c>
      <c r="F666" t="s">
        <v>7</v>
      </c>
      <c r="G666" s="1">
        <f t="shared" si="30"/>
        <v>44923</v>
      </c>
      <c r="H666">
        <f t="shared" si="31"/>
        <v>0</v>
      </c>
      <c r="I666">
        <f t="shared" si="32"/>
        <v>0</v>
      </c>
      <c r="J666">
        <f>IF(Table1[[#This Row],[Active_months]]&gt;=1, 1, 0)</f>
        <v>0</v>
      </c>
    </row>
    <row r="667" spans="1:10" x14ac:dyDescent="0.3">
      <c r="A667">
        <v>163990458</v>
      </c>
      <c r="B667" s="1">
        <v>44902</v>
      </c>
      <c r="C667" s="1">
        <v>44917</v>
      </c>
      <c r="D667">
        <v>39</v>
      </c>
      <c r="E667" t="s">
        <v>6</v>
      </c>
      <c r="F667" t="s">
        <v>7</v>
      </c>
      <c r="G667" s="1">
        <f t="shared" si="30"/>
        <v>44917</v>
      </c>
      <c r="H667">
        <f t="shared" si="31"/>
        <v>0</v>
      </c>
      <c r="I667">
        <f t="shared" si="32"/>
        <v>0</v>
      </c>
      <c r="J667">
        <f>IF(Table1[[#This Row],[Active_months]]&gt;=1, 1, 0)</f>
        <v>0</v>
      </c>
    </row>
    <row r="668" spans="1:10" x14ac:dyDescent="0.3">
      <c r="A668">
        <v>166411463</v>
      </c>
      <c r="B668" s="1">
        <v>44903</v>
      </c>
      <c r="D668">
        <v>39</v>
      </c>
      <c r="E668" t="s">
        <v>6</v>
      </c>
      <c r="F668" t="s">
        <v>7</v>
      </c>
      <c r="G668" s="1">
        <f t="shared" si="30"/>
        <v>45199</v>
      </c>
      <c r="H668">
        <f t="shared" si="31"/>
        <v>9</v>
      </c>
      <c r="I668">
        <f t="shared" si="32"/>
        <v>1</v>
      </c>
      <c r="J668">
        <f>IF(Table1[[#This Row],[Active_months]]&gt;=1, 1, 0)</f>
        <v>1</v>
      </c>
    </row>
    <row r="669" spans="1:10" x14ac:dyDescent="0.3">
      <c r="A669">
        <v>168433088</v>
      </c>
      <c r="B669" s="1">
        <v>44903</v>
      </c>
      <c r="D669">
        <v>39</v>
      </c>
      <c r="E669" t="s">
        <v>6</v>
      </c>
      <c r="F669" t="s">
        <v>7</v>
      </c>
      <c r="G669" s="1">
        <f t="shared" si="30"/>
        <v>45199</v>
      </c>
      <c r="H669">
        <f t="shared" si="31"/>
        <v>9</v>
      </c>
      <c r="I669">
        <f t="shared" si="32"/>
        <v>1</v>
      </c>
      <c r="J669">
        <f>IF(Table1[[#This Row],[Active_months]]&gt;=1, 1, 0)</f>
        <v>1</v>
      </c>
    </row>
    <row r="670" spans="1:10" x14ac:dyDescent="0.3">
      <c r="A670">
        <v>155426075</v>
      </c>
      <c r="B670" s="1">
        <v>44903</v>
      </c>
      <c r="D670">
        <v>39</v>
      </c>
      <c r="E670" t="s">
        <v>6</v>
      </c>
      <c r="F670" t="s">
        <v>7</v>
      </c>
      <c r="G670" s="1">
        <f t="shared" si="30"/>
        <v>45199</v>
      </c>
      <c r="H670">
        <f t="shared" si="31"/>
        <v>9</v>
      </c>
      <c r="I670">
        <f t="shared" si="32"/>
        <v>1</v>
      </c>
      <c r="J670">
        <f>IF(Table1[[#This Row],[Active_months]]&gt;=1, 1, 0)</f>
        <v>1</v>
      </c>
    </row>
    <row r="671" spans="1:10" x14ac:dyDescent="0.3">
      <c r="A671">
        <v>168555694</v>
      </c>
      <c r="B671" s="1">
        <v>44903</v>
      </c>
      <c r="C671" s="1">
        <v>44904</v>
      </c>
      <c r="D671">
        <v>39</v>
      </c>
      <c r="E671" t="s">
        <v>6</v>
      </c>
      <c r="F671" t="s">
        <v>8</v>
      </c>
      <c r="G671" s="1">
        <f t="shared" si="30"/>
        <v>44904</v>
      </c>
      <c r="H671">
        <f t="shared" si="31"/>
        <v>0</v>
      </c>
      <c r="I671">
        <f t="shared" si="32"/>
        <v>0</v>
      </c>
      <c r="J671">
        <f>IF(Table1[[#This Row],[Active_months]]&gt;=1, 1, 0)</f>
        <v>0</v>
      </c>
    </row>
    <row r="672" spans="1:10" x14ac:dyDescent="0.3">
      <c r="A672">
        <v>162912102</v>
      </c>
      <c r="B672" s="1">
        <v>44903</v>
      </c>
      <c r="C672" s="1">
        <v>45061</v>
      </c>
      <c r="D672">
        <v>39</v>
      </c>
      <c r="E672" t="s">
        <v>6</v>
      </c>
      <c r="F672" t="s">
        <v>7</v>
      </c>
      <c r="G672" s="1">
        <f t="shared" si="30"/>
        <v>45061</v>
      </c>
      <c r="H672">
        <f t="shared" si="31"/>
        <v>5</v>
      </c>
      <c r="I672">
        <f t="shared" si="32"/>
        <v>1</v>
      </c>
      <c r="J672">
        <f>IF(Table1[[#This Row],[Active_months]]&gt;=1, 1, 0)</f>
        <v>1</v>
      </c>
    </row>
    <row r="673" spans="1:10" x14ac:dyDescent="0.3">
      <c r="A673">
        <v>168471192</v>
      </c>
      <c r="B673" s="1">
        <v>44903</v>
      </c>
      <c r="C673" s="1">
        <v>44960</v>
      </c>
      <c r="D673">
        <v>39</v>
      </c>
      <c r="E673" t="s">
        <v>6</v>
      </c>
      <c r="F673" t="s">
        <v>7</v>
      </c>
      <c r="G673" s="1">
        <f t="shared" si="30"/>
        <v>44960</v>
      </c>
      <c r="H673">
        <f t="shared" si="31"/>
        <v>2</v>
      </c>
      <c r="I673">
        <f t="shared" si="32"/>
        <v>0</v>
      </c>
      <c r="J673">
        <f>IF(Table1[[#This Row],[Active_months]]&gt;=1, 1, 0)</f>
        <v>1</v>
      </c>
    </row>
    <row r="674" spans="1:10" x14ac:dyDescent="0.3">
      <c r="A674">
        <v>168825734</v>
      </c>
      <c r="B674" s="1">
        <v>44903</v>
      </c>
      <c r="C674" s="1">
        <v>44941</v>
      </c>
      <c r="D674">
        <v>39</v>
      </c>
      <c r="E674" t="s">
        <v>6</v>
      </c>
      <c r="F674" t="s">
        <v>7</v>
      </c>
      <c r="G674" s="1">
        <f t="shared" si="30"/>
        <v>44941</v>
      </c>
      <c r="H674">
        <f t="shared" si="31"/>
        <v>1</v>
      </c>
      <c r="I674">
        <f t="shared" si="32"/>
        <v>0</v>
      </c>
      <c r="J674">
        <f>IF(Table1[[#This Row],[Active_months]]&gt;=1, 1, 0)</f>
        <v>1</v>
      </c>
    </row>
    <row r="675" spans="1:10" x14ac:dyDescent="0.3">
      <c r="A675">
        <v>163852568</v>
      </c>
      <c r="B675" s="1">
        <v>44903</v>
      </c>
      <c r="C675" s="1">
        <v>44907</v>
      </c>
      <c r="D675">
        <v>39</v>
      </c>
      <c r="E675" t="s">
        <v>6</v>
      </c>
      <c r="F675" t="s">
        <v>7</v>
      </c>
      <c r="G675" s="1">
        <f t="shared" si="30"/>
        <v>44907</v>
      </c>
      <c r="H675">
        <f t="shared" si="31"/>
        <v>0</v>
      </c>
      <c r="I675">
        <f t="shared" si="32"/>
        <v>0</v>
      </c>
      <c r="J675">
        <f>IF(Table1[[#This Row],[Active_months]]&gt;=1, 1, 0)</f>
        <v>0</v>
      </c>
    </row>
    <row r="676" spans="1:10" x14ac:dyDescent="0.3">
      <c r="A676">
        <v>168460834</v>
      </c>
      <c r="B676" s="1">
        <v>44903</v>
      </c>
      <c r="C676" s="1">
        <v>44922</v>
      </c>
      <c r="D676">
        <v>39</v>
      </c>
      <c r="E676" t="s">
        <v>6</v>
      </c>
      <c r="F676" t="s">
        <v>7</v>
      </c>
      <c r="G676" s="1">
        <f t="shared" si="30"/>
        <v>44922</v>
      </c>
      <c r="H676">
        <f t="shared" si="31"/>
        <v>0</v>
      </c>
      <c r="I676">
        <f t="shared" si="32"/>
        <v>0</v>
      </c>
      <c r="J676">
        <f>IF(Table1[[#This Row],[Active_months]]&gt;=1, 1, 0)</f>
        <v>0</v>
      </c>
    </row>
    <row r="677" spans="1:10" x14ac:dyDescent="0.3">
      <c r="A677">
        <v>169085351</v>
      </c>
      <c r="B677" s="1">
        <v>44904</v>
      </c>
      <c r="C677" s="1">
        <v>45112</v>
      </c>
      <c r="D677">
        <v>39</v>
      </c>
      <c r="E677" t="s">
        <v>6</v>
      </c>
      <c r="F677" t="s">
        <v>7</v>
      </c>
      <c r="G677" s="1">
        <f t="shared" si="30"/>
        <v>45112</v>
      </c>
      <c r="H677">
        <f t="shared" si="31"/>
        <v>7</v>
      </c>
      <c r="I677">
        <f t="shared" si="32"/>
        <v>1</v>
      </c>
      <c r="J677">
        <f>IF(Table1[[#This Row],[Active_months]]&gt;=1, 1, 0)</f>
        <v>1</v>
      </c>
    </row>
    <row r="678" spans="1:10" x14ac:dyDescent="0.3">
      <c r="A678">
        <v>168456070</v>
      </c>
      <c r="B678" s="1">
        <v>44904</v>
      </c>
      <c r="C678" s="1">
        <v>45038</v>
      </c>
      <c r="D678">
        <v>39</v>
      </c>
      <c r="E678" t="s">
        <v>6</v>
      </c>
      <c r="F678" t="s">
        <v>7</v>
      </c>
      <c r="G678" s="1">
        <f t="shared" si="30"/>
        <v>45038</v>
      </c>
      <c r="H678">
        <f t="shared" si="31"/>
        <v>4</v>
      </c>
      <c r="I678">
        <f t="shared" si="32"/>
        <v>0</v>
      </c>
      <c r="J678">
        <f>IF(Table1[[#This Row],[Active_months]]&gt;=1, 1, 0)</f>
        <v>1</v>
      </c>
    </row>
    <row r="679" spans="1:10" x14ac:dyDescent="0.3">
      <c r="A679">
        <v>168900021</v>
      </c>
      <c r="B679" s="1">
        <v>44904</v>
      </c>
      <c r="C679" s="1">
        <v>44963</v>
      </c>
      <c r="D679">
        <v>39</v>
      </c>
      <c r="E679" t="s">
        <v>6</v>
      </c>
      <c r="F679" t="s">
        <v>7</v>
      </c>
      <c r="G679" s="1">
        <f t="shared" si="30"/>
        <v>44963</v>
      </c>
      <c r="H679">
        <f t="shared" si="31"/>
        <v>2</v>
      </c>
      <c r="I679">
        <f t="shared" si="32"/>
        <v>0</v>
      </c>
      <c r="J679">
        <f>IF(Table1[[#This Row],[Active_months]]&gt;=1, 1, 0)</f>
        <v>1</v>
      </c>
    </row>
    <row r="680" spans="1:10" x14ac:dyDescent="0.3">
      <c r="A680">
        <v>169113748</v>
      </c>
      <c r="B680" s="1">
        <v>44904</v>
      </c>
      <c r="C680" s="1">
        <v>44939</v>
      </c>
      <c r="D680">
        <v>39</v>
      </c>
      <c r="E680" t="s">
        <v>6</v>
      </c>
      <c r="F680" t="s">
        <v>7</v>
      </c>
      <c r="G680" s="1">
        <f t="shared" si="30"/>
        <v>44939</v>
      </c>
      <c r="H680">
        <f t="shared" si="31"/>
        <v>1</v>
      </c>
      <c r="I680">
        <f t="shared" si="32"/>
        <v>0</v>
      </c>
      <c r="J680">
        <f>IF(Table1[[#This Row],[Active_months]]&gt;=1, 1, 0)</f>
        <v>1</v>
      </c>
    </row>
    <row r="681" spans="1:10" x14ac:dyDescent="0.3">
      <c r="A681">
        <v>162193491</v>
      </c>
      <c r="B681" s="1">
        <v>44904</v>
      </c>
      <c r="C681" s="1">
        <v>44946</v>
      </c>
      <c r="D681">
        <v>39</v>
      </c>
      <c r="E681" t="s">
        <v>6</v>
      </c>
      <c r="F681" t="s">
        <v>7</v>
      </c>
      <c r="G681" s="1">
        <f t="shared" si="30"/>
        <v>44946</v>
      </c>
      <c r="H681">
        <f t="shared" si="31"/>
        <v>1</v>
      </c>
      <c r="I681">
        <f t="shared" si="32"/>
        <v>0</v>
      </c>
      <c r="J681">
        <f>IF(Table1[[#This Row],[Active_months]]&gt;=1, 1, 0)</f>
        <v>1</v>
      </c>
    </row>
    <row r="682" spans="1:10" x14ac:dyDescent="0.3">
      <c r="A682">
        <v>167761722</v>
      </c>
      <c r="B682" s="1">
        <v>44904</v>
      </c>
      <c r="C682" s="1">
        <v>45123</v>
      </c>
      <c r="D682">
        <v>39</v>
      </c>
      <c r="E682" t="s">
        <v>6</v>
      </c>
      <c r="F682" t="s">
        <v>7</v>
      </c>
      <c r="G682" s="1">
        <f t="shared" si="30"/>
        <v>45123</v>
      </c>
      <c r="H682">
        <f t="shared" si="31"/>
        <v>7</v>
      </c>
      <c r="I682">
        <f t="shared" si="32"/>
        <v>1</v>
      </c>
      <c r="J682">
        <f>IF(Table1[[#This Row],[Active_months]]&gt;=1, 1, 0)</f>
        <v>1</v>
      </c>
    </row>
    <row r="683" spans="1:10" x14ac:dyDescent="0.3">
      <c r="A683">
        <v>169244937</v>
      </c>
      <c r="B683" s="1">
        <v>44905</v>
      </c>
      <c r="C683" s="1">
        <v>44989</v>
      </c>
      <c r="D683">
        <v>39</v>
      </c>
      <c r="E683" t="s">
        <v>6</v>
      </c>
      <c r="F683" t="s">
        <v>7</v>
      </c>
      <c r="G683" s="1">
        <f t="shared" si="30"/>
        <v>44989</v>
      </c>
      <c r="H683">
        <f t="shared" si="31"/>
        <v>3</v>
      </c>
      <c r="I683">
        <f t="shared" si="32"/>
        <v>0</v>
      </c>
      <c r="J683">
        <f>IF(Table1[[#This Row],[Active_months]]&gt;=1, 1, 0)</f>
        <v>1</v>
      </c>
    </row>
    <row r="684" spans="1:10" x14ac:dyDescent="0.3">
      <c r="A684">
        <v>167923504</v>
      </c>
      <c r="B684" s="1">
        <v>44905</v>
      </c>
      <c r="C684" s="1">
        <v>44965</v>
      </c>
      <c r="D684">
        <v>39</v>
      </c>
      <c r="E684" t="s">
        <v>6</v>
      </c>
      <c r="F684" t="s">
        <v>7</v>
      </c>
      <c r="G684" s="1">
        <f t="shared" si="30"/>
        <v>44965</v>
      </c>
      <c r="H684">
        <f t="shared" si="31"/>
        <v>2</v>
      </c>
      <c r="I684">
        <f t="shared" si="32"/>
        <v>0</v>
      </c>
      <c r="J684">
        <f>IF(Table1[[#This Row],[Active_months]]&gt;=1, 1, 0)</f>
        <v>1</v>
      </c>
    </row>
    <row r="685" spans="1:10" x14ac:dyDescent="0.3">
      <c r="A685">
        <v>167459469</v>
      </c>
      <c r="B685" s="1">
        <v>44905</v>
      </c>
      <c r="C685" s="1">
        <v>44940</v>
      </c>
      <c r="D685">
        <v>39</v>
      </c>
      <c r="E685" t="s">
        <v>6</v>
      </c>
      <c r="F685" t="s">
        <v>7</v>
      </c>
      <c r="G685" s="1">
        <f t="shared" si="30"/>
        <v>44940</v>
      </c>
      <c r="H685">
        <f t="shared" si="31"/>
        <v>1</v>
      </c>
      <c r="I685">
        <f t="shared" si="32"/>
        <v>0</v>
      </c>
      <c r="J685">
        <f>IF(Table1[[#This Row],[Active_months]]&gt;=1, 1, 0)</f>
        <v>1</v>
      </c>
    </row>
    <row r="686" spans="1:10" x14ac:dyDescent="0.3">
      <c r="A686">
        <v>123169152</v>
      </c>
      <c r="B686" s="1">
        <v>44905</v>
      </c>
      <c r="C686" s="1">
        <v>44929</v>
      </c>
      <c r="D686">
        <v>39</v>
      </c>
      <c r="E686" t="s">
        <v>6</v>
      </c>
      <c r="F686" t="s">
        <v>7</v>
      </c>
      <c r="G686" s="1">
        <f t="shared" si="30"/>
        <v>44929</v>
      </c>
      <c r="H686">
        <f t="shared" si="31"/>
        <v>1</v>
      </c>
      <c r="I686">
        <f t="shared" si="32"/>
        <v>0</v>
      </c>
      <c r="J686">
        <f>IF(Table1[[#This Row],[Active_months]]&gt;=1, 1, 0)</f>
        <v>1</v>
      </c>
    </row>
    <row r="687" spans="1:10" x14ac:dyDescent="0.3">
      <c r="A687">
        <v>153157541</v>
      </c>
      <c r="B687" s="1">
        <v>44906</v>
      </c>
      <c r="D687">
        <v>39</v>
      </c>
      <c r="E687" t="s">
        <v>6</v>
      </c>
      <c r="F687" t="s">
        <v>7</v>
      </c>
      <c r="G687" s="1">
        <f t="shared" si="30"/>
        <v>45199</v>
      </c>
      <c r="H687">
        <f t="shared" si="31"/>
        <v>9</v>
      </c>
      <c r="I687">
        <f t="shared" si="32"/>
        <v>1</v>
      </c>
      <c r="J687">
        <f>IF(Table1[[#This Row],[Active_months]]&gt;=1, 1, 0)</f>
        <v>1</v>
      </c>
    </row>
    <row r="688" spans="1:10" x14ac:dyDescent="0.3">
      <c r="A688">
        <v>169133180</v>
      </c>
      <c r="B688" s="1">
        <v>44906</v>
      </c>
      <c r="D688">
        <v>39</v>
      </c>
      <c r="E688" t="s">
        <v>6</v>
      </c>
      <c r="F688" t="s">
        <v>7</v>
      </c>
      <c r="G688" s="1">
        <f t="shared" si="30"/>
        <v>45199</v>
      </c>
      <c r="H688">
        <f t="shared" si="31"/>
        <v>9</v>
      </c>
      <c r="I688">
        <f t="shared" si="32"/>
        <v>1</v>
      </c>
      <c r="J688">
        <f>IF(Table1[[#This Row],[Active_months]]&gt;=1, 1, 0)</f>
        <v>1</v>
      </c>
    </row>
    <row r="689" spans="1:10" x14ac:dyDescent="0.3">
      <c r="A689">
        <v>129447970</v>
      </c>
      <c r="B689" s="1">
        <v>44906</v>
      </c>
      <c r="C689" s="1">
        <v>44907</v>
      </c>
      <c r="D689">
        <v>39</v>
      </c>
      <c r="E689" t="s">
        <v>6</v>
      </c>
      <c r="F689" t="s">
        <v>7</v>
      </c>
      <c r="G689" s="1">
        <f t="shared" si="30"/>
        <v>44907</v>
      </c>
      <c r="H689">
        <f t="shared" si="31"/>
        <v>0</v>
      </c>
      <c r="I689">
        <f t="shared" si="32"/>
        <v>0</v>
      </c>
      <c r="J689">
        <f>IF(Table1[[#This Row],[Active_months]]&gt;=1, 1, 0)</f>
        <v>0</v>
      </c>
    </row>
    <row r="690" spans="1:10" x14ac:dyDescent="0.3">
      <c r="A690">
        <v>169388365</v>
      </c>
      <c r="B690" s="1">
        <v>44906</v>
      </c>
      <c r="C690" s="1">
        <v>45095</v>
      </c>
      <c r="D690">
        <v>39</v>
      </c>
      <c r="E690" t="s">
        <v>6</v>
      </c>
      <c r="F690" t="s">
        <v>7</v>
      </c>
      <c r="G690" s="1">
        <f t="shared" si="30"/>
        <v>45095</v>
      </c>
      <c r="H690">
        <f t="shared" si="31"/>
        <v>6</v>
      </c>
      <c r="I690">
        <f t="shared" si="32"/>
        <v>1</v>
      </c>
      <c r="J690">
        <f>IF(Table1[[#This Row],[Active_months]]&gt;=1, 1, 0)</f>
        <v>1</v>
      </c>
    </row>
    <row r="691" spans="1:10" x14ac:dyDescent="0.3">
      <c r="A691">
        <v>130872019</v>
      </c>
      <c r="B691" s="1">
        <v>44906</v>
      </c>
      <c r="C691" s="1">
        <v>45027</v>
      </c>
      <c r="D691">
        <v>39</v>
      </c>
      <c r="E691" t="s">
        <v>6</v>
      </c>
      <c r="F691" t="s">
        <v>7</v>
      </c>
      <c r="G691" s="1">
        <f t="shared" si="30"/>
        <v>45027</v>
      </c>
      <c r="H691">
        <f t="shared" si="31"/>
        <v>4</v>
      </c>
      <c r="I691">
        <f t="shared" si="32"/>
        <v>0</v>
      </c>
      <c r="J691">
        <f>IF(Table1[[#This Row],[Active_months]]&gt;=1, 1, 0)</f>
        <v>1</v>
      </c>
    </row>
    <row r="692" spans="1:10" x14ac:dyDescent="0.3">
      <c r="A692">
        <v>167674086</v>
      </c>
      <c r="B692" s="1">
        <v>44906</v>
      </c>
      <c r="C692" s="1">
        <v>45047</v>
      </c>
      <c r="D692">
        <v>39</v>
      </c>
      <c r="E692" t="s">
        <v>6</v>
      </c>
      <c r="F692" t="s">
        <v>7</v>
      </c>
      <c r="G692" s="1">
        <f t="shared" si="30"/>
        <v>45047</v>
      </c>
      <c r="H692">
        <f t="shared" si="31"/>
        <v>5</v>
      </c>
      <c r="I692">
        <f t="shared" si="32"/>
        <v>1</v>
      </c>
      <c r="J692">
        <f>IF(Table1[[#This Row],[Active_months]]&gt;=1, 1, 0)</f>
        <v>1</v>
      </c>
    </row>
    <row r="693" spans="1:10" x14ac:dyDescent="0.3">
      <c r="A693">
        <v>169590994</v>
      </c>
      <c r="B693" s="1">
        <v>44906</v>
      </c>
      <c r="C693" s="1">
        <v>44983</v>
      </c>
      <c r="D693">
        <v>39</v>
      </c>
      <c r="E693" t="s">
        <v>6</v>
      </c>
      <c r="F693" t="s">
        <v>7</v>
      </c>
      <c r="G693" s="1">
        <f t="shared" si="30"/>
        <v>44983</v>
      </c>
      <c r="H693">
        <f t="shared" si="31"/>
        <v>2</v>
      </c>
      <c r="I693">
        <f t="shared" si="32"/>
        <v>0</v>
      </c>
      <c r="J693">
        <f>IF(Table1[[#This Row],[Active_months]]&gt;=1, 1, 0)</f>
        <v>1</v>
      </c>
    </row>
    <row r="694" spans="1:10" x14ac:dyDescent="0.3">
      <c r="A694">
        <v>166199181</v>
      </c>
      <c r="B694" s="1">
        <v>44906</v>
      </c>
      <c r="C694" s="1">
        <v>44944</v>
      </c>
      <c r="D694">
        <v>39</v>
      </c>
      <c r="E694" t="s">
        <v>6</v>
      </c>
      <c r="F694" t="s">
        <v>7</v>
      </c>
      <c r="G694" s="1">
        <f t="shared" si="30"/>
        <v>44944</v>
      </c>
      <c r="H694">
        <f t="shared" si="31"/>
        <v>1</v>
      </c>
      <c r="I694">
        <f t="shared" si="32"/>
        <v>0</v>
      </c>
      <c r="J694">
        <f>IF(Table1[[#This Row],[Active_months]]&gt;=1, 1, 0)</f>
        <v>1</v>
      </c>
    </row>
    <row r="695" spans="1:10" x14ac:dyDescent="0.3">
      <c r="A695">
        <v>169895510</v>
      </c>
      <c r="B695" s="1">
        <v>44907</v>
      </c>
      <c r="D695">
        <v>39</v>
      </c>
      <c r="E695" t="s">
        <v>6</v>
      </c>
      <c r="F695" t="s">
        <v>7</v>
      </c>
      <c r="G695" s="1">
        <f t="shared" si="30"/>
        <v>45199</v>
      </c>
      <c r="H695">
        <f t="shared" si="31"/>
        <v>9</v>
      </c>
      <c r="I695">
        <f t="shared" si="32"/>
        <v>1</v>
      </c>
      <c r="J695">
        <f>IF(Table1[[#This Row],[Active_months]]&gt;=1, 1, 0)</f>
        <v>1</v>
      </c>
    </row>
    <row r="696" spans="1:10" x14ac:dyDescent="0.3">
      <c r="A696">
        <v>169837410</v>
      </c>
      <c r="B696" s="1">
        <v>44907</v>
      </c>
      <c r="D696">
        <v>39</v>
      </c>
      <c r="E696" t="s">
        <v>6</v>
      </c>
      <c r="F696" t="s">
        <v>7</v>
      </c>
      <c r="G696" s="1">
        <f t="shared" si="30"/>
        <v>45199</v>
      </c>
      <c r="H696">
        <f t="shared" si="31"/>
        <v>9</v>
      </c>
      <c r="I696">
        <f t="shared" si="32"/>
        <v>1</v>
      </c>
      <c r="J696">
        <f>IF(Table1[[#This Row],[Active_months]]&gt;=1, 1, 0)</f>
        <v>1</v>
      </c>
    </row>
    <row r="697" spans="1:10" x14ac:dyDescent="0.3">
      <c r="A697">
        <v>169854397</v>
      </c>
      <c r="B697" s="1">
        <v>44907</v>
      </c>
      <c r="D697">
        <v>39</v>
      </c>
      <c r="E697" t="s">
        <v>6</v>
      </c>
      <c r="F697" t="s">
        <v>8</v>
      </c>
      <c r="G697" s="1">
        <f t="shared" si="30"/>
        <v>45199</v>
      </c>
      <c r="H697">
        <f t="shared" si="31"/>
        <v>9</v>
      </c>
      <c r="I697">
        <f t="shared" si="32"/>
        <v>1</v>
      </c>
      <c r="J697">
        <f>IF(Table1[[#This Row],[Active_months]]&gt;=1, 1, 0)</f>
        <v>1</v>
      </c>
    </row>
    <row r="698" spans="1:10" x14ac:dyDescent="0.3">
      <c r="A698">
        <v>145987169</v>
      </c>
      <c r="B698" s="1">
        <v>44907</v>
      </c>
      <c r="C698" s="1">
        <v>44953</v>
      </c>
      <c r="D698">
        <v>39</v>
      </c>
      <c r="E698" t="s">
        <v>6</v>
      </c>
      <c r="F698" t="s">
        <v>7</v>
      </c>
      <c r="G698" s="1">
        <f t="shared" si="30"/>
        <v>44953</v>
      </c>
      <c r="H698">
        <f t="shared" si="31"/>
        <v>1</v>
      </c>
      <c r="I698">
        <f t="shared" si="32"/>
        <v>0</v>
      </c>
      <c r="J698">
        <f>IF(Table1[[#This Row],[Active_months]]&gt;=1, 1, 0)</f>
        <v>1</v>
      </c>
    </row>
    <row r="699" spans="1:10" x14ac:dyDescent="0.3">
      <c r="A699">
        <v>169915574</v>
      </c>
      <c r="B699" s="1">
        <v>44907</v>
      </c>
      <c r="C699" s="1">
        <v>44998</v>
      </c>
      <c r="D699">
        <v>39</v>
      </c>
      <c r="E699" t="s">
        <v>6</v>
      </c>
      <c r="F699" t="s">
        <v>7</v>
      </c>
      <c r="G699" s="1">
        <f t="shared" si="30"/>
        <v>44998</v>
      </c>
      <c r="H699">
        <f t="shared" si="31"/>
        <v>3</v>
      </c>
      <c r="I699">
        <f t="shared" si="32"/>
        <v>0</v>
      </c>
      <c r="J699">
        <f>IF(Table1[[#This Row],[Active_months]]&gt;=1, 1, 0)</f>
        <v>1</v>
      </c>
    </row>
    <row r="700" spans="1:10" x14ac:dyDescent="0.3">
      <c r="A700">
        <v>164632485</v>
      </c>
      <c r="B700" s="1">
        <v>44907</v>
      </c>
      <c r="C700" s="1">
        <v>44992</v>
      </c>
      <c r="D700">
        <v>39</v>
      </c>
      <c r="E700" t="s">
        <v>6</v>
      </c>
      <c r="F700" t="s">
        <v>7</v>
      </c>
      <c r="G700" s="1">
        <f t="shared" si="30"/>
        <v>44992</v>
      </c>
      <c r="H700">
        <f t="shared" si="31"/>
        <v>3</v>
      </c>
      <c r="I700">
        <f t="shared" si="32"/>
        <v>0</v>
      </c>
      <c r="J700">
        <f>IF(Table1[[#This Row],[Active_months]]&gt;=1, 1, 0)</f>
        <v>1</v>
      </c>
    </row>
    <row r="701" spans="1:10" x14ac:dyDescent="0.3">
      <c r="A701">
        <v>169830063</v>
      </c>
      <c r="B701" s="1">
        <v>44907</v>
      </c>
      <c r="C701" s="1">
        <v>44956</v>
      </c>
      <c r="D701">
        <v>39</v>
      </c>
      <c r="E701" t="s">
        <v>6</v>
      </c>
      <c r="F701" t="s">
        <v>7</v>
      </c>
      <c r="G701" s="1">
        <f t="shared" si="30"/>
        <v>44956</v>
      </c>
      <c r="H701">
        <f t="shared" si="31"/>
        <v>1</v>
      </c>
      <c r="I701">
        <f t="shared" si="32"/>
        <v>0</v>
      </c>
      <c r="J701">
        <f>IF(Table1[[#This Row],[Active_months]]&gt;=1, 1, 0)</f>
        <v>1</v>
      </c>
    </row>
    <row r="702" spans="1:10" x14ac:dyDescent="0.3">
      <c r="A702">
        <v>162624984</v>
      </c>
      <c r="B702" s="1">
        <v>44907</v>
      </c>
      <c r="C702" s="1">
        <v>44949</v>
      </c>
      <c r="D702">
        <v>39</v>
      </c>
      <c r="E702" t="s">
        <v>6</v>
      </c>
      <c r="F702" t="s">
        <v>7</v>
      </c>
      <c r="G702" s="1">
        <f t="shared" si="30"/>
        <v>44949</v>
      </c>
      <c r="H702">
        <f t="shared" si="31"/>
        <v>1</v>
      </c>
      <c r="I702">
        <f t="shared" si="32"/>
        <v>0</v>
      </c>
      <c r="J702">
        <f>IF(Table1[[#This Row],[Active_months]]&gt;=1, 1, 0)</f>
        <v>1</v>
      </c>
    </row>
    <row r="703" spans="1:10" x14ac:dyDescent="0.3">
      <c r="A703">
        <v>169020452</v>
      </c>
      <c r="B703" s="1">
        <v>44907</v>
      </c>
      <c r="C703" s="1">
        <v>45147</v>
      </c>
      <c r="D703">
        <v>39</v>
      </c>
      <c r="E703" t="s">
        <v>6</v>
      </c>
      <c r="F703" t="s">
        <v>7</v>
      </c>
      <c r="G703" s="1">
        <f t="shared" si="30"/>
        <v>45147</v>
      </c>
      <c r="H703">
        <f t="shared" si="31"/>
        <v>8</v>
      </c>
      <c r="I703">
        <f t="shared" si="32"/>
        <v>1</v>
      </c>
      <c r="J703">
        <f>IF(Table1[[#This Row],[Active_months]]&gt;=1, 1, 0)</f>
        <v>1</v>
      </c>
    </row>
    <row r="704" spans="1:10" x14ac:dyDescent="0.3">
      <c r="A704">
        <v>170037760</v>
      </c>
      <c r="B704" s="1">
        <v>44908</v>
      </c>
      <c r="D704">
        <v>39</v>
      </c>
      <c r="E704" t="s">
        <v>6</v>
      </c>
      <c r="F704" t="s">
        <v>7</v>
      </c>
      <c r="G704" s="1">
        <f t="shared" si="30"/>
        <v>45199</v>
      </c>
      <c r="H704">
        <f t="shared" si="31"/>
        <v>9</v>
      </c>
      <c r="I704">
        <f t="shared" si="32"/>
        <v>1</v>
      </c>
      <c r="J704">
        <f>IF(Table1[[#This Row],[Active_months]]&gt;=1, 1, 0)</f>
        <v>1</v>
      </c>
    </row>
    <row r="705" spans="1:10" x14ac:dyDescent="0.3">
      <c r="A705">
        <v>116060198</v>
      </c>
      <c r="B705" s="1">
        <v>44908</v>
      </c>
      <c r="C705" s="1">
        <v>45005</v>
      </c>
      <c r="D705">
        <v>39</v>
      </c>
      <c r="E705" t="s">
        <v>6</v>
      </c>
      <c r="F705" t="s">
        <v>7</v>
      </c>
      <c r="G705" s="1">
        <f t="shared" si="30"/>
        <v>45005</v>
      </c>
      <c r="H705">
        <f t="shared" si="31"/>
        <v>3</v>
      </c>
      <c r="I705">
        <f t="shared" si="32"/>
        <v>0</v>
      </c>
      <c r="J705">
        <f>IF(Table1[[#This Row],[Active_months]]&gt;=1, 1, 0)</f>
        <v>1</v>
      </c>
    </row>
    <row r="706" spans="1:10" x14ac:dyDescent="0.3">
      <c r="A706">
        <v>129798657</v>
      </c>
      <c r="B706" s="1">
        <v>44908</v>
      </c>
      <c r="C706" s="1">
        <v>44998</v>
      </c>
      <c r="D706">
        <v>39</v>
      </c>
      <c r="E706" t="s">
        <v>6</v>
      </c>
      <c r="F706" t="s">
        <v>7</v>
      </c>
      <c r="G706" s="1">
        <f t="shared" si="30"/>
        <v>44998</v>
      </c>
      <c r="H706">
        <f t="shared" si="31"/>
        <v>3</v>
      </c>
      <c r="I706">
        <f t="shared" si="32"/>
        <v>0</v>
      </c>
      <c r="J706">
        <f>IF(Table1[[#This Row],[Active_months]]&gt;=1, 1, 0)</f>
        <v>1</v>
      </c>
    </row>
    <row r="707" spans="1:10" x14ac:dyDescent="0.3">
      <c r="A707">
        <v>170426615</v>
      </c>
      <c r="B707" s="1">
        <v>44908</v>
      </c>
      <c r="C707" s="1">
        <v>44970</v>
      </c>
      <c r="D707">
        <v>39</v>
      </c>
      <c r="E707" t="s">
        <v>6</v>
      </c>
      <c r="F707" t="s">
        <v>7</v>
      </c>
      <c r="G707" s="1">
        <f t="shared" ref="G707:G770" si="33">IF(ISBLANK(C707), DATE(2023,9,30), C707)</f>
        <v>44970</v>
      </c>
      <c r="H707">
        <f t="shared" ref="H707:H770" si="34">(YEAR(G707)-YEAR(B707))*12 + (MONTH(G707)-MONTH(B707))</f>
        <v>2</v>
      </c>
      <c r="I707">
        <f t="shared" ref="I707:I770" si="35">IF(H707 &gt;=5, 1, 0)</f>
        <v>0</v>
      </c>
      <c r="J707">
        <f>IF(Table1[[#This Row],[Active_months]]&gt;=1, 1, 0)</f>
        <v>1</v>
      </c>
    </row>
    <row r="708" spans="1:10" x14ac:dyDescent="0.3">
      <c r="A708">
        <v>161574018</v>
      </c>
      <c r="B708" s="1">
        <v>44908</v>
      </c>
      <c r="C708" s="1">
        <v>44978</v>
      </c>
      <c r="D708">
        <v>39</v>
      </c>
      <c r="E708" t="s">
        <v>6</v>
      </c>
      <c r="F708" t="s">
        <v>7</v>
      </c>
      <c r="G708" s="1">
        <f t="shared" si="33"/>
        <v>44978</v>
      </c>
      <c r="H708">
        <f t="shared" si="34"/>
        <v>2</v>
      </c>
      <c r="I708">
        <f t="shared" si="35"/>
        <v>0</v>
      </c>
      <c r="J708">
        <f>IF(Table1[[#This Row],[Active_months]]&gt;=1, 1, 0)</f>
        <v>1</v>
      </c>
    </row>
    <row r="709" spans="1:10" x14ac:dyDescent="0.3">
      <c r="A709">
        <v>160272364</v>
      </c>
      <c r="B709" s="1">
        <v>44909</v>
      </c>
      <c r="D709">
        <v>39</v>
      </c>
      <c r="E709" t="s">
        <v>6</v>
      </c>
      <c r="F709" t="s">
        <v>7</v>
      </c>
      <c r="G709" s="1">
        <f t="shared" si="33"/>
        <v>45199</v>
      </c>
      <c r="H709">
        <f t="shared" si="34"/>
        <v>9</v>
      </c>
      <c r="I709">
        <f t="shared" si="35"/>
        <v>1</v>
      </c>
      <c r="J709">
        <f>IF(Table1[[#This Row],[Active_months]]&gt;=1, 1, 0)</f>
        <v>1</v>
      </c>
    </row>
    <row r="710" spans="1:10" x14ac:dyDescent="0.3">
      <c r="A710">
        <v>144938943</v>
      </c>
      <c r="B710" s="1">
        <v>44909</v>
      </c>
      <c r="D710">
        <v>39</v>
      </c>
      <c r="E710" t="s">
        <v>6</v>
      </c>
      <c r="F710" t="s">
        <v>8</v>
      </c>
      <c r="G710" s="1">
        <f t="shared" si="33"/>
        <v>45199</v>
      </c>
      <c r="H710">
        <f t="shared" si="34"/>
        <v>9</v>
      </c>
      <c r="I710">
        <f t="shared" si="35"/>
        <v>1</v>
      </c>
      <c r="J710">
        <f>IF(Table1[[#This Row],[Active_months]]&gt;=1, 1, 0)</f>
        <v>1</v>
      </c>
    </row>
    <row r="711" spans="1:10" x14ac:dyDescent="0.3">
      <c r="A711">
        <v>170004555</v>
      </c>
      <c r="B711" s="1">
        <v>44909</v>
      </c>
      <c r="C711" s="1">
        <v>44968</v>
      </c>
      <c r="D711">
        <v>39</v>
      </c>
      <c r="E711" t="s">
        <v>6</v>
      </c>
      <c r="F711" t="s">
        <v>7</v>
      </c>
      <c r="G711" s="1">
        <f t="shared" si="33"/>
        <v>44968</v>
      </c>
      <c r="H711">
        <f t="shared" si="34"/>
        <v>2</v>
      </c>
      <c r="I711">
        <f t="shared" si="35"/>
        <v>0</v>
      </c>
      <c r="J711">
        <f>IF(Table1[[#This Row],[Active_months]]&gt;=1, 1, 0)</f>
        <v>1</v>
      </c>
    </row>
    <row r="712" spans="1:10" x14ac:dyDescent="0.3">
      <c r="A712">
        <v>167673987</v>
      </c>
      <c r="B712" s="1">
        <v>44909</v>
      </c>
      <c r="C712" s="1">
        <v>44978</v>
      </c>
      <c r="D712">
        <v>39</v>
      </c>
      <c r="E712" t="s">
        <v>6</v>
      </c>
      <c r="F712" t="s">
        <v>7</v>
      </c>
      <c r="G712" s="1">
        <f t="shared" si="33"/>
        <v>44978</v>
      </c>
      <c r="H712">
        <f t="shared" si="34"/>
        <v>2</v>
      </c>
      <c r="I712">
        <f t="shared" si="35"/>
        <v>0</v>
      </c>
      <c r="J712">
        <f>IF(Table1[[#This Row],[Active_months]]&gt;=1, 1, 0)</f>
        <v>1</v>
      </c>
    </row>
    <row r="713" spans="1:10" x14ac:dyDescent="0.3">
      <c r="A713">
        <v>154448870</v>
      </c>
      <c r="B713" s="1">
        <v>44909</v>
      </c>
      <c r="C713" s="1">
        <v>44928</v>
      </c>
      <c r="D713">
        <v>39</v>
      </c>
      <c r="E713" t="s">
        <v>6</v>
      </c>
      <c r="F713" t="s">
        <v>7</v>
      </c>
      <c r="G713" s="1">
        <f t="shared" si="33"/>
        <v>44928</v>
      </c>
      <c r="H713">
        <f t="shared" si="34"/>
        <v>1</v>
      </c>
      <c r="I713">
        <f t="shared" si="35"/>
        <v>0</v>
      </c>
      <c r="J713">
        <f>IF(Table1[[#This Row],[Active_months]]&gt;=1, 1, 0)</f>
        <v>1</v>
      </c>
    </row>
    <row r="714" spans="1:10" x14ac:dyDescent="0.3">
      <c r="A714">
        <v>153508650</v>
      </c>
      <c r="B714" s="1">
        <v>44909</v>
      </c>
      <c r="C714" s="1">
        <v>44957</v>
      </c>
      <c r="D714">
        <v>39</v>
      </c>
      <c r="E714" t="s">
        <v>6</v>
      </c>
      <c r="F714" t="s">
        <v>7</v>
      </c>
      <c r="G714" s="1">
        <f t="shared" si="33"/>
        <v>44957</v>
      </c>
      <c r="H714">
        <f t="shared" si="34"/>
        <v>1</v>
      </c>
      <c r="I714">
        <f t="shared" si="35"/>
        <v>0</v>
      </c>
      <c r="J714">
        <f>IF(Table1[[#This Row],[Active_months]]&gt;=1, 1, 0)</f>
        <v>1</v>
      </c>
    </row>
    <row r="715" spans="1:10" x14ac:dyDescent="0.3">
      <c r="A715">
        <v>156521981</v>
      </c>
      <c r="B715" s="1">
        <v>44909</v>
      </c>
      <c r="C715" s="1">
        <v>44940</v>
      </c>
      <c r="D715">
        <v>39</v>
      </c>
      <c r="E715" t="s">
        <v>6</v>
      </c>
      <c r="F715" t="s">
        <v>7</v>
      </c>
      <c r="G715" s="1">
        <f t="shared" si="33"/>
        <v>44940</v>
      </c>
      <c r="H715">
        <f t="shared" si="34"/>
        <v>1</v>
      </c>
      <c r="I715">
        <f t="shared" si="35"/>
        <v>0</v>
      </c>
      <c r="J715">
        <f>IF(Table1[[#This Row],[Active_months]]&gt;=1, 1, 0)</f>
        <v>1</v>
      </c>
    </row>
    <row r="716" spans="1:10" x14ac:dyDescent="0.3">
      <c r="A716">
        <v>170897520</v>
      </c>
      <c r="B716" s="1">
        <v>44909</v>
      </c>
      <c r="C716" s="1">
        <v>45111</v>
      </c>
      <c r="D716">
        <v>39</v>
      </c>
      <c r="E716" t="s">
        <v>6</v>
      </c>
      <c r="F716" t="s">
        <v>7</v>
      </c>
      <c r="G716" s="1">
        <f t="shared" si="33"/>
        <v>45111</v>
      </c>
      <c r="H716">
        <f t="shared" si="34"/>
        <v>7</v>
      </c>
      <c r="I716">
        <f t="shared" si="35"/>
        <v>1</v>
      </c>
      <c r="J716">
        <f>IF(Table1[[#This Row],[Active_months]]&gt;=1, 1, 0)</f>
        <v>1</v>
      </c>
    </row>
    <row r="717" spans="1:10" x14ac:dyDescent="0.3">
      <c r="A717">
        <v>167076396</v>
      </c>
      <c r="B717" s="1">
        <v>44909</v>
      </c>
      <c r="C717" s="1">
        <v>45142</v>
      </c>
      <c r="D717">
        <v>39</v>
      </c>
      <c r="E717" t="s">
        <v>6</v>
      </c>
      <c r="F717" t="s">
        <v>7</v>
      </c>
      <c r="G717" s="1">
        <f t="shared" si="33"/>
        <v>45142</v>
      </c>
      <c r="H717">
        <f t="shared" si="34"/>
        <v>8</v>
      </c>
      <c r="I717">
        <f t="shared" si="35"/>
        <v>1</v>
      </c>
      <c r="J717">
        <f>IF(Table1[[#This Row],[Active_months]]&gt;=1, 1, 0)</f>
        <v>1</v>
      </c>
    </row>
    <row r="718" spans="1:10" x14ac:dyDescent="0.3">
      <c r="A718">
        <v>170968987</v>
      </c>
      <c r="B718" s="1">
        <v>44910</v>
      </c>
      <c r="D718">
        <v>39</v>
      </c>
      <c r="E718" t="s">
        <v>6</v>
      </c>
      <c r="F718" t="s">
        <v>7</v>
      </c>
      <c r="G718" s="1">
        <f t="shared" si="33"/>
        <v>45199</v>
      </c>
      <c r="H718">
        <f t="shared" si="34"/>
        <v>9</v>
      </c>
      <c r="I718">
        <f t="shared" si="35"/>
        <v>1</v>
      </c>
      <c r="J718">
        <f>IF(Table1[[#This Row],[Active_months]]&gt;=1, 1, 0)</f>
        <v>1</v>
      </c>
    </row>
    <row r="719" spans="1:10" x14ac:dyDescent="0.3">
      <c r="A719">
        <v>170154956</v>
      </c>
      <c r="B719" s="1">
        <v>44910</v>
      </c>
      <c r="C719" s="1">
        <v>45034</v>
      </c>
      <c r="D719">
        <v>39</v>
      </c>
      <c r="E719" t="s">
        <v>6</v>
      </c>
      <c r="F719" t="s">
        <v>7</v>
      </c>
      <c r="G719" s="1">
        <f t="shared" si="33"/>
        <v>45034</v>
      </c>
      <c r="H719">
        <f t="shared" si="34"/>
        <v>4</v>
      </c>
      <c r="I719">
        <f t="shared" si="35"/>
        <v>0</v>
      </c>
      <c r="J719">
        <f>IF(Table1[[#This Row],[Active_months]]&gt;=1, 1, 0)</f>
        <v>1</v>
      </c>
    </row>
    <row r="720" spans="1:10" x14ac:dyDescent="0.3">
      <c r="A720">
        <v>170976924</v>
      </c>
      <c r="B720" s="1">
        <v>44910</v>
      </c>
      <c r="C720" s="1">
        <v>45076</v>
      </c>
      <c r="D720">
        <v>39</v>
      </c>
      <c r="E720" t="s">
        <v>6</v>
      </c>
      <c r="F720" t="s">
        <v>7</v>
      </c>
      <c r="G720" s="1">
        <f t="shared" si="33"/>
        <v>45076</v>
      </c>
      <c r="H720">
        <f t="shared" si="34"/>
        <v>5</v>
      </c>
      <c r="I720">
        <f t="shared" si="35"/>
        <v>1</v>
      </c>
      <c r="J720">
        <f>IF(Table1[[#This Row],[Active_months]]&gt;=1, 1, 0)</f>
        <v>1</v>
      </c>
    </row>
    <row r="721" spans="1:10" x14ac:dyDescent="0.3">
      <c r="A721">
        <v>171090027</v>
      </c>
      <c r="B721" s="1">
        <v>44910</v>
      </c>
      <c r="C721" s="1">
        <v>44999</v>
      </c>
      <c r="D721">
        <v>39</v>
      </c>
      <c r="E721" t="s">
        <v>6</v>
      </c>
      <c r="F721" t="s">
        <v>7</v>
      </c>
      <c r="G721" s="1">
        <f t="shared" si="33"/>
        <v>44999</v>
      </c>
      <c r="H721">
        <f t="shared" si="34"/>
        <v>3</v>
      </c>
      <c r="I721">
        <f t="shared" si="35"/>
        <v>0</v>
      </c>
      <c r="J721">
        <f>IF(Table1[[#This Row],[Active_months]]&gt;=1, 1, 0)</f>
        <v>1</v>
      </c>
    </row>
    <row r="722" spans="1:10" x14ac:dyDescent="0.3">
      <c r="A722">
        <v>167135160</v>
      </c>
      <c r="B722" s="1">
        <v>44910</v>
      </c>
      <c r="C722" s="1">
        <v>44944</v>
      </c>
      <c r="D722">
        <v>39</v>
      </c>
      <c r="E722" t="s">
        <v>6</v>
      </c>
      <c r="F722" t="s">
        <v>7</v>
      </c>
      <c r="G722" s="1">
        <f t="shared" si="33"/>
        <v>44944</v>
      </c>
      <c r="H722">
        <f t="shared" si="34"/>
        <v>1</v>
      </c>
      <c r="I722">
        <f t="shared" si="35"/>
        <v>0</v>
      </c>
      <c r="J722">
        <f>IF(Table1[[#This Row],[Active_months]]&gt;=1, 1, 0)</f>
        <v>1</v>
      </c>
    </row>
    <row r="723" spans="1:10" x14ac:dyDescent="0.3">
      <c r="A723">
        <v>171339244</v>
      </c>
      <c r="B723" s="1">
        <v>44910</v>
      </c>
      <c r="C723" s="1">
        <v>44910</v>
      </c>
      <c r="D723">
        <v>39</v>
      </c>
      <c r="E723" t="s">
        <v>6</v>
      </c>
      <c r="F723" t="s">
        <v>7</v>
      </c>
      <c r="G723" s="1">
        <f t="shared" si="33"/>
        <v>44910</v>
      </c>
      <c r="H723">
        <f t="shared" si="34"/>
        <v>0</v>
      </c>
      <c r="I723">
        <f t="shared" si="35"/>
        <v>0</v>
      </c>
      <c r="J723">
        <f>IF(Table1[[#This Row],[Active_months]]&gt;=1, 1, 0)</f>
        <v>0</v>
      </c>
    </row>
    <row r="724" spans="1:10" x14ac:dyDescent="0.3">
      <c r="A724">
        <v>169285280</v>
      </c>
      <c r="B724" s="1">
        <v>44911</v>
      </c>
      <c r="C724" s="1">
        <v>44912</v>
      </c>
      <c r="D724">
        <v>39</v>
      </c>
      <c r="E724" t="s">
        <v>6</v>
      </c>
      <c r="F724" t="s">
        <v>8</v>
      </c>
      <c r="G724" s="1">
        <f t="shared" si="33"/>
        <v>44912</v>
      </c>
      <c r="H724">
        <f t="shared" si="34"/>
        <v>0</v>
      </c>
      <c r="I724">
        <f t="shared" si="35"/>
        <v>0</v>
      </c>
      <c r="J724">
        <f>IF(Table1[[#This Row],[Active_months]]&gt;=1, 1, 0)</f>
        <v>0</v>
      </c>
    </row>
    <row r="725" spans="1:10" x14ac:dyDescent="0.3">
      <c r="A725">
        <v>137315832</v>
      </c>
      <c r="B725" s="1">
        <v>44911</v>
      </c>
      <c r="C725" s="1">
        <v>45008</v>
      </c>
      <c r="D725">
        <v>39</v>
      </c>
      <c r="E725" t="s">
        <v>6</v>
      </c>
      <c r="F725" t="s">
        <v>7</v>
      </c>
      <c r="G725" s="1">
        <f t="shared" si="33"/>
        <v>45008</v>
      </c>
      <c r="H725">
        <f t="shared" si="34"/>
        <v>3</v>
      </c>
      <c r="I725">
        <f t="shared" si="35"/>
        <v>0</v>
      </c>
      <c r="J725">
        <f>IF(Table1[[#This Row],[Active_months]]&gt;=1, 1, 0)</f>
        <v>1</v>
      </c>
    </row>
    <row r="726" spans="1:10" x14ac:dyDescent="0.3">
      <c r="A726">
        <v>171286538</v>
      </c>
      <c r="B726" s="1">
        <v>44911</v>
      </c>
      <c r="C726" s="1">
        <v>45029</v>
      </c>
      <c r="D726">
        <v>39</v>
      </c>
      <c r="E726" t="s">
        <v>6</v>
      </c>
      <c r="F726" t="s">
        <v>7</v>
      </c>
      <c r="G726" s="1">
        <f t="shared" si="33"/>
        <v>45029</v>
      </c>
      <c r="H726">
        <f t="shared" si="34"/>
        <v>4</v>
      </c>
      <c r="I726">
        <f t="shared" si="35"/>
        <v>0</v>
      </c>
      <c r="J726">
        <f>IF(Table1[[#This Row],[Active_months]]&gt;=1, 1, 0)</f>
        <v>1</v>
      </c>
    </row>
    <row r="727" spans="1:10" x14ac:dyDescent="0.3">
      <c r="A727">
        <v>154531106</v>
      </c>
      <c r="B727" s="1">
        <v>44911</v>
      </c>
      <c r="C727" s="1">
        <v>45030</v>
      </c>
      <c r="D727">
        <v>39</v>
      </c>
      <c r="E727" t="s">
        <v>6</v>
      </c>
      <c r="F727" t="s">
        <v>7</v>
      </c>
      <c r="G727" s="1">
        <f t="shared" si="33"/>
        <v>45030</v>
      </c>
      <c r="H727">
        <f t="shared" si="34"/>
        <v>4</v>
      </c>
      <c r="I727">
        <f t="shared" si="35"/>
        <v>0</v>
      </c>
      <c r="J727">
        <f>IF(Table1[[#This Row],[Active_months]]&gt;=1, 1, 0)</f>
        <v>1</v>
      </c>
    </row>
    <row r="728" spans="1:10" x14ac:dyDescent="0.3">
      <c r="A728">
        <v>169998988</v>
      </c>
      <c r="B728" s="1">
        <v>44911</v>
      </c>
      <c r="C728" s="1">
        <v>45063</v>
      </c>
      <c r="D728">
        <v>39</v>
      </c>
      <c r="E728" t="s">
        <v>6</v>
      </c>
      <c r="F728" t="s">
        <v>7</v>
      </c>
      <c r="G728" s="1">
        <f t="shared" si="33"/>
        <v>45063</v>
      </c>
      <c r="H728">
        <f t="shared" si="34"/>
        <v>5</v>
      </c>
      <c r="I728">
        <f t="shared" si="35"/>
        <v>1</v>
      </c>
      <c r="J728">
        <f>IF(Table1[[#This Row],[Active_months]]&gt;=1, 1, 0)</f>
        <v>1</v>
      </c>
    </row>
    <row r="729" spans="1:10" x14ac:dyDescent="0.3">
      <c r="A729">
        <v>171860036</v>
      </c>
      <c r="B729" s="1">
        <v>44911</v>
      </c>
      <c r="C729" s="1">
        <v>45003</v>
      </c>
      <c r="D729">
        <v>39</v>
      </c>
      <c r="E729" t="s">
        <v>6</v>
      </c>
      <c r="F729" t="s">
        <v>7</v>
      </c>
      <c r="G729" s="1">
        <f t="shared" si="33"/>
        <v>45003</v>
      </c>
      <c r="H729">
        <f t="shared" si="34"/>
        <v>3</v>
      </c>
      <c r="I729">
        <f t="shared" si="35"/>
        <v>0</v>
      </c>
      <c r="J729">
        <f>IF(Table1[[#This Row],[Active_months]]&gt;=1, 1, 0)</f>
        <v>1</v>
      </c>
    </row>
    <row r="730" spans="1:10" x14ac:dyDescent="0.3">
      <c r="A730">
        <v>169906376</v>
      </c>
      <c r="B730" s="1">
        <v>44911</v>
      </c>
      <c r="C730" s="1">
        <v>44970</v>
      </c>
      <c r="D730">
        <v>39</v>
      </c>
      <c r="E730" t="s">
        <v>6</v>
      </c>
      <c r="F730" t="s">
        <v>7</v>
      </c>
      <c r="G730" s="1">
        <f t="shared" si="33"/>
        <v>44970</v>
      </c>
      <c r="H730">
        <f t="shared" si="34"/>
        <v>2</v>
      </c>
      <c r="I730">
        <f t="shared" si="35"/>
        <v>0</v>
      </c>
      <c r="J730">
        <f>IF(Table1[[#This Row],[Active_months]]&gt;=1, 1, 0)</f>
        <v>1</v>
      </c>
    </row>
    <row r="731" spans="1:10" x14ac:dyDescent="0.3">
      <c r="A731">
        <v>171681744</v>
      </c>
      <c r="B731" s="1">
        <v>44911</v>
      </c>
      <c r="C731" s="1">
        <v>44979</v>
      </c>
      <c r="D731">
        <v>39</v>
      </c>
      <c r="E731" t="s">
        <v>6</v>
      </c>
      <c r="F731" t="s">
        <v>7</v>
      </c>
      <c r="G731" s="1">
        <f t="shared" si="33"/>
        <v>44979</v>
      </c>
      <c r="H731">
        <f t="shared" si="34"/>
        <v>2</v>
      </c>
      <c r="I731">
        <f t="shared" si="35"/>
        <v>0</v>
      </c>
      <c r="J731">
        <f>IF(Table1[[#This Row],[Active_months]]&gt;=1, 1, 0)</f>
        <v>1</v>
      </c>
    </row>
    <row r="732" spans="1:10" x14ac:dyDescent="0.3">
      <c r="A732">
        <v>171375108</v>
      </c>
      <c r="B732" s="1">
        <v>44911</v>
      </c>
      <c r="C732" s="1">
        <v>44942</v>
      </c>
      <c r="D732">
        <v>39</v>
      </c>
      <c r="E732" t="s">
        <v>6</v>
      </c>
      <c r="F732" t="s">
        <v>7</v>
      </c>
      <c r="G732" s="1">
        <f t="shared" si="33"/>
        <v>44942</v>
      </c>
      <c r="H732">
        <f t="shared" si="34"/>
        <v>1</v>
      </c>
      <c r="I732">
        <f t="shared" si="35"/>
        <v>0</v>
      </c>
      <c r="J732">
        <f>IF(Table1[[#This Row],[Active_months]]&gt;=1, 1, 0)</f>
        <v>1</v>
      </c>
    </row>
    <row r="733" spans="1:10" x14ac:dyDescent="0.3">
      <c r="A733">
        <v>166358674</v>
      </c>
      <c r="B733" s="1">
        <v>44911</v>
      </c>
      <c r="C733" s="1">
        <v>44949</v>
      </c>
      <c r="D733">
        <v>39</v>
      </c>
      <c r="E733" t="s">
        <v>6</v>
      </c>
      <c r="F733" t="s">
        <v>7</v>
      </c>
      <c r="G733" s="1">
        <f t="shared" si="33"/>
        <v>44949</v>
      </c>
      <c r="H733">
        <f t="shared" si="34"/>
        <v>1</v>
      </c>
      <c r="I733">
        <f t="shared" si="35"/>
        <v>0</v>
      </c>
      <c r="J733">
        <f>IF(Table1[[#This Row],[Active_months]]&gt;=1, 1, 0)</f>
        <v>1</v>
      </c>
    </row>
    <row r="734" spans="1:10" x14ac:dyDescent="0.3">
      <c r="A734">
        <v>168696864</v>
      </c>
      <c r="B734" s="1">
        <v>44912</v>
      </c>
      <c r="C734" s="1">
        <v>44913</v>
      </c>
      <c r="D734">
        <v>39</v>
      </c>
      <c r="E734" t="s">
        <v>6</v>
      </c>
      <c r="F734" t="s">
        <v>7</v>
      </c>
      <c r="G734" s="1">
        <f t="shared" si="33"/>
        <v>44913</v>
      </c>
      <c r="H734">
        <f t="shared" si="34"/>
        <v>0</v>
      </c>
      <c r="I734">
        <f t="shared" si="35"/>
        <v>0</v>
      </c>
      <c r="J734">
        <f>IF(Table1[[#This Row],[Active_months]]&gt;=1, 1, 0)</f>
        <v>0</v>
      </c>
    </row>
    <row r="735" spans="1:10" x14ac:dyDescent="0.3">
      <c r="A735">
        <v>149303812</v>
      </c>
      <c r="B735" s="1">
        <v>44912</v>
      </c>
      <c r="C735" s="1">
        <v>44977</v>
      </c>
      <c r="D735">
        <v>39</v>
      </c>
      <c r="E735" t="s">
        <v>6</v>
      </c>
      <c r="F735" t="s">
        <v>7</v>
      </c>
      <c r="G735" s="1">
        <f t="shared" si="33"/>
        <v>44977</v>
      </c>
      <c r="H735">
        <f t="shared" si="34"/>
        <v>2</v>
      </c>
      <c r="I735">
        <f t="shared" si="35"/>
        <v>0</v>
      </c>
      <c r="J735">
        <f>IF(Table1[[#This Row],[Active_months]]&gt;=1, 1, 0)</f>
        <v>1</v>
      </c>
    </row>
    <row r="736" spans="1:10" x14ac:dyDescent="0.3">
      <c r="A736">
        <v>145969392</v>
      </c>
      <c r="B736" s="1">
        <v>44912</v>
      </c>
      <c r="C736" s="1">
        <v>44958</v>
      </c>
      <c r="D736">
        <v>39</v>
      </c>
      <c r="E736" t="s">
        <v>6</v>
      </c>
      <c r="F736" t="s">
        <v>7</v>
      </c>
      <c r="G736" s="1">
        <f t="shared" si="33"/>
        <v>44958</v>
      </c>
      <c r="H736">
        <f t="shared" si="34"/>
        <v>2</v>
      </c>
      <c r="I736">
        <f t="shared" si="35"/>
        <v>0</v>
      </c>
      <c r="J736">
        <f>IF(Table1[[#This Row],[Active_months]]&gt;=1, 1, 0)</f>
        <v>1</v>
      </c>
    </row>
    <row r="737" spans="1:10" x14ac:dyDescent="0.3">
      <c r="A737">
        <v>169399624</v>
      </c>
      <c r="B737" s="1">
        <v>44912</v>
      </c>
      <c r="C737" s="1">
        <v>44967</v>
      </c>
      <c r="D737">
        <v>39</v>
      </c>
      <c r="E737" t="s">
        <v>6</v>
      </c>
      <c r="F737" t="s">
        <v>7</v>
      </c>
      <c r="G737" s="1">
        <f t="shared" si="33"/>
        <v>44967</v>
      </c>
      <c r="H737">
        <f t="shared" si="34"/>
        <v>2</v>
      </c>
      <c r="I737">
        <f t="shared" si="35"/>
        <v>0</v>
      </c>
      <c r="J737">
        <f>IF(Table1[[#This Row],[Active_months]]&gt;=1, 1, 0)</f>
        <v>1</v>
      </c>
    </row>
    <row r="738" spans="1:10" x14ac:dyDescent="0.3">
      <c r="A738">
        <v>162423643</v>
      </c>
      <c r="B738" s="1">
        <v>44912</v>
      </c>
      <c r="C738" s="1">
        <v>44912</v>
      </c>
      <c r="D738">
        <v>39</v>
      </c>
      <c r="E738" t="s">
        <v>6</v>
      </c>
      <c r="F738" t="s">
        <v>7</v>
      </c>
      <c r="G738" s="1">
        <f t="shared" si="33"/>
        <v>44912</v>
      </c>
      <c r="H738">
        <f t="shared" si="34"/>
        <v>0</v>
      </c>
      <c r="I738">
        <f t="shared" si="35"/>
        <v>0</v>
      </c>
      <c r="J738">
        <f>IF(Table1[[#This Row],[Active_months]]&gt;=1, 1, 0)</f>
        <v>0</v>
      </c>
    </row>
    <row r="739" spans="1:10" x14ac:dyDescent="0.3">
      <c r="A739">
        <v>171131528</v>
      </c>
      <c r="B739" s="1">
        <v>44913</v>
      </c>
      <c r="D739">
        <v>39</v>
      </c>
      <c r="E739" t="s">
        <v>6</v>
      </c>
      <c r="F739" t="s">
        <v>7</v>
      </c>
      <c r="G739" s="1">
        <f t="shared" si="33"/>
        <v>45199</v>
      </c>
      <c r="H739">
        <f t="shared" si="34"/>
        <v>9</v>
      </c>
      <c r="I739">
        <f t="shared" si="35"/>
        <v>1</v>
      </c>
      <c r="J739">
        <f>IF(Table1[[#This Row],[Active_months]]&gt;=1, 1, 0)</f>
        <v>1</v>
      </c>
    </row>
    <row r="740" spans="1:10" x14ac:dyDescent="0.3">
      <c r="A740">
        <v>172370430</v>
      </c>
      <c r="B740" s="1">
        <v>44913</v>
      </c>
      <c r="C740" s="1">
        <v>44914</v>
      </c>
      <c r="D740">
        <v>39</v>
      </c>
      <c r="E740" t="s">
        <v>6</v>
      </c>
      <c r="F740" t="s">
        <v>8</v>
      </c>
      <c r="G740" s="1">
        <f t="shared" si="33"/>
        <v>44914</v>
      </c>
      <c r="H740">
        <f t="shared" si="34"/>
        <v>0</v>
      </c>
      <c r="I740">
        <f t="shared" si="35"/>
        <v>0</v>
      </c>
      <c r="J740">
        <f>IF(Table1[[#This Row],[Active_months]]&gt;=1, 1, 0)</f>
        <v>0</v>
      </c>
    </row>
    <row r="741" spans="1:10" x14ac:dyDescent="0.3">
      <c r="A741">
        <v>122646091</v>
      </c>
      <c r="B741" s="1">
        <v>44913</v>
      </c>
      <c r="C741" s="1">
        <v>45006</v>
      </c>
      <c r="D741">
        <v>39</v>
      </c>
      <c r="E741" t="s">
        <v>6</v>
      </c>
      <c r="F741" t="s">
        <v>7</v>
      </c>
      <c r="G741" s="1">
        <f t="shared" si="33"/>
        <v>45006</v>
      </c>
      <c r="H741">
        <f t="shared" si="34"/>
        <v>3</v>
      </c>
      <c r="I741">
        <f t="shared" si="35"/>
        <v>0</v>
      </c>
      <c r="J741">
        <f>IF(Table1[[#This Row],[Active_months]]&gt;=1, 1, 0)</f>
        <v>1</v>
      </c>
    </row>
    <row r="742" spans="1:10" x14ac:dyDescent="0.3">
      <c r="A742">
        <v>171688728</v>
      </c>
      <c r="B742" s="1">
        <v>44913</v>
      </c>
      <c r="C742" s="1">
        <v>44939</v>
      </c>
      <c r="D742">
        <v>39</v>
      </c>
      <c r="E742" t="s">
        <v>6</v>
      </c>
      <c r="F742" t="s">
        <v>7</v>
      </c>
      <c r="G742" s="1">
        <f t="shared" si="33"/>
        <v>44939</v>
      </c>
      <c r="H742">
        <f t="shared" si="34"/>
        <v>1</v>
      </c>
      <c r="I742">
        <f t="shared" si="35"/>
        <v>0</v>
      </c>
      <c r="J742">
        <f>IF(Table1[[#This Row],[Active_months]]&gt;=1, 1, 0)</f>
        <v>1</v>
      </c>
    </row>
    <row r="743" spans="1:10" x14ac:dyDescent="0.3">
      <c r="A743">
        <v>173037778</v>
      </c>
      <c r="B743" s="1">
        <v>44913</v>
      </c>
      <c r="C743" s="1">
        <v>44953</v>
      </c>
      <c r="D743">
        <v>39</v>
      </c>
      <c r="E743" t="s">
        <v>6</v>
      </c>
      <c r="F743" t="s">
        <v>7</v>
      </c>
      <c r="G743" s="1">
        <f t="shared" si="33"/>
        <v>44953</v>
      </c>
      <c r="H743">
        <f t="shared" si="34"/>
        <v>1</v>
      </c>
      <c r="I743">
        <f t="shared" si="35"/>
        <v>0</v>
      </c>
      <c r="J743">
        <f>IF(Table1[[#This Row],[Active_months]]&gt;=1, 1, 0)</f>
        <v>1</v>
      </c>
    </row>
    <row r="744" spans="1:10" x14ac:dyDescent="0.3">
      <c r="A744">
        <v>139247241</v>
      </c>
      <c r="B744" s="1">
        <v>44913</v>
      </c>
      <c r="C744" s="1">
        <v>44933</v>
      </c>
      <c r="D744">
        <v>39</v>
      </c>
      <c r="E744" t="s">
        <v>6</v>
      </c>
      <c r="F744" t="s">
        <v>7</v>
      </c>
      <c r="G744" s="1">
        <f t="shared" si="33"/>
        <v>44933</v>
      </c>
      <c r="H744">
        <f t="shared" si="34"/>
        <v>1</v>
      </c>
      <c r="I744">
        <f t="shared" si="35"/>
        <v>0</v>
      </c>
      <c r="J744">
        <f>IF(Table1[[#This Row],[Active_months]]&gt;=1, 1, 0)</f>
        <v>1</v>
      </c>
    </row>
    <row r="745" spans="1:10" x14ac:dyDescent="0.3">
      <c r="A745">
        <v>138235674</v>
      </c>
      <c r="B745" s="1">
        <v>44914</v>
      </c>
      <c r="D745">
        <v>39</v>
      </c>
      <c r="E745" t="s">
        <v>6</v>
      </c>
      <c r="F745" t="s">
        <v>7</v>
      </c>
      <c r="G745" s="1">
        <f t="shared" si="33"/>
        <v>45199</v>
      </c>
      <c r="H745">
        <f t="shared" si="34"/>
        <v>9</v>
      </c>
      <c r="I745">
        <f t="shared" si="35"/>
        <v>1</v>
      </c>
      <c r="J745">
        <f>IF(Table1[[#This Row],[Active_months]]&gt;=1, 1, 0)</f>
        <v>1</v>
      </c>
    </row>
    <row r="746" spans="1:10" x14ac:dyDescent="0.3">
      <c r="A746">
        <v>173832314</v>
      </c>
      <c r="B746" s="1">
        <v>44914</v>
      </c>
      <c r="C746" s="1">
        <v>44983</v>
      </c>
      <c r="D746">
        <v>39</v>
      </c>
      <c r="E746" t="s">
        <v>6</v>
      </c>
      <c r="F746" t="s">
        <v>7</v>
      </c>
      <c r="G746" s="1">
        <f t="shared" si="33"/>
        <v>44983</v>
      </c>
      <c r="H746">
        <f t="shared" si="34"/>
        <v>2</v>
      </c>
      <c r="I746">
        <f t="shared" si="35"/>
        <v>0</v>
      </c>
      <c r="J746">
        <f>IF(Table1[[#This Row],[Active_months]]&gt;=1, 1, 0)</f>
        <v>1</v>
      </c>
    </row>
    <row r="747" spans="1:10" x14ac:dyDescent="0.3">
      <c r="A747">
        <v>170752898</v>
      </c>
      <c r="B747" s="1">
        <v>44914</v>
      </c>
      <c r="C747" s="1">
        <v>44980</v>
      </c>
      <c r="D747">
        <v>39</v>
      </c>
      <c r="E747" t="s">
        <v>6</v>
      </c>
      <c r="F747" t="s">
        <v>7</v>
      </c>
      <c r="G747" s="1">
        <f t="shared" si="33"/>
        <v>44980</v>
      </c>
      <c r="H747">
        <f t="shared" si="34"/>
        <v>2</v>
      </c>
      <c r="I747">
        <f t="shared" si="35"/>
        <v>0</v>
      </c>
      <c r="J747">
        <f>IF(Table1[[#This Row],[Active_months]]&gt;=1, 1, 0)</f>
        <v>1</v>
      </c>
    </row>
    <row r="748" spans="1:10" x14ac:dyDescent="0.3">
      <c r="A748">
        <v>172517999</v>
      </c>
      <c r="B748" s="1">
        <v>44914</v>
      </c>
      <c r="C748" s="1">
        <v>44952</v>
      </c>
      <c r="D748">
        <v>39</v>
      </c>
      <c r="E748" t="s">
        <v>6</v>
      </c>
      <c r="F748" t="s">
        <v>7</v>
      </c>
      <c r="G748" s="1">
        <f t="shared" si="33"/>
        <v>44952</v>
      </c>
      <c r="H748">
        <f t="shared" si="34"/>
        <v>1</v>
      </c>
      <c r="I748">
        <f t="shared" si="35"/>
        <v>0</v>
      </c>
      <c r="J748">
        <f>IF(Table1[[#This Row],[Active_months]]&gt;=1, 1, 0)</f>
        <v>1</v>
      </c>
    </row>
    <row r="749" spans="1:10" x14ac:dyDescent="0.3">
      <c r="A749">
        <v>150779000</v>
      </c>
      <c r="B749" s="1">
        <v>44914</v>
      </c>
      <c r="C749" s="1">
        <v>44928</v>
      </c>
      <c r="D749">
        <v>39</v>
      </c>
      <c r="E749" t="s">
        <v>6</v>
      </c>
      <c r="F749" t="s">
        <v>7</v>
      </c>
      <c r="G749" s="1">
        <f t="shared" si="33"/>
        <v>44928</v>
      </c>
      <c r="H749">
        <f t="shared" si="34"/>
        <v>1</v>
      </c>
      <c r="I749">
        <f t="shared" si="35"/>
        <v>0</v>
      </c>
      <c r="J749">
        <f>IF(Table1[[#This Row],[Active_months]]&gt;=1, 1, 0)</f>
        <v>1</v>
      </c>
    </row>
    <row r="750" spans="1:10" x14ac:dyDescent="0.3">
      <c r="A750">
        <v>171304646</v>
      </c>
      <c r="B750" s="1">
        <v>44914</v>
      </c>
      <c r="C750" s="1">
        <v>45164</v>
      </c>
      <c r="D750">
        <v>39</v>
      </c>
      <c r="E750" t="s">
        <v>6</v>
      </c>
      <c r="F750" t="s">
        <v>7</v>
      </c>
      <c r="G750" s="1">
        <f t="shared" si="33"/>
        <v>45164</v>
      </c>
      <c r="H750">
        <f t="shared" si="34"/>
        <v>8</v>
      </c>
      <c r="I750">
        <f t="shared" si="35"/>
        <v>1</v>
      </c>
      <c r="J750">
        <f>IF(Table1[[#This Row],[Active_months]]&gt;=1, 1, 0)</f>
        <v>1</v>
      </c>
    </row>
    <row r="751" spans="1:10" x14ac:dyDescent="0.3">
      <c r="A751">
        <v>168696864</v>
      </c>
      <c r="B751" s="1">
        <v>44915</v>
      </c>
      <c r="D751">
        <v>39</v>
      </c>
      <c r="E751" t="s">
        <v>6</v>
      </c>
      <c r="F751" t="s">
        <v>7</v>
      </c>
      <c r="G751" s="1">
        <f t="shared" si="33"/>
        <v>45199</v>
      </c>
      <c r="H751">
        <f t="shared" si="34"/>
        <v>9</v>
      </c>
      <c r="I751">
        <f t="shared" si="35"/>
        <v>1</v>
      </c>
      <c r="J751">
        <f>IF(Table1[[#This Row],[Active_months]]&gt;=1, 1, 0)</f>
        <v>1</v>
      </c>
    </row>
    <row r="752" spans="1:10" x14ac:dyDescent="0.3">
      <c r="A752">
        <v>174268714</v>
      </c>
      <c r="B752" s="1">
        <v>44915</v>
      </c>
      <c r="D752">
        <v>39</v>
      </c>
      <c r="E752" t="s">
        <v>6</v>
      </c>
      <c r="F752" t="s">
        <v>7</v>
      </c>
      <c r="G752" s="1">
        <f t="shared" si="33"/>
        <v>45199</v>
      </c>
      <c r="H752">
        <f t="shared" si="34"/>
        <v>9</v>
      </c>
      <c r="I752">
        <f t="shared" si="35"/>
        <v>1</v>
      </c>
      <c r="J752">
        <f>IF(Table1[[#This Row],[Active_months]]&gt;=1, 1, 0)</f>
        <v>1</v>
      </c>
    </row>
    <row r="753" spans="1:10" x14ac:dyDescent="0.3">
      <c r="A753">
        <v>147022677</v>
      </c>
      <c r="B753" s="1">
        <v>44915</v>
      </c>
      <c r="D753">
        <v>39</v>
      </c>
      <c r="E753" t="s">
        <v>6</v>
      </c>
      <c r="F753" t="s">
        <v>7</v>
      </c>
      <c r="G753" s="1">
        <f t="shared" si="33"/>
        <v>45199</v>
      </c>
      <c r="H753">
        <f t="shared" si="34"/>
        <v>9</v>
      </c>
      <c r="I753">
        <f t="shared" si="35"/>
        <v>1</v>
      </c>
      <c r="J753">
        <f>IF(Table1[[#This Row],[Active_months]]&gt;=1, 1, 0)</f>
        <v>1</v>
      </c>
    </row>
    <row r="754" spans="1:10" x14ac:dyDescent="0.3">
      <c r="A754">
        <v>156864062</v>
      </c>
      <c r="B754" s="1">
        <v>44915</v>
      </c>
      <c r="C754" s="1">
        <v>44916</v>
      </c>
      <c r="D754">
        <v>39</v>
      </c>
      <c r="E754" t="s">
        <v>6</v>
      </c>
      <c r="F754" t="s">
        <v>8</v>
      </c>
      <c r="G754" s="1">
        <f t="shared" si="33"/>
        <v>44916</v>
      </c>
      <c r="H754">
        <f t="shared" si="34"/>
        <v>0</v>
      </c>
      <c r="I754">
        <f t="shared" si="35"/>
        <v>0</v>
      </c>
      <c r="J754">
        <f>IF(Table1[[#This Row],[Active_months]]&gt;=1, 1, 0)</f>
        <v>0</v>
      </c>
    </row>
    <row r="755" spans="1:10" x14ac:dyDescent="0.3">
      <c r="A755">
        <v>123065349</v>
      </c>
      <c r="B755" s="1">
        <v>44915</v>
      </c>
      <c r="C755" s="1">
        <v>45012</v>
      </c>
      <c r="D755">
        <v>39</v>
      </c>
      <c r="E755" t="s">
        <v>6</v>
      </c>
      <c r="F755" t="s">
        <v>7</v>
      </c>
      <c r="G755" s="1">
        <f t="shared" si="33"/>
        <v>45012</v>
      </c>
      <c r="H755">
        <f t="shared" si="34"/>
        <v>3</v>
      </c>
      <c r="I755">
        <f t="shared" si="35"/>
        <v>0</v>
      </c>
      <c r="J755">
        <f>IF(Table1[[#This Row],[Active_months]]&gt;=1, 1, 0)</f>
        <v>1</v>
      </c>
    </row>
    <row r="756" spans="1:10" x14ac:dyDescent="0.3">
      <c r="A756">
        <v>174258180</v>
      </c>
      <c r="B756" s="1">
        <v>44915</v>
      </c>
      <c r="C756" s="1">
        <v>45045</v>
      </c>
      <c r="D756">
        <v>39</v>
      </c>
      <c r="E756" t="s">
        <v>6</v>
      </c>
      <c r="F756" t="s">
        <v>7</v>
      </c>
      <c r="G756" s="1">
        <f t="shared" si="33"/>
        <v>45045</v>
      </c>
      <c r="H756">
        <f t="shared" si="34"/>
        <v>4</v>
      </c>
      <c r="I756">
        <f t="shared" si="35"/>
        <v>0</v>
      </c>
      <c r="J756">
        <f>IF(Table1[[#This Row],[Active_months]]&gt;=1, 1, 0)</f>
        <v>1</v>
      </c>
    </row>
    <row r="757" spans="1:10" x14ac:dyDescent="0.3">
      <c r="A757">
        <v>174269667</v>
      </c>
      <c r="B757" s="1">
        <v>44915</v>
      </c>
      <c r="C757" s="1">
        <v>44988</v>
      </c>
      <c r="D757">
        <v>39</v>
      </c>
      <c r="E757" t="s">
        <v>6</v>
      </c>
      <c r="F757" t="s">
        <v>7</v>
      </c>
      <c r="G757" s="1">
        <f t="shared" si="33"/>
        <v>44988</v>
      </c>
      <c r="H757">
        <f t="shared" si="34"/>
        <v>3</v>
      </c>
      <c r="I757">
        <f t="shared" si="35"/>
        <v>0</v>
      </c>
      <c r="J757">
        <f>IF(Table1[[#This Row],[Active_months]]&gt;=1, 1, 0)</f>
        <v>1</v>
      </c>
    </row>
    <row r="758" spans="1:10" x14ac:dyDescent="0.3">
      <c r="A758">
        <v>171889946</v>
      </c>
      <c r="B758" s="1">
        <v>44915</v>
      </c>
      <c r="C758" s="1">
        <v>44967</v>
      </c>
      <c r="D758">
        <v>39</v>
      </c>
      <c r="E758" t="s">
        <v>6</v>
      </c>
      <c r="F758" t="s">
        <v>7</v>
      </c>
      <c r="G758" s="1">
        <f t="shared" si="33"/>
        <v>44967</v>
      </c>
      <c r="H758">
        <f t="shared" si="34"/>
        <v>2</v>
      </c>
      <c r="I758">
        <f t="shared" si="35"/>
        <v>0</v>
      </c>
      <c r="J758">
        <f>IF(Table1[[#This Row],[Active_months]]&gt;=1, 1, 0)</f>
        <v>1</v>
      </c>
    </row>
    <row r="759" spans="1:10" x14ac:dyDescent="0.3">
      <c r="A759">
        <v>171613468</v>
      </c>
      <c r="B759" s="1">
        <v>44915</v>
      </c>
      <c r="C759" s="1">
        <v>44979</v>
      </c>
      <c r="D759">
        <v>39</v>
      </c>
      <c r="E759" t="s">
        <v>6</v>
      </c>
      <c r="F759" t="s">
        <v>7</v>
      </c>
      <c r="G759" s="1">
        <f t="shared" si="33"/>
        <v>44979</v>
      </c>
      <c r="H759">
        <f t="shared" si="34"/>
        <v>2</v>
      </c>
      <c r="I759">
        <f t="shared" si="35"/>
        <v>0</v>
      </c>
      <c r="J759">
        <f>IF(Table1[[#This Row],[Active_months]]&gt;=1, 1, 0)</f>
        <v>1</v>
      </c>
    </row>
    <row r="760" spans="1:10" x14ac:dyDescent="0.3">
      <c r="A760">
        <v>122922737</v>
      </c>
      <c r="B760" s="1">
        <v>44916</v>
      </c>
      <c r="D760">
        <v>39</v>
      </c>
      <c r="E760" t="s">
        <v>6</v>
      </c>
      <c r="F760" t="s">
        <v>7</v>
      </c>
      <c r="G760" s="1">
        <f t="shared" si="33"/>
        <v>45199</v>
      </c>
      <c r="H760">
        <f t="shared" si="34"/>
        <v>9</v>
      </c>
      <c r="I760">
        <f t="shared" si="35"/>
        <v>1</v>
      </c>
      <c r="J760">
        <f>IF(Table1[[#This Row],[Active_months]]&gt;=1, 1, 0)</f>
        <v>1</v>
      </c>
    </row>
    <row r="761" spans="1:10" x14ac:dyDescent="0.3">
      <c r="A761">
        <v>174646924</v>
      </c>
      <c r="B761" s="1">
        <v>44916</v>
      </c>
      <c r="C761" s="1">
        <v>45013</v>
      </c>
      <c r="D761">
        <v>39</v>
      </c>
      <c r="E761" t="s">
        <v>6</v>
      </c>
      <c r="F761" t="s">
        <v>7</v>
      </c>
      <c r="G761" s="1">
        <f t="shared" si="33"/>
        <v>45013</v>
      </c>
      <c r="H761">
        <f t="shared" si="34"/>
        <v>3</v>
      </c>
      <c r="I761">
        <f t="shared" si="35"/>
        <v>0</v>
      </c>
      <c r="J761">
        <f>IF(Table1[[#This Row],[Active_months]]&gt;=1, 1, 0)</f>
        <v>1</v>
      </c>
    </row>
    <row r="762" spans="1:10" x14ac:dyDescent="0.3">
      <c r="A762">
        <v>174264280</v>
      </c>
      <c r="B762" s="1">
        <v>44916</v>
      </c>
      <c r="C762" s="1">
        <v>45013</v>
      </c>
      <c r="D762">
        <v>39</v>
      </c>
      <c r="E762" t="s">
        <v>6</v>
      </c>
      <c r="F762" t="s">
        <v>7</v>
      </c>
      <c r="G762" s="1">
        <f t="shared" si="33"/>
        <v>45013</v>
      </c>
      <c r="H762">
        <f t="shared" si="34"/>
        <v>3</v>
      </c>
      <c r="I762">
        <f t="shared" si="35"/>
        <v>0</v>
      </c>
      <c r="J762">
        <f>IF(Table1[[#This Row],[Active_months]]&gt;=1, 1, 0)</f>
        <v>1</v>
      </c>
    </row>
    <row r="763" spans="1:10" x14ac:dyDescent="0.3">
      <c r="A763">
        <v>174609120</v>
      </c>
      <c r="B763" s="1">
        <v>44916</v>
      </c>
      <c r="C763" s="1">
        <v>45003</v>
      </c>
      <c r="D763">
        <v>39</v>
      </c>
      <c r="E763" t="s">
        <v>6</v>
      </c>
      <c r="F763" t="s">
        <v>7</v>
      </c>
      <c r="G763" s="1">
        <f t="shared" si="33"/>
        <v>45003</v>
      </c>
      <c r="H763">
        <f t="shared" si="34"/>
        <v>3</v>
      </c>
      <c r="I763">
        <f t="shared" si="35"/>
        <v>0</v>
      </c>
      <c r="J763">
        <f>IF(Table1[[#This Row],[Active_months]]&gt;=1, 1, 0)</f>
        <v>1</v>
      </c>
    </row>
    <row r="764" spans="1:10" x14ac:dyDescent="0.3">
      <c r="A764">
        <v>174158995</v>
      </c>
      <c r="B764" s="1">
        <v>44916</v>
      </c>
      <c r="C764" s="1">
        <v>44982</v>
      </c>
      <c r="D764">
        <v>39</v>
      </c>
      <c r="E764" t="s">
        <v>6</v>
      </c>
      <c r="F764" t="s">
        <v>7</v>
      </c>
      <c r="G764" s="1">
        <f t="shared" si="33"/>
        <v>44982</v>
      </c>
      <c r="H764">
        <f t="shared" si="34"/>
        <v>2</v>
      </c>
      <c r="I764">
        <f t="shared" si="35"/>
        <v>0</v>
      </c>
      <c r="J764">
        <f>IF(Table1[[#This Row],[Active_months]]&gt;=1, 1, 0)</f>
        <v>1</v>
      </c>
    </row>
    <row r="765" spans="1:10" x14ac:dyDescent="0.3">
      <c r="A765">
        <v>174484311</v>
      </c>
      <c r="B765" s="1">
        <v>44916</v>
      </c>
      <c r="C765" s="1">
        <v>44982</v>
      </c>
      <c r="D765">
        <v>39</v>
      </c>
      <c r="E765" t="s">
        <v>6</v>
      </c>
      <c r="F765" t="s">
        <v>7</v>
      </c>
      <c r="G765" s="1">
        <f t="shared" si="33"/>
        <v>44982</v>
      </c>
      <c r="H765">
        <f t="shared" si="34"/>
        <v>2</v>
      </c>
      <c r="I765">
        <f t="shared" si="35"/>
        <v>0</v>
      </c>
      <c r="J765">
        <f>IF(Table1[[#This Row],[Active_months]]&gt;=1, 1, 0)</f>
        <v>1</v>
      </c>
    </row>
    <row r="766" spans="1:10" x14ac:dyDescent="0.3">
      <c r="A766">
        <v>169556175</v>
      </c>
      <c r="B766" s="1">
        <v>44916</v>
      </c>
      <c r="C766" s="1">
        <v>44948</v>
      </c>
      <c r="D766">
        <v>39</v>
      </c>
      <c r="E766" t="s">
        <v>6</v>
      </c>
      <c r="F766" t="s">
        <v>7</v>
      </c>
      <c r="G766" s="1">
        <f t="shared" si="33"/>
        <v>44948</v>
      </c>
      <c r="H766">
        <f t="shared" si="34"/>
        <v>1</v>
      </c>
      <c r="I766">
        <f t="shared" si="35"/>
        <v>0</v>
      </c>
      <c r="J766">
        <f>IF(Table1[[#This Row],[Active_months]]&gt;=1, 1, 0)</f>
        <v>1</v>
      </c>
    </row>
    <row r="767" spans="1:10" x14ac:dyDescent="0.3">
      <c r="A767">
        <v>153122282</v>
      </c>
      <c r="B767" s="1">
        <v>44916</v>
      </c>
      <c r="C767" s="1">
        <v>44916</v>
      </c>
      <c r="D767">
        <v>39</v>
      </c>
      <c r="E767" t="s">
        <v>6</v>
      </c>
      <c r="F767" t="s">
        <v>7</v>
      </c>
      <c r="G767" s="1">
        <f t="shared" si="33"/>
        <v>44916</v>
      </c>
      <c r="H767">
        <f t="shared" si="34"/>
        <v>0</v>
      </c>
      <c r="I767">
        <f t="shared" si="35"/>
        <v>0</v>
      </c>
      <c r="J767">
        <f>IF(Table1[[#This Row],[Active_months]]&gt;=1, 1, 0)</f>
        <v>0</v>
      </c>
    </row>
    <row r="768" spans="1:10" x14ac:dyDescent="0.3">
      <c r="A768">
        <v>174576654</v>
      </c>
      <c r="B768" s="1">
        <v>44916</v>
      </c>
      <c r="C768" s="1">
        <v>45114</v>
      </c>
      <c r="D768">
        <v>39</v>
      </c>
      <c r="E768" t="s">
        <v>6</v>
      </c>
      <c r="F768" t="s">
        <v>7</v>
      </c>
      <c r="G768" s="1">
        <f t="shared" si="33"/>
        <v>45114</v>
      </c>
      <c r="H768">
        <f t="shared" si="34"/>
        <v>7</v>
      </c>
      <c r="I768">
        <f t="shared" si="35"/>
        <v>1</v>
      </c>
      <c r="J768">
        <f>IF(Table1[[#This Row],[Active_months]]&gt;=1, 1, 0)</f>
        <v>1</v>
      </c>
    </row>
    <row r="769" spans="1:10" x14ac:dyDescent="0.3">
      <c r="A769">
        <v>154711077</v>
      </c>
      <c r="B769" s="1">
        <v>44917</v>
      </c>
      <c r="D769">
        <v>39</v>
      </c>
      <c r="E769" t="s">
        <v>6</v>
      </c>
      <c r="F769" t="s">
        <v>7</v>
      </c>
      <c r="G769" s="1">
        <f t="shared" si="33"/>
        <v>45199</v>
      </c>
      <c r="H769">
        <f t="shared" si="34"/>
        <v>9</v>
      </c>
      <c r="I769">
        <f t="shared" si="35"/>
        <v>1</v>
      </c>
      <c r="J769">
        <f>IF(Table1[[#This Row],[Active_months]]&gt;=1, 1, 0)</f>
        <v>1</v>
      </c>
    </row>
    <row r="770" spans="1:10" x14ac:dyDescent="0.3">
      <c r="A770">
        <v>163619032</v>
      </c>
      <c r="B770" s="1">
        <v>44917</v>
      </c>
      <c r="D770">
        <v>39</v>
      </c>
      <c r="E770" t="s">
        <v>6</v>
      </c>
      <c r="F770" t="s">
        <v>7</v>
      </c>
      <c r="G770" s="1">
        <f t="shared" si="33"/>
        <v>45199</v>
      </c>
      <c r="H770">
        <f t="shared" si="34"/>
        <v>9</v>
      </c>
      <c r="I770">
        <f t="shared" si="35"/>
        <v>1</v>
      </c>
      <c r="J770">
        <f>IF(Table1[[#This Row],[Active_months]]&gt;=1, 1, 0)</f>
        <v>1</v>
      </c>
    </row>
    <row r="771" spans="1:10" x14ac:dyDescent="0.3">
      <c r="A771">
        <v>171001864</v>
      </c>
      <c r="B771" s="1">
        <v>44917</v>
      </c>
      <c r="D771">
        <v>39</v>
      </c>
      <c r="E771" t="s">
        <v>6</v>
      </c>
      <c r="F771" t="s">
        <v>7</v>
      </c>
      <c r="G771" s="1">
        <f t="shared" ref="G771:G834" si="36">IF(ISBLANK(C771), DATE(2023,9,30), C771)</f>
        <v>45199</v>
      </c>
      <c r="H771">
        <f t="shared" ref="H771:H834" si="37">(YEAR(G771)-YEAR(B771))*12 + (MONTH(G771)-MONTH(B771))</f>
        <v>9</v>
      </c>
      <c r="I771">
        <f t="shared" ref="I771:I834" si="38">IF(H771 &gt;=5, 1, 0)</f>
        <v>1</v>
      </c>
      <c r="J771">
        <f>IF(Table1[[#This Row],[Active_months]]&gt;=1, 1, 0)</f>
        <v>1</v>
      </c>
    </row>
    <row r="772" spans="1:10" x14ac:dyDescent="0.3">
      <c r="A772">
        <v>151890014</v>
      </c>
      <c r="B772" s="1">
        <v>44917</v>
      </c>
      <c r="D772">
        <v>39</v>
      </c>
      <c r="E772" t="s">
        <v>6</v>
      </c>
      <c r="F772" t="s">
        <v>7</v>
      </c>
      <c r="G772" s="1">
        <f t="shared" si="36"/>
        <v>45199</v>
      </c>
      <c r="H772">
        <f t="shared" si="37"/>
        <v>9</v>
      </c>
      <c r="I772">
        <f t="shared" si="38"/>
        <v>1</v>
      </c>
      <c r="J772">
        <f>IF(Table1[[#This Row],[Active_months]]&gt;=1, 1, 0)</f>
        <v>1</v>
      </c>
    </row>
    <row r="773" spans="1:10" x14ac:dyDescent="0.3">
      <c r="A773">
        <v>158575772</v>
      </c>
      <c r="B773" s="1">
        <v>44917</v>
      </c>
      <c r="C773" s="1">
        <v>44918</v>
      </c>
      <c r="D773">
        <v>39</v>
      </c>
      <c r="E773" t="s">
        <v>6</v>
      </c>
      <c r="F773" t="s">
        <v>7</v>
      </c>
      <c r="G773" s="1">
        <f t="shared" si="36"/>
        <v>44918</v>
      </c>
      <c r="H773">
        <f t="shared" si="37"/>
        <v>0</v>
      </c>
      <c r="I773">
        <f t="shared" si="38"/>
        <v>0</v>
      </c>
      <c r="J773">
        <f>IF(Table1[[#This Row],[Active_months]]&gt;=1, 1, 0)</f>
        <v>0</v>
      </c>
    </row>
    <row r="774" spans="1:10" x14ac:dyDescent="0.3">
      <c r="A774">
        <v>164462665</v>
      </c>
      <c r="B774" s="1">
        <v>44917</v>
      </c>
      <c r="C774" s="1">
        <v>44918</v>
      </c>
      <c r="D774">
        <v>39</v>
      </c>
      <c r="E774" t="s">
        <v>6</v>
      </c>
      <c r="F774" t="s">
        <v>8</v>
      </c>
      <c r="G774" s="1">
        <f t="shared" si="36"/>
        <v>44918</v>
      </c>
      <c r="H774">
        <f t="shared" si="37"/>
        <v>0</v>
      </c>
      <c r="I774">
        <f t="shared" si="38"/>
        <v>0</v>
      </c>
      <c r="J774">
        <f>IF(Table1[[#This Row],[Active_months]]&gt;=1, 1, 0)</f>
        <v>0</v>
      </c>
    </row>
    <row r="775" spans="1:10" x14ac:dyDescent="0.3">
      <c r="A775">
        <v>121830768</v>
      </c>
      <c r="B775" s="1">
        <v>44917</v>
      </c>
      <c r="C775" s="1">
        <v>44950</v>
      </c>
      <c r="D775">
        <v>39</v>
      </c>
      <c r="E775" t="s">
        <v>6</v>
      </c>
      <c r="F775" t="s">
        <v>7</v>
      </c>
      <c r="G775" s="1">
        <f t="shared" si="36"/>
        <v>44950</v>
      </c>
      <c r="H775">
        <f t="shared" si="37"/>
        <v>1</v>
      </c>
      <c r="I775">
        <f t="shared" si="38"/>
        <v>0</v>
      </c>
      <c r="J775">
        <f>IF(Table1[[#This Row],[Active_months]]&gt;=1, 1, 0)</f>
        <v>1</v>
      </c>
    </row>
    <row r="776" spans="1:10" x14ac:dyDescent="0.3">
      <c r="A776">
        <v>174605216</v>
      </c>
      <c r="B776" s="1">
        <v>44917</v>
      </c>
      <c r="C776" s="1">
        <v>45058</v>
      </c>
      <c r="D776">
        <v>39</v>
      </c>
      <c r="E776" t="s">
        <v>6</v>
      </c>
      <c r="F776" t="s">
        <v>7</v>
      </c>
      <c r="G776" s="1">
        <f t="shared" si="36"/>
        <v>45058</v>
      </c>
      <c r="H776">
        <f t="shared" si="37"/>
        <v>5</v>
      </c>
      <c r="I776">
        <f t="shared" si="38"/>
        <v>1</v>
      </c>
      <c r="J776">
        <f>IF(Table1[[#This Row],[Active_months]]&gt;=1, 1, 0)</f>
        <v>1</v>
      </c>
    </row>
    <row r="777" spans="1:10" x14ac:dyDescent="0.3">
      <c r="A777">
        <v>174655316</v>
      </c>
      <c r="B777" s="1">
        <v>44917</v>
      </c>
      <c r="C777" s="1">
        <v>45000</v>
      </c>
      <c r="D777">
        <v>39</v>
      </c>
      <c r="E777" t="s">
        <v>6</v>
      </c>
      <c r="F777" t="s">
        <v>7</v>
      </c>
      <c r="G777" s="1">
        <f t="shared" si="36"/>
        <v>45000</v>
      </c>
      <c r="H777">
        <f t="shared" si="37"/>
        <v>3</v>
      </c>
      <c r="I777">
        <f t="shared" si="38"/>
        <v>0</v>
      </c>
      <c r="J777">
        <f>IF(Table1[[#This Row],[Active_months]]&gt;=1, 1, 0)</f>
        <v>1</v>
      </c>
    </row>
    <row r="778" spans="1:10" x14ac:dyDescent="0.3">
      <c r="A778">
        <v>174622570</v>
      </c>
      <c r="B778" s="1">
        <v>44917</v>
      </c>
      <c r="C778" s="1">
        <v>44927</v>
      </c>
      <c r="D778">
        <v>39</v>
      </c>
      <c r="E778" t="s">
        <v>6</v>
      </c>
      <c r="F778" t="s">
        <v>7</v>
      </c>
      <c r="G778" s="1">
        <f t="shared" si="36"/>
        <v>44927</v>
      </c>
      <c r="H778">
        <f t="shared" si="37"/>
        <v>1</v>
      </c>
      <c r="I778">
        <f t="shared" si="38"/>
        <v>0</v>
      </c>
      <c r="J778">
        <f>IF(Table1[[#This Row],[Active_months]]&gt;=1, 1, 0)</f>
        <v>1</v>
      </c>
    </row>
    <row r="779" spans="1:10" x14ac:dyDescent="0.3">
      <c r="A779">
        <v>174720005</v>
      </c>
      <c r="B779" s="1">
        <v>44917</v>
      </c>
      <c r="C779" s="1">
        <v>44918</v>
      </c>
      <c r="D779">
        <v>39</v>
      </c>
      <c r="E779" t="s">
        <v>6</v>
      </c>
      <c r="F779" t="s">
        <v>7</v>
      </c>
      <c r="G779" s="1">
        <f t="shared" si="36"/>
        <v>44918</v>
      </c>
      <c r="H779">
        <f t="shared" si="37"/>
        <v>0</v>
      </c>
      <c r="I779">
        <f t="shared" si="38"/>
        <v>0</v>
      </c>
      <c r="J779">
        <f>IF(Table1[[#This Row],[Active_months]]&gt;=1, 1, 0)</f>
        <v>0</v>
      </c>
    </row>
    <row r="780" spans="1:10" x14ac:dyDescent="0.3">
      <c r="A780">
        <v>174696512</v>
      </c>
      <c r="B780" s="1">
        <v>44918</v>
      </c>
      <c r="D780">
        <v>39</v>
      </c>
      <c r="E780" t="s">
        <v>6</v>
      </c>
      <c r="F780" t="s">
        <v>7</v>
      </c>
      <c r="G780" s="1">
        <f t="shared" si="36"/>
        <v>45199</v>
      </c>
      <c r="H780">
        <f t="shared" si="37"/>
        <v>9</v>
      </c>
      <c r="I780">
        <f t="shared" si="38"/>
        <v>1</v>
      </c>
      <c r="J780">
        <f>IF(Table1[[#This Row],[Active_months]]&gt;=1, 1, 0)</f>
        <v>1</v>
      </c>
    </row>
    <row r="781" spans="1:10" x14ac:dyDescent="0.3">
      <c r="A781">
        <v>175314293</v>
      </c>
      <c r="B781" s="1">
        <v>44918</v>
      </c>
      <c r="D781">
        <v>39</v>
      </c>
      <c r="E781" t="s">
        <v>6</v>
      </c>
      <c r="F781" t="s">
        <v>7</v>
      </c>
      <c r="G781" s="1">
        <f t="shared" si="36"/>
        <v>45199</v>
      </c>
      <c r="H781">
        <f t="shared" si="37"/>
        <v>9</v>
      </c>
      <c r="I781">
        <f t="shared" si="38"/>
        <v>1</v>
      </c>
      <c r="J781">
        <f>IF(Table1[[#This Row],[Active_months]]&gt;=1, 1, 0)</f>
        <v>1</v>
      </c>
    </row>
    <row r="782" spans="1:10" x14ac:dyDescent="0.3">
      <c r="A782">
        <v>175451863</v>
      </c>
      <c r="B782" s="1">
        <v>44918</v>
      </c>
      <c r="C782" s="1">
        <v>45005</v>
      </c>
      <c r="D782">
        <v>39</v>
      </c>
      <c r="E782" t="s">
        <v>6</v>
      </c>
      <c r="F782" t="s">
        <v>7</v>
      </c>
      <c r="G782" s="1">
        <f t="shared" si="36"/>
        <v>45005</v>
      </c>
      <c r="H782">
        <f t="shared" si="37"/>
        <v>3</v>
      </c>
      <c r="I782">
        <f t="shared" si="38"/>
        <v>0</v>
      </c>
      <c r="J782">
        <f>IF(Table1[[#This Row],[Active_months]]&gt;=1, 1, 0)</f>
        <v>1</v>
      </c>
    </row>
    <row r="783" spans="1:10" x14ac:dyDescent="0.3">
      <c r="A783">
        <v>174752844</v>
      </c>
      <c r="B783" s="1">
        <v>44918</v>
      </c>
      <c r="C783" s="1">
        <v>44956</v>
      </c>
      <c r="D783">
        <v>39</v>
      </c>
      <c r="E783" t="s">
        <v>6</v>
      </c>
      <c r="F783" t="s">
        <v>7</v>
      </c>
      <c r="G783" s="1">
        <f t="shared" si="36"/>
        <v>44956</v>
      </c>
      <c r="H783">
        <f t="shared" si="37"/>
        <v>1</v>
      </c>
      <c r="I783">
        <f t="shared" si="38"/>
        <v>0</v>
      </c>
      <c r="J783">
        <f>IF(Table1[[#This Row],[Active_months]]&gt;=1, 1, 0)</f>
        <v>1</v>
      </c>
    </row>
    <row r="784" spans="1:10" x14ac:dyDescent="0.3">
      <c r="A784">
        <v>175431141</v>
      </c>
      <c r="B784" s="1">
        <v>44919</v>
      </c>
      <c r="D784">
        <v>39</v>
      </c>
      <c r="E784" t="s">
        <v>6</v>
      </c>
      <c r="F784" t="s">
        <v>7</v>
      </c>
      <c r="G784" s="1">
        <f t="shared" si="36"/>
        <v>45199</v>
      </c>
      <c r="H784">
        <f t="shared" si="37"/>
        <v>9</v>
      </c>
      <c r="I784">
        <f t="shared" si="38"/>
        <v>1</v>
      </c>
      <c r="J784">
        <f>IF(Table1[[#This Row],[Active_months]]&gt;=1, 1, 0)</f>
        <v>1</v>
      </c>
    </row>
    <row r="785" spans="1:10" x14ac:dyDescent="0.3">
      <c r="A785">
        <v>132228678</v>
      </c>
      <c r="B785" s="1">
        <v>44919</v>
      </c>
      <c r="C785" s="1">
        <v>44919</v>
      </c>
      <c r="D785">
        <v>39</v>
      </c>
      <c r="E785" t="s">
        <v>6</v>
      </c>
      <c r="F785" t="s">
        <v>7</v>
      </c>
      <c r="G785" s="1">
        <f t="shared" si="36"/>
        <v>44919</v>
      </c>
      <c r="H785">
        <f t="shared" si="37"/>
        <v>0</v>
      </c>
      <c r="I785">
        <f t="shared" si="38"/>
        <v>0</v>
      </c>
      <c r="J785">
        <f>IF(Table1[[#This Row],[Active_months]]&gt;=1, 1, 0)</f>
        <v>0</v>
      </c>
    </row>
    <row r="786" spans="1:10" x14ac:dyDescent="0.3">
      <c r="A786">
        <v>161151062</v>
      </c>
      <c r="B786" s="1">
        <v>44919</v>
      </c>
      <c r="C786" s="1">
        <v>45035</v>
      </c>
      <c r="D786">
        <v>39</v>
      </c>
      <c r="E786" t="s">
        <v>6</v>
      </c>
      <c r="F786" t="s">
        <v>7</v>
      </c>
      <c r="G786" s="1">
        <f t="shared" si="36"/>
        <v>45035</v>
      </c>
      <c r="H786">
        <f t="shared" si="37"/>
        <v>4</v>
      </c>
      <c r="I786">
        <f t="shared" si="38"/>
        <v>0</v>
      </c>
      <c r="J786">
        <f>IF(Table1[[#This Row],[Active_months]]&gt;=1, 1, 0)</f>
        <v>1</v>
      </c>
    </row>
    <row r="787" spans="1:10" x14ac:dyDescent="0.3">
      <c r="A787">
        <v>167653319</v>
      </c>
      <c r="B787" s="1">
        <v>44919</v>
      </c>
      <c r="C787" s="1">
        <v>44998</v>
      </c>
      <c r="D787">
        <v>39</v>
      </c>
      <c r="E787" t="s">
        <v>6</v>
      </c>
      <c r="F787" t="s">
        <v>7</v>
      </c>
      <c r="G787" s="1">
        <f t="shared" si="36"/>
        <v>44998</v>
      </c>
      <c r="H787">
        <f t="shared" si="37"/>
        <v>3</v>
      </c>
      <c r="I787">
        <f t="shared" si="38"/>
        <v>0</v>
      </c>
      <c r="J787">
        <f>IF(Table1[[#This Row],[Active_months]]&gt;=1, 1, 0)</f>
        <v>1</v>
      </c>
    </row>
    <row r="788" spans="1:10" x14ac:dyDescent="0.3">
      <c r="A788">
        <v>171659515</v>
      </c>
      <c r="B788" s="1">
        <v>44919</v>
      </c>
      <c r="C788" s="1">
        <v>44949</v>
      </c>
      <c r="D788">
        <v>39</v>
      </c>
      <c r="E788" t="s">
        <v>6</v>
      </c>
      <c r="F788" t="s">
        <v>7</v>
      </c>
      <c r="G788" s="1">
        <f t="shared" si="36"/>
        <v>44949</v>
      </c>
      <c r="H788">
        <f t="shared" si="37"/>
        <v>1</v>
      </c>
      <c r="I788">
        <f t="shared" si="38"/>
        <v>0</v>
      </c>
      <c r="J788">
        <f>IF(Table1[[#This Row],[Active_months]]&gt;=1, 1, 0)</f>
        <v>1</v>
      </c>
    </row>
    <row r="789" spans="1:10" x14ac:dyDescent="0.3">
      <c r="A789">
        <v>175720159</v>
      </c>
      <c r="B789" s="1">
        <v>44919</v>
      </c>
      <c r="C789" s="1">
        <v>44935</v>
      </c>
      <c r="D789">
        <v>39</v>
      </c>
      <c r="E789" t="s">
        <v>6</v>
      </c>
      <c r="F789" t="s">
        <v>7</v>
      </c>
      <c r="G789" s="1">
        <f t="shared" si="36"/>
        <v>44935</v>
      </c>
      <c r="H789">
        <f t="shared" si="37"/>
        <v>1</v>
      </c>
      <c r="I789">
        <f t="shared" si="38"/>
        <v>0</v>
      </c>
      <c r="J789">
        <f>IF(Table1[[#This Row],[Active_months]]&gt;=1, 1, 0)</f>
        <v>1</v>
      </c>
    </row>
    <row r="790" spans="1:10" x14ac:dyDescent="0.3">
      <c r="A790">
        <v>170593141</v>
      </c>
      <c r="B790" s="1">
        <v>44919</v>
      </c>
      <c r="C790" s="1">
        <v>44934</v>
      </c>
      <c r="D790">
        <v>39</v>
      </c>
      <c r="E790" t="s">
        <v>6</v>
      </c>
      <c r="F790" t="s">
        <v>7</v>
      </c>
      <c r="G790" s="1">
        <f t="shared" si="36"/>
        <v>44934</v>
      </c>
      <c r="H790">
        <f t="shared" si="37"/>
        <v>1</v>
      </c>
      <c r="I790">
        <f t="shared" si="38"/>
        <v>0</v>
      </c>
      <c r="J790">
        <f>IF(Table1[[#This Row],[Active_months]]&gt;=1, 1, 0)</f>
        <v>1</v>
      </c>
    </row>
    <row r="791" spans="1:10" x14ac:dyDescent="0.3">
      <c r="A791">
        <v>173981170</v>
      </c>
      <c r="B791" s="1">
        <v>44919</v>
      </c>
      <c r="C791" s="1">
        <v>44920</v>
      </c>
      <c r="D791">
        <v>39</v>
      </c>
      <c r="E791" t="s">
        <v>6</v>
      </c>
      <c r="F791" t="s">
        <v>7</v>
      </c>
      <c r="G791" s="1">
        <f t="shared" si="36"/>
        <v>44920</v>
      </c>
      <c r="H791">
        <f t="shared" si="37"/>
        <v>0</v>
      </c>
      <c r="I791">
        <f t="shared" si="38"/>
        <v>0</v>
      </c>
      <c r="J791">
        <f>IF(Table1[[#This Row],[Active_months]]&gt;=1, 1, 0)</f>
        <v>0</v>
      </c>
    </row>
    <row r="792" spans="1:10" x14ac:dyDescent="0.3">
      <c r="A792">
        <v>175166391</v>
      </c>
      <c r="B792" s="1">
        <v>44920</v>
      </c>
      <c r="D792">
        <v>39</v>
      </c>
      <c r="E792" t="s">
        <v>6</v>
      </c>
      <c r="F792" t="s">
        <v>7</v>
      </c>
      <c r="G792" s="1">
        <f t="shared" si="36"/>
        <v>45199</v>
      </c>
      <c r="H792">
        <f t="shared" si="37"/>
        <v>9</v>
      </c>
      <c r="I792">
        <f t="shared" si="38"/>
        <v>1</v>
      </c>
      <c r="J792">
        <f>IF(Table1[[#This Row],[Active_months]]&gt;=1, 1, 0)</f>
        <v>1</v>
      </c>
    </row>
    <row r="793" spans="1:10" x14ac:dyDescent="0.3">
      <c r="A793">
        <v>161175048</v>
      </c>
      <c r="B793" s="1">
        <v>44920</v>
      </c>
      <c r="C793" s="1">
        <v>44979</v>
      </c>
      <c r="D793">
        <v>39</v>
      </c>
      <c r="E793" t="s">
        <v>6</v>
      </c>
      <c r="F793" t="s">
        <v>7</v>
      </c>
      <c r="G793" s="1">
        <f t="shared" si="36"/>
        <v>44979</v>
      </c>
      <c r="H793">
        <f t="shared" si="37"/>
        <v>2</v>
      </c>
      <c r="I793">
        <f t="shared" si="38"/>
        <v>0</v>
      </c>
      <c r="J793">
        <f>IF(Table1[[#This Row],[Active_months]]&gt;=1, 1, 0)</f>
        <v>1</v>
      </c>
    </row>
    <row r="794" spans="1:10" x14ac:dyDescent="0.3">
      <c r="A794">
        <v>164254865</v>
      </c>
      <c r="B794" s="1">
        <v>44920</v>
      </c>
      <c r="C794" s="1">
        <v>44950</v>
      </c>
      <c r="D794">
        <v>39</v>
      </c>
      <c r="E794" t="s">
        <v>6</v>
      </c>
      <c r="F794" t="s">
        <v>7</v>
      </c>
      <c r="G794" s="1">
        <f t="shared" si="36"/>
        <v>44950</v>
      </c>
      <c r="H794">
        <f t="shared" si="37"/>
        <v>1</v>
      </c>
      <c r="I794">
        <f t="shared" si="38"/>
        <v>0</v>
      </c>
      <c r="J794">
        <f>IF(Table1[[#This Row],[Active_months]]&gt;=1, 1, 0)</f>
        <v>1</v>
      </c>
    </row>
    <row r="795" spans="1:10" x14ac:dyDescent="0.3">
      <c r="A795">
        <v>143248615</v>
      </c>
      <c r="B795" s="1">
        <v>44921</v>
      </c>
      <c r="D795">
        <v>39</v>
      </c>
      <c r="E795" t="s">
        <v>6</v>
      </c>
      <c r="F795" t="s">
        <v>7</v>
      </c>
      <c r="G795" s="1">
        <f t="shared" si="36"/>
        <v>45199</v>
      </c>
      <c r="H795">
        <f t="shared" si="37"/>
        <v>9</v>
      </c>
      <c r="I795">
        <f t="shared" si="38"/>
        <v>1</v>
      </c>
      <c r="J795">
        <f>IF(Table1[[#This Row],[Active_months]]&gt;=1, 1, 0)</f>
        <v>1</v>
      </c>
    </row>
    <row r="796" spans="1:10" x14ac:dyDescent="0.3">
      <c r="A796">
        <v>176032070</v>
      </c>
      <c r="B796" s="1">
        <v>44921</v>
      </c>
      <c r="C796" s="1">
        <v>44940</v>
      </c>
      <c r="D796">
        <v>39</v>
      </c>
      <c r="E796" t="s">
        <v>6</v>
      </c>
      <c r="F796" t="s">
        <v>7</v>
      </c>
      <c r="G796" s="1">
        <f t="shared" si="36"/>
        <v>44940</v>
      </c>
      <c r="H796">
        <f t="shared" si="37"/>
        <v>1</v>
      </c>
      <c r="I796">
        <f t="shared" si="38"/>
        <v>0</v>
      </c>
      <c r="J796">
        <f>IF(Table1[[#This Row],[Active_months]]&gt;=1, 1, 0)</f>
        <v>1</v>
      </c>
    </row>
    <row r="797" spans="1:10" x14ac:dyDescent="0.3">
      <c r="A797">
        <v>174132333</v>
      </c>
      <c r="B797" s="1">
        <v>44922</v>
      </c>
      <c r="D797">
        <v>39</v>
      </c>
      <c r="E797" t="s">
        <v>6</v>
      </c>
      <c r="F797" t="s">
        <v>7</v>
      </c>
      <c r="G797" s="1">
        <f t="shared" si="36"/>
        <v>45199</v>
      </c>
      <c r="H797">
        <f t="shared" si="37"/>
        <v>9</v>
      </c>
      <c r="I797">
        <f t="shared" si="38"/>
        <v>1</v>
      </c>
      <c r="J797">
        <f>IF(Table1[[#This Row],[Active_months]]&gt;=1, 1, 0)</f>
        <v>1</v>
      </c>
    </row>
    <row r="798" spans="1:10" x14ac:dyDescent="0.3">
      <c r="A798">
        <v>177051147</v>
      </c>
      <c r="B798" s="1">
        <v>44922</v>
      </c>
      <c r="C798" s="1">
        <v>44923</v>
      </c>
      <c r="D798">
        <v>39</v>
      </c>
      <c r="E798" t="s">
        <v>6</v>
      </c>
      <c r="F798" t="s">
        <v>7</v>
      </c>
      <c r="G798" s="1">
        <f t="shared" si="36"/>
        <v>44923</v>
      </c>
      <c r="H798">
        <f t="shared" si="37"/>
        <v>0</v>
      </c>
      <c r="I798">
        <f t="shared" si="38"/>
        <v>0</v>
      </c>
      <c r="J798">
        <f>IF(Table1[[#This Row],[Active_months]]&gt;=1, 1, 0)</f>
        <v>0</v>
      </c>
    </row>
    <row r="799" spans="1:10" x14ac:dyDescent="0.3">
      <c r="A799">
        <v>176571319</v>
      </c>
      <c r="B799" s="1">
        <v>44922</v>
      </c>
      <c r="C799" s="1">
        <v>45017</v>
      </c>
      <c r="D799">
        <v>39</v>
      </c>
      <c r="E799" t="s">
        <v>6</v>
      </c>
      <c r="F799" t="s">
        <v>7</v>
      </c>
      <c r="G799" s="1">
        <f t="shared" si="36"/>
        <v>45017</v>
      </c>
      <c r="H799">
        <f t="shared" si="37"/>
        <v>4</v>
      </c>
      <c r="I799">
        <f t="shared" si="38"/>
        <v>0</v>
      </c>
      <c r="J799">
        <f>IF(Table1[[#This Row],[Active_months]]&gt;=1, 1, 0)</f>
        <v>1</v>
      </c>
    </row>
    <row r="800" spans="1:10" x14ac:dyDescent="0.3">
      <c r="A800">
        <v>166932902</v>
      </c>
      <c r="B800" s="1">
        <v>44922</v>
      </c>
      <c r="C800" s="1">
        <v>44991</v>
      </c>
      <c r="D800">
        <v>39</v>
      </c>
      <c r="E800" t="s">
        <v>6</v>
      </c>
      <c r="F800" t="s">
        <v>7</v>
      </c>
      <c r="G800" s="1">
        <f t="shared" si="36"/>
        <v>44991</v>
      </c>
      <c r="H800">
        <f t="shared" si="37"/>
        <v>3</v>
      </c>
      <c r="I800">
        <f t="shared" si="38"/>
        <v>0</v>
      </c>
      <c r="J800">
        <f>IF(Table1[[#This Row],[Active_months]]&gt;=1, 1, 0)</f>
        <v>1</v>
      </c>
    </row>
    <row r="801" spans="1:10" x14ac:dyDescent="0.3">
      <c r="A801">
        <v>175851244</v>
      </c>
      <c r="B801" s="1">
        <v>44922</v>
      </c>
      <c r="C801" s="1">
        <v>44960</v>
      </c>
      <c r="D801">
        <v>39</v>
      </c>
      <c r="E801" t="s">
        <v>6</v>
      </c>
      <c r="F801" t="s">
        <v>7</v>
      </c>
      <c r="G801" s="1">
        <f t="shared" si="36"/>
        <v>44960</v>
      </c>
      <c r="H801">
        <f t="shared" si="37"/>
        <v>2</v>
      </c>
      <c r="I801">
        <f t="shared" si="38"/>
        <v>0</v>
      </c>
      <c r="J801">
        <f>IF(Table1[[#This Row],[Active_months]]&gt;=1, 1, 0)</f>
        <v>1</v>
      </c>
    </row>
    <row r="802" spans="1:10" x14ac:dyDescent="0.3">
      <c r="A802">
        <v>155613371</v>
      </c>
      <c r="B802" s="1">
        <v>44922</v>
      </c>
      <c r="C802" s="1">
        <v>44960</v>
      </c>
      <c r="D802">
        <v>39</v>
      </c>
      <c r="E802" t="s">
        <v>6</v>
      </c>
      <c r="F802" t="s">
        <v>7</v>
      </c>
      <c r="G802" s="1">
        <f t="shared" si="36"/>
        <v>44960</v>
      </c>
      <c r="H802">
        <f t="shared" si="37"/>
        <v>2</v>
      </c>
      <c r="I802">
        <f t="shared" si="38"/>
        <v>0</v>
      </c>
      <c r="J802">
        <f>IF(Table1[[#This Row],[Active_months]]&gt;=1, 1, 0)</f>
        <v>1</v>
      </c>
    </row>
    <row r="803" spans="1:10" x14ac:dyDescent="0.3">
      <c r="A803">
        <v>167678290</v>
      </c>
      <c r="B803" s="1">
        <v>44922</v>
      </c>
      <c r="C803" s="1">
        <v>44953</v>
      </c>
      <c r="D803">
        <v>39</v>
      </c>
      <c r="E803" t="s">
        <v>6</v>
      </c>
      <c r="F803" t="s">
        <v>7</v>
      </c>
      <c r="G803" s="1">
        <f t="shared" si="36"/>
        <v>44953</v>
      </c>
      <c r="H803">
        <f t="shared" si="37"/>
        <v>1</v>
      </c>
      <c r="I803">
        <f t="shared" si="38"/>
        <v>0</v>
      </c>
      <c r="J803">
        <f>IF(Table1[[#This Row],[Active_months]]&gt;=1, 1, 0)</f>
        <v>1</v>
      </c>
    </row>
    <row r="804" spans="1:10" x14ac:dyDescent="0.3">
      <c r="A804">
        <v>176995917</v>
      </c>
      <c r="B804" s="1">
        <v>44922</v>
      </c>
      <c r="C804" s="1">
        <v>45106</v>
      </c>
      <c r="D804">
        <v>39</v>
      </c>
      <c r="E804" t="s">
        <v>6</v>
      </c>
      <c r="F804" t="s">
        <v>7</v>
      </c>
      <c r="G804" s="1">
        <f t="shared" si="36"/>
        <v>45106</v>
      </c>
      <c r="H804">
        <f t="shared" si="37"/>
        <v>6</v>
      </c>
      <c r="I804">
        <f t="shared" si="38"/>
        <v>1</v>
      </c>
      <c r="J804">
        <f>IF(Table1[[#This Row],[Active_months]]&gt;=1, 1, 0)</f>
        <v>1</v>
      </c>
    </row>
    <row r="805" spans="1:10" x14ac:dyDescent="0.3">
      <c r="A805">
        <v>161187523</v>
      </c>
      <c r="B805" s="1">
        <v>44922</v>
      </c>
      <c r="C805" s="1">
        <v>45126</v>
      </c>
      <c r="D805">
        <v>39</v>
      </c>
      <c r="E805" t="s">
        <v>6</v>
      </c>
      <c r="F805" t="s">
        <v>7</v>
      </c>
      <c r="G805" s="1">
        <f t="shared" si="36"/>
        <v>45126</v>
      </c>
      <c r="H805">
        <f t="shared" si="37"/>
        <v>7</v>
      </c>
      <c r="I805">
        <f t="shared" si="38"/>
        <v>1</v>
      </c>
      <c r="J805">
        <f>IF(Table1[[#This Row],[Active_months]]&gt;=1, 1, 0)</f>
        <v>1</v>
      </c>
    </row>
    <row r="806" spans="1:10" x14ac:dyDescent="0.3">
      <c r="A806">
        <v>175884318</v>
      </c>
      <c r="B806" s="1">
        <v>44923</v>
      </c>
      <c r="C806" s="1">
        <v>44940</v>
      </c>
      <c r="D806">
        <v>39</v>
      </c>
      <c r="E806" t="s">
        <v>6</v>
      </c>
      <c r="F806" t="s">
        <v>7</v>
      </c>
      <c r="G806" s="1">
        <f t="shared" si="36"/>
        <v>44940</v>
      </c>
      <c r="H806">
        <f t="shared" si="37"/>
        <v>1</v>
      </c>
      <c r="I806">
        <f t="shared" si="38"/>
        <v>0</v>
      </c>
      <c r="J806">
        <f>IF(Table1[[#This Row],[Active_months]]&gt;=1, 1, 0)</f>
        <v>1</v>
      </c>
    </row>
    <row r="807" spans="1:10" x14ac:dyDescent="0.3">
      <c r="A807">
        <v>173911972</v>
      </c>
      <c r="B807" s="1">
        <v>44923</v>
      </c>
      <c r="C807" s="1">
        <v>45040</v>
      </c>
      <c r="D807">
        <v>39</v>
      </c>
      <c r="E807" t="s">
        <v>6</v>
      </c>
      <c r="F807" t="s">
        <v>7</v>
      </c>
      <c r="G807" s="1">
        <f t="shared" si="36"/>
        <v>45040</v>
      </c>
      <c r="H807">
        <f t="shared" si="37"/>
        <v>4</v>
      </c>
      <c r="I807">
        <f t="shared" si="38"/>
        <v>0</v>
      </c>
      <c r="J807">
        <f>IF(Table1[[#This Row],[Active_months]]&gt;=1, 1, 0)</f>
        <v>1</v>
      </c>
    </row>
    <row r="808" spans="1:10" x14ac:dyDescent="0.3">
      <c r="A808">
        <v>177696301</v>
      </c>
      <c r="B808" s="1">
        <v>44923</v>
      </c>
      <c r="C808" s="1">
        <v>45073</v>
      </c>
      <c r="D808">
        <v>39</v>
      </c>
      <c r="E808" t="s">
        <v>6</v>
      </c>
      <c r="F808" t="s">
        <v>7</v>
      </c>
      <c r="G808" s="1">
        <f t="shared" si="36"/>
        <v>45073</v>
      </c>
      <c r="H808">
        <f t="shared" si="37"/>
        <v>5</v>
      </c>
      <c r="I808">
        <f t="shared" si="38"/>
        <v>1</v>
      </c>
      <c r="J808">
        <f>IF(Table1[[#This Row],[Active_months]]&gt;=1, 1, 0)</f>
        <v>1</v>
      </c>
    </row>
    <row r="809" spans="1:10" x14ac:dyDescent="0.3">
      <c r="A809">
        <v>165744582</v>
      </c>
      <c r="B809" s="1">
        <v>44923</v>
      </c>
      <c r="C809" s="1">
        <v>44969</v>
      </c>
      <c r="D809">
        <v>39</v>
      </c>
      <c r="E809" t="s">
        <v>6</v>
      </c>
      <c r="F809" t="s">
        <v>7</v>
      </c>
      <c r="G809" s="1">
        <f t="shared" si="36"/>
        <v>44969</v>
      </c>
      <c r="H809">
        <f t="shared" si="37"/>
        <v>2</v>
      </c>
      <c r="I809">
        <f t="shared" si="38"/>
        <v>0</v>
      </c>
      <c r="J809">
        <f>IF(Table1[[#This Row],[Active_months]]&gt;=1, 1, 0)</f>
        <v>1</v>
      </c>
    </row>
    <row r="810" spans="1:10" x14ac:dyDescent="0.3">
      <c r="A810">
        <v>177323966</v>
      </c>
      <c r="B810" s="1">
        <v>44923</v>
      </c>
      <c r="C810" s="1">
        <v>44923</v>
      </c>
      <c r="D810">
        <v>39</v>
      </c>
      <c r="E810" t="s">
        <v>6</v>
      </c>
      <c r="F810" t="s">
        <v>7</v>
      </c>
      <c r="G810" s="1">
        <f t="shared" si="36"/>
        <v>44923</v>
      </c>
      <c r="H810">
        <f t="shared" si="37"/>
        <v>0</v>
      </c>
      <c r="I810">
        <f t="shared" si="38"/>
        <v>0</v>
      </c>
      <c r="J810">
        <f>IF(Table1[[#This Row],[Active_months]]&gt;=1, 1, 0)</f>
        <v>0</v>
      </c>
    </row>
    <row r="811" spans="1:10" x14ac:dyDescent="0.3">
      <c r="A811">
        <v>178355844</v>
      </c>
      <c r="B811" s="1">
        <v>44924</v>
      </c>
      <c r="D811">
        <v>39</v>
      </c>
      <c r="E811" t="s">
        <v>6</v>
      </c>
      <c r="F811" t="s">
        <v>7</v>
      </c>
      <c r="G811" s="1">
        <f t="shared" si="36"/>
        <v>45199</v>
      </c>
      <c r="H811">
        <f t="shared" si="37"/>
        <v>9</v>
      </c>
      <c r="I811">
        <f t="shared" si="38"/>
        <v>1</v>
      </c>
      <c r="J811">
        <f>IF(Table1[[#This Row],[Active_months]]&gt;=1, 1, 0)</f>
        <v>1</v>
      </c>
    </row>
    <row r="812" spans="1:10" x14ac:dyDescent="0.3">
      <c r="A812">
        <v>176989743</v>
      </c>
      <c r="B812" s="1">
        <v>44924</v>
      </c>
      <c r="D812">
        <v>39</v>
      </c>
      <c r="E812" t="s">
        <v>6</v>
      </c>
      <c r="F812" t="s">
        <v>7</v>
      </c>
      <c r="G812" s="1">
        <f t="shared" si="36"/>
        <v>45199</v>
      </c>
      <c r="H812">
        <f t="shared" si="37"/>
        <v>9</v>
      </c>
      <c r="I812">
        <f t="shared" si="38"/>
        <v>1</v>
      </c>
      <c r="J812">
        <f>IF(Table1[[#This Row],[Active_months]]&gt;=1, 1, 0)</f>
        <v>1</v>
      </c>
    </row>
    <row r="813" spans="1:10" x14ac:dyDescent="0.3">
      <c r="A813">
        <v>177971827</v>
      </c>
      <c r="B813" s="1">
        <v>44924</v>
      </c>
      <c r="D813">
        <v>39</v>
      </c>
      <c r="E813" t="s">
        <v>6</v>
      </c>
      <c r="F813" t="s">
        <v>7</v>
      </c>
      <c r="G813" s="1">
        <f t="shared" si="36"/>
        <v>45199</v>
      </c>
      <c r="H813">
        <f t="shared" si="37"/>
        <v>9</v>
      </c>
      <c r="I813">
        <f t="shared" si="38"/>
        <v>1</v>
      </c>
      <c r="J813">
        <f>IF(Table1[[#This Row],[Active_months]]&gt;=1, 1, 0)</f>
        <v>1</v>
      </c>
    </row>
    <row r="814" spans="1:10" x14ac:dyDescent="0.3">
      <c r="A814">
        <v>131147038</v>
      </c>
      <c r="B814" s="1">
        <v>44924</v>
      </c>
      <c r="C814" s="1">
        <v>44970</v>
      </c>
      <c r="D814">
        <v>39</v>
      </c>
      <c r="E814" t="s">
        <v>6</v>
      </c>
      <c r="F814" t="s">
        <v>7</v>
      </c>
      <c r="G814" s="1">
        <f t="shared" si="36"/>
        <v>44970</v>
      </c>
      <c r="H814">
        <f t="shared" si="37"/>
        <v>2</v>
      </c>
      <c r="I814">
        <f t="shared" si="38"/>
        <v>0</v>
      </c>
      <c r="J814">
        <f>IF(Table1[[#This Row],[Active_months]]&gt;=1, 1, 0)</f>
        <v>1</v>
      </c>
    </row>
    <row r="815" spans="1:10" x14ac:dyDescent="0.3">
      <c r="A815">
        <v>152142457</v>
      </c>
      <c r="B815" s="1">
        <v>44924</v>
      </c>
      <c r="C815" s="1">
        <v>44969</v>
      </c>
      <c r="D815">
        <v>39</v>
      </c>
      <c r="E815" t="s">
        <v>6</v>
      </c>
      <c r="F815" t="s">
        <v>7</v>
      </c>
      <c r="G815" s="1">
        <f t="shared" si="36"/>
        <v>44969</v>
      </c>
      <c r="H815">
        <f t="shared" si="37"/>
        <v>2</v>
      </c>
      <c r="I815">
        <f t="shared" si="38"/>
        <v>0</v>
      </c>
      <c r="J815">
        <f>IF(Table1[[#This Row],[Active_months]]&gt;=1, 1, 0)</f>
        <v>1</v>
      </c>
    </row>
    <row r="816" spans="1:10" x14ac:dyDescent="0.3">
      <c r="A816">
        <v>174293226</v>
      </c>
      <c r="B816" s="1">
        <v>44924</v>
      </c>
      <c r="C816" s="1">
        <v>45083</v>
      </c>
      <c r="D816">
        <v>39</v>
      </c>
      <c r="E816" t="s">
        <v>6</v>
      </c>
      <c r="F816" t="s">
        <v>7</v>
      </c>
      <c r="G816" s="1">
        <f t="shared" si="36"/>
        <v>45083</v>
      </c>
      <c r="H816">
        <f t="shared" si="37"/>
        <v>6</v>
      </c>
      <c r="I816">
        <f t="shared" si="38"/>
        <v>1</v>
      </c>
      <c r="J816">
        <f>IF(Table1[[#This Row],[Active_months]]&gt;=1, 1, 0)</f>
        <v>1</v>
      </c>
    </row>
    <row r="817" spans="1:10" x14ac:dyDescent="0.3">
      <c r="A817">
        <v>177051147</v>
      </c>
      <c r="B817" s="1">
        <v>44924</v>
      </c>
      <c r="C817" s="1">
        <v>45012</v>
      </c>
      <c r="D817">
        <v>39</v>
      </c>
      <c r="E817" t="s">
        <v>6</v>
      </c>
      <c r="F817" t="s">
        <v>7</v>
      </c>
      <c r="G817" s="1">
        <f t="shared" si="36"/>
        <v>45012</v>
      </c>
      <c r="H817">
        <f t="shared" si="37"/>
        <v>3</v>
      </c>
      <c r="I817">
        <f t="shared" si="38"/>
        <v>0</v>
      </c>
      <c r="J817">
        <f>IF(Table1[[#This Row],[Active_months]]&gt;=1, 1, 0)</f>
        <v>1</v>
      </c>
    </row>
    <row r="818" spans="1:10" x14ac:dyDescent="0.3">
      <c r="A818">
        <v>177963240</v>
      </c>
      <c r="B818" s="1">
        <v>44924</v>
      </c>
      <c r="C818" s="1">
        <v>44953</v>
      </c>
      <c r="D818">
        <v>39</v>
      </c>
      <c r="E818" t="s">
        <v>6</v>
      </c>
      <c r="F818" t="s">
        <v>7</v>
      </c>
      <c r="G818" s="1">
        <f t="shared" si="36"/>
        <v>44953</v>
      </c>
      <c r="H818">
        <f t="shared" si="37"/>
        <v>1</v>
      </c>
      <c r="I818">
        <f t="shared" si="38"/>
        <v>0</v>
      </c>
      <c r="J818">
        <f>IF(Table1[[#This Row],[Active_months]]&gt;=1, 1, 0)</f>
        <v>1</v>
      </c>
    </row>
    <row r="819" spans="1:10" x14ac:dyDescent="0.3">
      <c r="A819">
        <v>176639972</v>
      </c>
      <c r="B819" s="1">
        <v>44924</v>
      </c>
      <c r="C819" s="1">
        <v>44954</v>
      </c>
      <c r="D819">
        <v>39</v>
      </c>
      <c r="E819" t="s">
        <v>6</v>
      </c>
      <c r="F819" t="s">
        <v>7</v>
      </c>
      <c r="G819" s="1">
        <f t="shared" si="36"/>
        <v>44954</v>
      </c>
      <c r="H819">
        <f t="shared" si="37"/>
        <v>1</v>
      </c>
      <c r="I819">
        <f t="shared" si="38"/>
        <v>0</v>
      </c>
      <c r="J819">
        <f>IF(Table1[[#This Row],[Active_months]]&gt;=1, 1, 0)</f>
        <v>1</v>
      </c>
    </row>
    <row r="820" spans="1:10" x14ac:dyDescent="0.3">
      <c r="A820">
        <v>175818000</v>
      </c>
      <c r="B820" s="1">
        <v>44925</v>
      </c>
      <c r="C820" s="1">
        <v>45086</v>
      </c>
      <c r="D820">
        <v>39</v>
      </c>
      <c r="E820" t="s">
        <v>6</v>
      </c>
      <c r="F820" t="s">
        <v>7</v>
      </c>
      <c r="G820" s="1">
        <f t="shared" si="36"/>
        <v>45086</v>
      </c>
      <c r="H820">
        <f t="shared" si="37"/>
        <v>6</v>
      </c>
      <c r="I820">
        <f t="shared" si="38"/>
        <v>1</v>
      </c>
      <c r="J820">
        <f>IF(Table1[[#This Row],[Active_months]]&gt;=1, 1, 0)</f>
        <v>1</v>
      </c>
    </row>
    <row r="821" spans="1:10" x14ac:dyDescent="0.3">
      <c r="A821">
        <v>117856836</v>
      </c>
      <c r="B821" s="1">
        <v>44925</v>
      </c>
      <c r="C821" s="1">
        <v>44959</v>
      </c>
      <c r="D821">
        <v>39</v>
      </c>
      <c r="E821" t="s">
        <v>6</v>
      </c>
      <c r="F821" t="s">
        <v>7</v>
      </c>
      <c r="G821" s="1">
        <f t="shared" si="36"/>
        <v>44959</v>
      </c>
      <c r="H821">
        <f t="shared" si="37"/>
        <v>2</v>
      </c>
      <c r="I821">
        <f t="shared" si="38"/>
        <v>0</v>
      </c>
      <c r="J821">
        <f>IF(Table1[[#This Row],[Active_months]]&gt;=1, 1, 0)</f>
        <v>1</v>
      </c>
    </row>
    <row r="822" spans="1:10" x14ac:dyDescent="0.3">
      <c r="A822">
        <v>177266058</v>
      </c>
      <c r="B822" s="1">
        <v>44925</v>
      </c>
      <c r="C822" s="1">
        <v>45022</v>
      </c>
      <c r="D822">
        <v>39</v>
      </c>
      <c r="E822" t="s">
        <v>6</v>
      </c>
      <c r="F822" t="s">
        <v>7</v>
      </c>
      <c r="G822" s="1">
        <f t="shared" si="36"/>
        <v>45022</v>
      </c>
      <c r="H822">
        <f t="shared" si="37"/>
        <v>4</v>
      </c>
      <c r="I822">
        <f t="shared" si="38"/>
        <v>0</v>
      </c>
      <c r="J822">
        <f>IF(Table1[[#This Row],[Active_months]]&gt;=1, 1, 0)</f>
        <v>1</v>
      </c>
    </row>
    <row r="823" spans="1:10" x14ac:dyDescent="0.3">
      <c r="A823">
        <v>174203866</v>
      </c>
      <c r="B823" s="1">
        <v>44925</v>
      </c>
      <c r="C823" s="1">
        <v>44985</v>
      </c>
      <c r="D823">
        <v>39</v>
      </c>
      <c r="E823" t="s">
        <v>6</v>
      </c>
      <c r="F823" t="s">
        <v>7</v>
      </c>
      <c r="G823" s="1">
        <f t="shared" si="36"/>
        <v>44985</v>
      </c>
      <c r="H823">
        <f t="shared" si="37"/>
        <v>2</v>
      </c>
      <c r="I823">
        <f t="shared" si="38"/>
        <v>0</v>
      </c>
      <c r="J823">
        <f>IF(Table1[[#This Row],[Active_months]]&gt;=1, 1, 0)</f>
        <v>1</v>
      </c>
    </row>
    <row r="824" spans="1:10" x14ac:dyDescent="0.3">
      <c r="A824">
        <v>174991614</v>
      </c>
      <c r="B824" s="1">
        <v>44925</v>
      </c>
      <c r="C824" s="1">
        <v>44956</v>
      </c>
      <c r="D824">
        <v>39</v>
      </c>
      <c r="E824" t="s">
        <v>6</v>
      </c>
      <c r="F824" t="s">
        <v>7</v>
      </c>
      <c r="G824" s="1">
        <f t="shared" si="36"/>
        <v>44956</v>
      </c>
      <c r="H824">
        <f t="shared" si="37"/>
        <v>1</v>
      </c>
      <c r="I824">
        <f t="shared" si="38"/>
        <v>0</v>
      </c>
      <c r="J824">
        <f>IF(Table1[[#This Row],[Active_months]]&gt;=1, 1, 0)</f>
        <v>1</v>
      </c>
    </row>
    <row r="825" spans="1:10" x14ac:dyDescent="0.3">
      <c r="A825">
        <v>175354348</v>
      </c>
      <c r="B825" s="1">
        <v>44925</v>
      </c>
      <c r="C825" s="1">
        <v>44947</v>
      </c>
      <c r="D825">
        <v>39</v>
      </c>
      <c r="E825" t="s">
        <v>6</v>
      </c>
      <c r="F825" t="s">
        <v>7</v>
      </c>
      <c r="G825" s="1">
        <f t="shared" si="36"/>
        <v>44947</v>
      </c>
      <c r="H825">
        <f t="shared" si="37"/>
        <v>1</v>
      </c>
      <c r="I825">
        <f t="shared" si="38"/>
        <v>0</v>
      </c>
      <c r="J825">
        <f>IF(Table1[[#This Row],[Active_months]]&gt;=1, 1, 0)</f>
        <v>1</v>
      </c>
    </row>
    <row r="826" spans="1:10" x14ac:dyDescent="0.3">
      <c r="A826">
        <v>176573512</v>
      </c>
      <c r="B826" s="1">
        <v>44925</v>
      </c>
      <c r="C826" s="1">
        <v>45110</v>
      </c>
      <c r="D826">
        <v>39</v>
      </c>
      <c r="E826" t="s">
        <v>6</v>
      </c>
      <c r="F826" t="s">
        <v>7</v>
      </c>
      <c r="G826" s="1">
        <f t="shared" si="36"/>
        <v>45110</v>
      </c>
      <c r="H826">
        <f t="shared" si="37"/>
        <v>7</v>
      </c>
      <c r="I826">
        <f t="shared" si="38"/>
        <v>1</v>
      </c>
      <c r="J826">
        <f>IF(Table1[[#This Row],[Active_months]]&gt;=1, 1, 0)</f>
        <v>1</v>
      </c>
    </row>
    <row r="827" spans="1:10" x14ac:dyDescent="0.3">
      <c r="A827">
        <v>178379352</v>
      </c>
      <c r="B827" s="1">
        <v>44926</v>
      </c>
      <c r="C827" s="1">
        <v>44928</v>
      </c>
      <c r="D827">
        <v>39</v>
      </c>
      <c r="E827" t="s">
        <v>6</v>
      </c>
      <c r="F827" t="s">
        <v>7</v>
      </c>
      <c r="G827" s="1">
        <f t="shared" si="36"/>
        <v>44928</v>
      </c>
      <c r="H827">
        <f t="shared" si="37"/>
        <v>1</v>
      </c>
      <c r="I827">
        <f t="shared" si="38"/>
        <v>0</v>
      </c>
      <c r="J827">
        <f>IF(Table1[[#This Row],[Active_months]]&gt;=1, 1, 0)</f>
        <v>1</v>
      </c>
    </row>
    <row r="828" spans="1:10" x14ac:dyDescent="0.3">
      <c r="A828">
        <v>152980676</v>
      </c>
      <c r="B828" s="1">
        <v>44926</v>
      </c>
      <c r="C828" s="1">
        <v>44947</v>
      </c>
      <c r="D828">
        <v>39</v>
      </c>
      <c r="E828" t="s">
        <v>6</v>
      </c>
      <c r="F828" t="s">
        <v>7</v>
      </c>
      <c r="G828" s="1">
        <f t="shared" si="36"/>
        <v>44947</v>
      </c>
      <c r="H828">
        <f t="shared" si="37"/>
        <v>1</v>
      </c>
      <c r="I828">
        <f t="shared" si="38"/>
        <v>0</v>
      </c>
      <c r="J828">
        <f>IF(Table1[[#This Row],[Active_months]]&gt;=1, 1, 0)</f>
        <v>1</v>
      </c>
    </row>
    <row r="829" spans="1:10" x14ac:dyDescent="0.3">
      <c r="A829">
        <v>179551652</v>
      </c>
      <c r="B829" s="1">
        <v>44926</v>
      </c>
      <c r="C829" s="1">
        <v>45053</v>
      </c>
      <c r="D829">
        <v>39</v>
      </c>
      <c r="E829" t="s">
        <v>6</v>
      </c>
      <c r="F829" t="s">
        <v>7</v>
      </c>
      <c r="G829" s="1">
        <f t="shared" si="36"/>
        <v>45053</v>
      </c>
      <c r="H829">
        <f t="shared" si="37"/>
        <v>5</v>
      </c>
      <c r="I829">
        <f t="shared" si="38"/>
        <v>1</v>
      </c>
      <c r="J829">
        <f>IF(Table1[[#This Row],[Active_months]]&gt;=1, 1, 0)</f>
        <v>1</v>
      </c>
    </row>
    <row r="830" spans="1:10" x14ac:dyDescent="0.3">
      <c r="A830">
        <v>175899028</v>
      </c>
      <c r="B830" s="1">
        <v>44926</v>
      </c>
      <c r="C830" s="1">
        <v>45009</v>
      </c>
      <c r="D830">
        <v>39</v>
      </c>
      <c r="E830" t="s">
        <v>6</v>
      </c>
      <c r="F830" t="s">
        <v>7</v>
      </c>
      <c r="G830" s="1">
        <f t="shared" si="36"/>
        <v>45009</v>
      </c>
      <c r="H830">
        <f t="shared" si="37"/>
        <v>3</v>
      </c>
      <c r="I830">
        <f t="shared" si="38"/>
        <v>0</v>
      </c>
      <c r="J830">
        <f>IF(Table1[[#This Row],[Active_months]]&gt;=1, 1, 0)</f>
        <v>1</v>
      </c>
    </row>
    <row r="831" spans="1:10" x14ac:dyDescent="0.3">
      <c r="A831">
        <v>148427368</v>
      </c>
      <c r="B831" s="1">
        <v>44926</v>
      </c>
      <c r="C831" s="1">
        <v>44964</v>
      </c>
      <c r="D831">
        <v>39</v>
      </c>
      <c r="E831" t="s">
        <v>6</v>
      </c>
      <c r="F831" t="s">
        <v>7</v>
      </c>
      <c r="G831" s="1">
        <f t="shared" si="36"/>
        <v>44964</v>
      </c>
      <c r="H831">
        <f t="shared" si="37"/>
        <v>2</v>
      </c>
      <c r="I831">
        <f t="shared" si="38"/>
        <v>0</v>
      </c>
      <c r="J831">
        <f>IF(Table1[[#This Row],[Active_months]]&gt;=1, 1, 0)</f>
        <v>1</v>
      </c>
    </row>
    <row r="832" spans="1:10" x14ac:dyDescent="0.3">
      <c r="A832">
        <v>149335749</v>
      </c>
      <c r="B832" s="1">
        <v>44926</v>
      </c>
      <c r="C832" s="1">
        <v>44956</v>
      </c>
      <c r="D832">
        <v>39</v>
      </c>
      <c r="E832" t="s">
        <v>6</v>
      </c>
      <c r="F832" t="s">
        <v>7</v>
      </c>
      <c r="G832" s="1">
        <f t="shared" si="36"/>
        <v>44956</v>
      </c>
      <c r="H832">
        <f t="shared" si="37"/>
        <v>1</v>
      </c>
      <c r="I832">
        <f t="shared" si="38"/>
        <v>0</v>
      </c>
      <c r="J832">
        <f>IF(Table1[[#This Row],[Active_months]]&gt;=1, 1, 0)</f>
        <v>1</v>
      </c>
    </row>
    <row r="833" spans="1:10" x14ac:dyDescent="0.3">
      <c r="A833">
        <v>179395204</v>
      </c>
      <c r="B833" s="1">
        <v>44926</v>
      </c>
      <c r="C833" s="1">
        <v>44942</v>
      </c>
      <c r="D833">
        <v>39</v>
      </c>
      <c r="E833" t="s">
        <v>6</v>
      </c>
      <c r="F833" t="s">
        <v>7</v>
      </c>
      <c r="G833" s="1">
        <f t="shared" si="36"/>
        <v>44942</v>
      </c>
      <c r="H833">
        <f t="shared" si="37"/>
        <v>1</v>
      </c>
      <c r="I833">
        <f t="shared" si="38"/>
        <v>0</v>
      </c>
      <c r="J833">
        <f>IF(Table1[[#This Row],[Active_months]]&gt;=1, 1, 0)</f>
        <v>1</v>
      </c>
    </row>
    <row r="834" spans="1:10" x14ac:dyDescent="0.3">
      <c r="A834">
        <v>150870576</v>
      </c>
      <c r="B834" s="1">
        <v>44927</v>
      </c>
      <c r="C834" s="1">
        <v>45092</v>
      </c>
      <c r="D834">
        <v>39</v>
      </c>
      <c r="E834" t="s">
        <v>6</v>
      </c>
      <c r="F834" t="s">
        <v>7</v>
      </c>
      <c r="G834" s="1">
        <f t="shared" si="36"/>
        <v>45092</v>
      </c>
      <c r="H834">
        <f t="shared" si="37"/>
        <v>5</v>
      </c>
      <c r="I834">
        <f t="shared" si="38"/>
        <v>1</v>
      </c>
      <c r="J834">
        <f>IF(Table1[[#This Row],[Active_months]]&gt;=1, 1, 0)</f>
        <v>1</v>
      </c>
    </row>
    <row r="835" spans="1:10" x14ac:dyDescent="0.3">
      <c r="A835">
        <v>176200716</v>
      </c>
      <c r="B835" s="1">
        <v>44927</v>
      </c>
      <c r="C835" s="1">
        <v>45040</v>
      </c>
      <c r="D835">
        <v>39</v>
      </c>
      <c r="E835" t="s">
        <v>6</v>
      </c>
      <c r="F835" t="s">
        <v>7</v>
      </c>
      <c r="G835" s="1">
        <f t="shared" ref="G835:G898" si="39">IF(ISBLANK(C835), DATE(2023,9,30), C835)</f>
        <v>45040</v>
      </c>
      <c r="H835">
        <f t="shared" ref="H835:H898" si="40">(YEAR(G835)-YEAR(B835))*12 + (MONTH(G835)-MONTH(B835))</f>
        <v>3</v>
      </c>
      <c r="I835">
        <f t="shared" ref="I835:I898" si="41">IF(H835 &gt;=5, 1, 0)</f>
        <v>0</v>
      </c>
      <c r="J835">
        <f>IF(Table1[[#This Row],[Active_months]]&gt;=1, 1, 0)</f>
        <v>1</v>
      </c>
    </row>
    <row r="836" spans="1:10" x14ac:dyDescent="0.3">
      <c r="A836">
        <v>178097351</v>
      </c>
      <c r="B836" s="1">
        <v>44927</v>
      </c>
      <c r="C836" s="1">
        <v>44965</v>
      </c>
      <c r="D836">
        <v>39</v>
      </c>
      <c r="E836" t="s">
        <v>6</v>
      </c>
      <c r="F836" t="s">
        <v>7</v>
      </c>
      <c r="G836" s="1">
        <f t="shared" si="39"/>
        <v>44965</v>
      </c>
      <c r="H836">
        <f t="shared" si="40"/>
        <v>1</v>
      </c>
      <c r="I836">
        <f t="shared" si="41"/>
        <v>0</v>
      </c>
      <c r="J836">
        <f>IF(Table1[[#This Row],[Active_months]]&gt;=1, 1, 0)</f>
        <v>1</v>
      </c>
    </row>
    <row r="837" spans="1:10" x14ac:dyDescent="0.3">
      <c r="A837">
        <v>177238262</v>
      </c>
      <c r="B837" s="1">
        <v>44928</v>
      </c>
      <c r="D837">
        <v>39</v>
      </c>
      <c r="E837" t="s">
        <v>6</v>
      </c>
      <c r="F837" t="s">
        <v>7</v>
      </c>
      <c r="G837" s="1">
        <f t="shared" si="39"/>
        <v>45199</v>
      </c>
      <c r="H837">
        <f t="shared" si="40"/>
        <v>8</v>
      </c>
      <c r="I837">
        <f t="shared" si="41"/>
        <v>1</v>
      </c>
      <c r="J837">
        <f>IF(Table1[[#This Row],[Active_months]]&gt;=1, 1, 0)</f>
        <v>1</v>
      </c>
    </row>
    <row r="838" spans="1:10" x14ac:dyDescent="0.3">
      <c r="A838">
        <v>173131478</v>
      </c>
      <c r="B838" s="1">
        <v>44928</v>
      </c>
      <c r="D838">
        <v>39</v>
      </c>
      <c r="E838" t="s">
        <v>6</v>
      </c>
      <c r="F838" t="s">
        <v>7</v>
      </c>
      <c r="G838" s="1">
        <f t="shared" si="39"/>
        <v>45199</v>
      </c>
      <c r="H838">
        <f t="shared" si="40"/>
        <v>8</v>
      </c>
      <c r="I838">
        <f t="shared" si="41"/>
        <v>1</v>
      </c>
      <c r="J838">
        <f>IF(Table1[[#This Row],[Active_months]]&gt;=1, 1, 0)</f>
        <v>1</v>
      </c>
    </row>
    <row r="839" spans="1:10" x14ac:dyDescent="0.3">
      <c r="A839">
        <v>180123121</v>
      </c>
      <c r="B839" s="1">
        <v>44928</v>
      </c>
      <c r="C839" s="1">
        <v>44928</v>
      </c>
      <c r="D839">
        <v>39</v>
      </c>
      <c r="E839" t="s">
        <v>6</v>
      </c>
      <c r="F839" t="s">
        <v>8</v>
      </c>
      <c r="G839" s="1">
        <f t="shared" si="39"/>
        <v>44928</v>
      </c>
      <c r="H839">
        <f t="shared" si="40"/>
        <v>0</v>
      </c>
      <c r="I839">
        <f t="shared" si="41"/>
        <v>0</v>
      </c>
      <c r="J839">
        <f>IF(Table1[[#This Row],[Active_months]]&gt;=1, 1, 0)</f>
        <v>0</v>
      </c>
    </row>
    <row r="840" spans="1:10" x14ac:dyDescent="0.3">
      <c r="A840">
        <v>139136640</v>
      </c>
      <c r="B840" s="1">
        <v>44928</v>
      </c>
      <c r="C840" s="1">
        <v>44994</v>
      </c>
      <c r="D840">
        <v>39</v>
      </c>
      <c r="E840" t="s">
        <v>6</v>
      </c>
      <c r="F840" t="s">
        <v>7</v>
      </c>
      <c r="G840" s="1">
        <f t="shared" si="39"/>
        <v>44994</v>
      </c>
      <c r="H840">
        <f t="shared" si="40"/>
        <v>2</v>
      </c>
      <c r="I840">
        <f t="shared" si="41"/>
        <v>0</v>
      </c>
      <c r="J840">
        <f>IF(Table1[[#This Row],[Active_months]]&gt;=1, 1, 0)</f>
        <v>1</v>
      </c>
    </row>
    <row r="841" spans="1:10" x14ac:dyDescent="0.3">
      <c r="A841">
        <v>172951272</v>
      </c>
      <c r="B841" s="1">
        <v>44928</v>
      </c>
      <c r="C841" s="1">
        <v>45052</v>
      </c>
      <c r="D841">
        <v>39</v>
      </c>
      <c r="E841" t="s">
        <v>6</v>
      </c>
      <c r="F841" t="s">
        <v>7</v>
      </c>
      <c r="G841" s="1">
        <f t="shared" si="39"/>
        <v>45052</v>
      </c>
      <c r="H841">
        <f t="shared" si="40"/>
        <v>4</v>
      </c>
      <c r="I841">
        <f t="shared" si="41"/>
        <v>0</v>
      </c>
      <c r="J841">
        <f>IF(Table1[[#This Row],[Active_months]]&gt;=1, 1, 0)</f>
        <v>1</v>
      </c>
    </row>
    <row r="842" spans="1:10" x14ac:dyDescent="0.3">
      <c r="A842">
        <v>175473611</v>
      </c>
      <c r="B842" s="1">
        <v>44928</v>
      </c>
      <c r="C842" s="1">
        <v>45039</v>
      </c>
      <c r="D842">
        <v>39</v>
      </c>
      <c r="E842" t="s">
        <v>6</v>
      </c>
      <c r="F842" t="s">
        <v>7</v>
      </c>
      <c r="G842" s="1">
        <f t="shared" si="39"/>
        <v>45039</v>
      </c>
      <c r="H842">
        <f t="shared" si="40"/>
        <v>3</v>
      </c>
      <c r="I842">
        <f t="shared" si="41"/>
        <v>0</v>
      </c>
      <c r="J842">
        <f>IF(Table1[[#This Row],[Active_months]]&gt;=1, 1, 0)</f>
        <v>1</v>
      </c>
    </row>
    <row r="843" spans="1:10" x14ac:dyDescent="0.3">
      <c r="A843">
        <v>170776130</v>
      </c>
      <c r="B843" s="1">
        <v>44928</v>
      </c>
      <c r="C843" s="1">
        <v>45034</v>
      </c>
      <c r="D843">
        <v>39</v>
      </c>
      <c r="E843" t="s">
        <v>6</v>
      </c>
      <c r="F843" t="s">
        <v>7</v>
      </c>
      <c r="G843" s="1">
        <f t="shared" si="39"/>
        <v>45034</v>
      </c>
      <c r="H843">
        <f t="shared" si="40"/>
        <v>3</v>
      </c>
      <c r="I843">
        <f t="shared" si="41"/>
        <v>0</v>
      </c>
      <c r="J843">
        <f>IF(Table1[[#This Row],[Active_months]]&gt;=1, 1, 0)</f>
        <v>1</v>
      </c>
    </row>
    <row r="844" spans="1:10" x14ac:dyDescent="0.3">
      <c r="A844">
        <v>180558466</v>
      </c>
      <c r="B844" s="1">
        <v>44928</v>
      </c>
      <c r="C844" s="1">
        <v>45009</v>
      </c>
      <c r="D844">
        <v>39</v>
      </c>
      <c r="E844" t="s">
        <v>6</v>
      </c>
      <c r="F844" t="s">
        <v>7</v>
      </c>
      <c r="G844" s="1">
        <f t="shared" si="39"/>
        <v>45009</v>
      </c>
      <c r="H844">
        <f t="shared" si="40"/>
        <v>2</v>
      </c>
      <c r="I844">
        <f t="shared" si="41"/>
        <v>0</v>
      </c>
      <c r="J844">
        <f>IF(Table1[[#This Row],[Active_months]]&gt;=1, 1, 0)</f>
        <v>1</v>
      </c>
    </row>
    <row r="845" spans="1:10" x14ac:dyDescent="0.3">
      <c r="A845">
        <v>171398636</v>
      </c>
      <c r="B845" s="1">
        <v>44928</v>
      </c>
      <c r="C845" s="1">
        <v>44995</v>
      </c>
      <c r="D845">
        <v>39</v>
      </c>
      <c r="E845" t="s">
        <v>6</v>
      </c>
      <c r="F845" t="s">
        <v>7</v>
      </c>
      <c r="G845" s="1">
        <f t="shared" si="39"/>
        <v>44995</v>
      </c>
      <c r="H845">
        <f t="shared" si="40"/>
        <v>2</v>
      </c>
      <c r="I845">
        <f t="shared" si="41"/>
        <v>0</v>
      </c>
      <c r="J845">
        <f>IF(Table1[[#This Row],[Active_months]]&gt;=1, 1, 0)</f>
        <v>1</v>
      </c>
    </row>
    <row r="846" spans="1:10" x14ac:dyDescent="0.3">
      <c r="A846">
        <v>180424776</v>
      </c>
      <c r="B846" s="1">
        <v>44928</v>
      </c>
      <c r="C846" s="1">
        <v>45004</v>
      </c>
      <c r="D846">
        <v>39</v>
      </c>
      <c r="E846" t="s">
        <v>6</v>
      </c>
      <c r="F846" t="s">
        <v>7</v>
      </c>
      <c r="G846" s="1">
        <f t="shared" si="39"/>
        <v>45004</v>
      </c>
      <c r="H846">
        <f t="shared" si="40"/>
        <v>2</v>
      </c>
      <c r="I846">
        <f t="shared" si="41"/>
        <v>0</v>
      </c>
      <c r="J846">
        <f>IF(Table1[[#This Row],[Active_months]]&gt;=1, 1, 0)</f>
        <v>1</v>
      </c>
    </row>
    <row r="847" spans="1:10" x14ac:dyDescent="0.3">
      <c r="A847">
        <v>180198528</v>
      </c>
      <c r="B847" s="1">
        <v>44928</v>
      </c>
      <c r="C847" s="1">
        <v>44966</v>
      </c>
      <c r="D847">
        <v>39</v>
      </c>
      <c r="E847" t="s">
        <v>6</v>
      </c>
      <c r="F847" t="s">
        <v>7</v>
      </c>
      <c r="G847" s="1">
        <f t="shared" si="39"/>
        <v>44966</v>
      </c>
      <c r="H847">
        <f t="shared" si="40"/>
        <v>1</v>
      </c>
      <c r="I847">
        <f t="shared" si="41"/>
        <v>0</v>
      </c>
      <c r="J847">
        <f>IF(Table1[[#This Row],[Active_months]]&gt;=1, 1, 0)</f>
        <v>1</v>
      </c>
    </row>
    <row r="848" spans="1:10" x14ac:dyDescent="0.3">
      <c r="A848">
        <v>124634385</v>
      </c>
      <c r="B848" s="1">
        <v>44929</v>
      </c>
      <c r="D848">
        <v>39</v>
      </c>
      <c r="E848" t="s">
        <v>6</v>
      </c>
      <c r="F848" t="s">
        <v>7</v>
      </c>
      <c r="G848" s="1">
        <f t="shared" si="39"/>
        <v>45199</v>
      </c>
      <c r="H848">
        <f t="shared" si="40"/>
        <v>8</v>
      </c>
      <c r="I848">
        <f t="shared" si="41"/>
        <v>1</v>
      </c>
      <c r="J848">
        <f>IF(Table1[[#This Row],[Active_months]]&gt;=1, 1, 0)</f>
        <v>1</v>
      </c>
    </row>
    <row r="849" spans="1:10" x14ac:dyDescent="0.3">
      <c r="A849">
        <v>180740092</v>
      </c>
      <c r="B849" s="1">
        <v>44929</v>
      </c>
      <c r="D849">
        <v>39</v>
      </c>
      <c r="E849" t="s">
        <v>6</v>
      </c>
      <c r="F849" t="s">
        <v>7</v>
      </c>
      <c r="G849" s="1">
        <f t="shared" si="39"/>
        <v>45199</v>
      </c>
      <c r="H849">
        <f t="shared" si="40"/>
        <v>8</v>
      </c>
      <c r="I849">
        <f t="shared" si="41"/>
        <v>1</v>
      </c>
      <c r="J849">
        <f>IF(Table1[[#This Row],[Active_months]]&gt;=1, 1, 0)</f>
        <v>1</v>
      </c>
    </row>
    <row r="850" spans="1:10" x14ac:dyDescent="0.3">
      <c r="A850">
        <v>144385898</v>
      </c>
      <c r="B850" s="1">
        <v>44929</v>
      </c>
      <c r="C850" s="1">
        <v>45110</v>
      </c>
      <c r="D850">
        <v>39</v>
      </c>
      <c r="E850" t="s">
        <v>6</v>
      </c>
      <c r="F850" t="s">
        <v>7</v>
      </c>
      <c r="G850" s="1">
        <f t="shared" si="39"/>
        <v>45110</v>
      </c>
      <c r="H850">
        <f t="shared" si="40"/>
        <v>6</v>
      </c>
      <c r="I850">
        <f t="shared" si="41"/>
        <v>1</v>
      </c>
      <c r="J850">
        <f>IF(Table1[[#This Row],[Active_months]]&gt;=1, 1, 0)</f>
        <v>1</v>
      </c>
    </row>
    <row r="851" spans="1:10" x14ac:dyDescent="0.3">
      <c r="A851">
        <v>175138132</v>
      </c>
      <c r="B851" s="1">
        <v>44929</v>
      </c>
      <c r="C851" s="1">
        <v>45039</v>
      </c>
      <c r="D851">
        <v>39</v>
      </c>
      <c r="E851" t="s">
        <v>6</v>
      </c>
      <c r="F851" t="s">
        <v>7</v>
      </c>
      <c r="G851" s="1">
        <f t="shared" si="39"/>
        <v>45039</v>
      </c>
      <c r="H851">
        <f t="shared" si="40"/>
        <v>3</v>
      </c>
      <c r="I851">
        <f t="shared" si="41"/>
        <v>0</v>
      </c>
      <c r="J851">
        <f>IF(Table1[[#This Row],[Active_months]]&gt;=1, 1, 0)</f>
        <v>1</v>
      </c>
    </row>
    <row r="852" spans="1:10" x14ac:dyDescent="0.3">
      <c r="A852">
        <v>180968287</v>
      </c>
      <c r="B852" s="1">
        <v>44929</v>
      </c>
      <c r="C852" s="1">
        <v>45012</v>
      </c>
      <c r="D852">
        <v>39</v>
      </c>
      <c r="E852" t="s">
        <v>6</v>
      </c>
      <c r="F852" t="s">
        <v>7</v>
      </c>
      <c r="G852" s="1">
        <f t="shared" si="39"/>
        <v>45012</v>
      </c>
      <c r="H852">
        <f t="shared" si="40"/>
        <v>2</v>
      </c>
      <c r="I852">
        <f t="shared" si="41"/>
        <v>0</v>
      </c>
      <c r="J852">
        <f>IF(Table1[[#This Row],[Active_months]]&gt;=1, 1, 0)</f>
        <v>1</v>
      </c>
    </row>
    <row r="853" spans="1:10" x14ac:dyDescent="0.3">
      <c r="A853">
        <v>180959934</v>
      </c>
      <c r="B853" s="1">
        <v>44929</v>
      </c>
      <c r="C853" s="1">
        <v>44993</v>
      </c>
      <c r="D853">
        <v>39</v>
      </c>
      <c r="E853" t="s">
        <v>6</v>
      </c>
      <c r="F853" t="s">
        <v>7</v>
      </c>
      <c r="G853" s="1">
        <f t="shared" si="39"/>
        <v>44993</v>
      </c>
      <c r="H853">
        <f t="shared" si="40"/>
        <v>2</v>
      </c>
      <c r="I853">
        <f t="shared" si="41"/>
        <v>0</v>
      </c>
      <c r="J853">
        <f>IF(Table1[[#This Row],[Active_months]]&gt;=1, 1, 0)</f>
        <v>1</v>
      </c>
    </row>
    <row r="854" spans="1:10" x14ac:dyDescent="0.3">
      <c r="A854">
        <v>176445635</v>
      </c>
      <c r="B854" s="1">
        <v>44929</v>
      </c>
      <c r="C854" s="1">
        <v>44975</v>
      </c>
      <c r="D854">
        <v>39</v>
      </c>
      <c r="E854" t="s">
        <v>6</v>
      </c>
      <c r="F854" t="s">
        <v>7</v>
      </c>
      <c r="G854" s="1">
        <f t="shared" si="39"/>
        <v>44975</v>
      </c>
      <c r="H854">
        <f t="shared" si="40"/>
        <v>1</v>
      </c>
      <c r="I854">
        <f t="shared" si="41"/>
        <v>0</v>
      </c>
      <c r="J854">
        <f>IF(Table1[[#This Row],[Active_months]]&gt;=1, 1, 0)</f>
        <v>1</v>
      </c>
    </row>
    <row r="855" spans="1:10" x14ac:dyDescent="0.3">
      <c r="A855">
        <v>180798046</v>
      </c>
      <c r="B855" s="1">
        <v>44929</v>
      </c>
      <c r="C855" s="1">
        <v>44957</v>
      </c>
      <c r="D855">
        <v>39</v>
      </c>
      <c r="E855" t="s">
        <v>6</v>
      </c>
      <c r="F855" t="s">
        <v>7</v>
      </c>
      <c r="G855" s="1">
        <f t="shared" si="39"/>
        <v>44957</v>
      </c>
      <c r="H855">
        <f t="shared" si="40"/>
        <v>0</v>
      </c>
      <c r="I855">
        <f t="shared" si="41"/>
        <v>0</v>
      </c>
      <c r="J855">
        <f>IF(Table1[[#This Row],[Active_months]]&gt;=1, 1, 0)</f>
        <v>0</v>
      </c>
    </row>
    <row r="856" spans="1:10" x14ac:dyDescent="0.3">
      <c r="A856">
        <v>180718702</v>
      </c>
      <c r="B856" s="1">
        <v>44929</v>
      </c>
      <c r="C856" s="1">
        <v>44951</v>
      </c>
      <c r="D856">
        <v>39</v>
      </c>
      <c r="E856" t="s">
        <v>6</v>
      </c>
      <c r="F856" t="s">
        <v>7</v>
      </c>
      <c r="G856" s="1">
        <f t="shared" si="39"/>
        <v>44951</v>
      </c>
      <c r="H856">
        <f t="shared" si="40"/>
        <v>0</v>
      </c>
      <c r="I856">
        <f t="shared" si="41"/>
        <v>0</v>
      </c>
      <c r="J856">
        <f>IF(Table1[[#This Row],[Active_months]]&gt;=1, 1, 0)</f>
        <v>0</v>
      </c>
    </row>
    <row r="857" spans="1:10" x14ac:dyDescent="0.3">
      <c r="A857">
        <v>181052392</v>
      </c>
      <c r="B857" s="1">
        <v>44929</v>
      </c>
      <c r="C857" s="1">
        <v>45161</v>
      </c>
      <c r="D857">
        <v>39</v>
      </c>
      <c r="E857" t="s">
        <v>6</v>
      </c>
      <c r="F857" t="s">
        <v>7</v>
      </c>
      <c r="G857" s="1">
        <f t="shared" si="39"/>
        <v>45161</v>
      </c>
      <c r="H857">
        <f t="shared" si="40"/>
        <v>7</v>
      </c>
      <c r="I857">
        <f t="shared" si="41"/>
        <v>1</v>
      </c>
      <c r="J857">
        <f>IF(Table1[[#This Row],[Active_months]]&gt;=1, 1, 0)</f>
        <v>1</v>
      </c>
    </row>
    <row r="858" spans="1:10" x14ac:dyDescent="0.3">
      <c r="A858">
        <v>181717508</v>
      </c>
      <c r="B858" s="1">
        <v>44930</v>
      </c>
      <c r="D858">
        <v>39</v>
      </c>
      <c r="E858" t="s">
        <v>6</v>
      </c>
      <c r="F858" t="s">
        <v>7</v>
      </c>
      <c r="G858" s="1">
        <f t="shared" si="39"/>
        <v>45199</v>
      </c>
      <c r="H858">
        <f t="shared" si="40"/>
        <v>8</v>
      </c>
      <c r="I858">
        <f t="shared" si="41"/>
        <v>1</v>
      </c>
      <c r="J858">
        <f>IF(Table1[[#This Row],[Active_months]]&gt;=1, 1, 0)</f>
        <v>1</v>
      </c>
    </row>
    <row r="859" spans="1:10" x14ac:dyDescent="0.3">
      <c r="A859">
        <v>163103592</v>
      </c>
      <c r="B859" s="1">
        <v>44930</v>
      </c>
      <c r="C859" s="1">
        <v>44931</v>
      </c>
      <c r="D859">
        <v>39</v>
      </c>
      <c r="E859" t="s">
        <v>6</v>
      </c>
      <c r="F859" t="s">
        <v>8</v>
      </c>
      <c r="G859" s="1">
        <f t="shared" si="39"/>
        <v>44931</v>
      </c>
      <c r="H859">
        <f t="shared" si="40"/>
        <v>0</v>
      </c>
      <c r="I859">
        <f t="shared" si="41"/>
        <v>0</v>
      </c>
      <c r="J859">
        <f>IF(Table1[[#This Row],[Active_months]]&gt;=1, 1, 0)</f>
        <v>0</v>
      </c>
    </row>
    <row r="860" spans="1:10" x14ac:dyDescent="0.3">
      <c r="A860">
        <v>146860806</v>
      </c>
      <c r="B860" s="1">
        <v>44930</v>
      </c>
      <c r="C860" s="1">
        <v>44989</v>
      </c>
      <c r="D860">
        <v>39</v>
      </c>
      <c r="E860" t="s">
        <v>6</v>
      </c>
      <c r="F860" t="s">
        <v>7</v>
      </c>
      <c r="G860" s="1">
        <f t="shared" si="39"/>
        <v>44989</v>
      </c>
      <c r="H860">
        <f t="shared" si="40"/>
        <v>2</v>
      </c>
      <c r="I860">
        <f t="shared" si="41"/>
        <v>0</v>
      </c>
      <c r="J860">
        <f>IF(Table1[[#This Row],[Active_months]]&gt;=1, 1, 0)</f>
        <v>1</v>
      </c>
    </row>
    <row r="861" spans="1:10" x14ac:dyDescent="0.3">
      <c r="A861">
        <v>160532210</v>
      </c>
      <c r="B861" s="1">
        <v>44930</v>
      </c>
      <c r="C861" s="1">
        <v>44969</v>
      </c>
      <c r="D861">
        <v>39</v>
      </c>
      <c r="E861" t="s">
        <v>6</v>
      </c>
      <c r="F861" t="s">
        <v>7</v>
      </c>
      <c r="G861" s="1">
        <f t="shared" si="39"/>
        <v>44969</v>
      </c>
      <c r="H861">
        <f t="shared" si="40"/>
        <v>1</v>
      </c>
      <c r="I861">
        <f t="shared" si="41"/>
        <v>0</v>
      </c>
      <c r="J861">
        <f>IF(Table1[[#This Row],[Active_months]]&gt;=1, 1, 0)</f>
        <v>1</v>
      </c>
    </row>
    <row r="862" spans="1:10" x14ac:dyDescent="0.3">
      <c r="A862">
        <v>181003342</v>
      </c>
      <c r="B862" s="1">
        <v>44930</v>
      </c>
      <c r="C862" s="1">
        <v>44985</v>
      </c>
      <c r="D862">
        <v>39</v>
      </c>
      <c r="E862" t="s">
        <v>6</v>
      </c>
      <c r="F862" t="s">
        <v>7</v>
      </c>
      <c r="G862" s="1">
        <f t="shared" si="39"/>
        <v>44985</v>
      </c>
      <c r="H862">
        <f t="shared" si="40"/>
        <v>1</v>
      </c>
      <c r="I862">
        <f t="shared" si="41"/>
        <v>0</v>
      </c>
      <c r="J862">
        <f>IF(Table1[[#This Row],[Active_months]]&gt;=1, 1, 0)</f>
        <v>1</v>
      </c>
    </row>
    <row r="863" spans="1:10" x14ac:dyDescent="0.3">
      <c r="A863">
        <v>178661698</v>
      </c>
      <c r="B863" s="1">
        <v>44930</v>
      </c>
      <c r="C863" s="1">
        <v>45118</v>
      </c>
      <c r="D863">
        <v>39</v>
      </c>
      <c r="E863" t="s">
        <v>6</v>
      </c>
      <c r="F863" t="s">
        <v>7</v>
      </c>
      <c r="G863" s="1">
        <f t="shared" si="39"/>
        <v>45118</v>
      </c>
      <c r="H863">
        <f t="shared" si="40"/>
        <v>6</v>
      </c>
      <c r="I863">
        <f t="shared" si="41"/>
        <v>1</v>
      </c>
      <c r="J863">
        <f>IF(Table1[[#This Row],[Active_months]]&gt;=1, 1, 0)</f>
        <v>1</v>
      </c>
    </row>
    <row r="864" spans="1:10" x14ac:dyDescent="0.3">
      <c r="A864">
        <v>178928897</v>
      </c>
      <c r="B864" s="1">
        <v>44931</v>
      </c>
      <c r="D864">
        <v>39</v>
      </c>
      <c r="E864" t="s">
        <v>6</v>
      </c>
      <c r="F864" t="s">
        <v>7</v>
      </c>
      <c r="G864" s="1">
        <f t="shared" si="39"/>
        <v>45199</v>
      </c>
      <c r="H864">
        <f t="shared" si="40"/>
        <v>8</v>
      </c>
      <c r="I864">
        <f t="shared" si="41"/>
        <v>1</v>
      </c>
      <c r="J864">
        <f>IF(Table1[[#This Row],[Active_months]]&gt;=1, 1, 0)</f>
        <v>1</v>
      </c>
    </row>
    <row r="865" spans="1:10" x14ac:dyDescent="0.3">
      <c r="A865">
        <v>181840814</v>
      </c>
      <c r="B865" s="1">
        <v>44931</v>
      </c>
      <c r="D865">
        <v>39</v>
      </c>
      <c r="E865" t="s">
        <v>6</v>
      </c>
      <c r="F865" t="s">
        <v>7</v>
      </c>
      <c r="G865" s="1">
        <f t="shared" si="39"/>
        <v>45199</v>
      </c>
      <c r="H865">
        <f t="shared" si="40"/>
        <v>8</v>
      </c>
      <c r="I865">
        <f t="shared" si="41"/>
        <v>1</v>
      </c>
      <c r="J865">
        <f>IF(Table1[[#This Row],[Active_months]]&gt;=1, 1, 0)</f>
        <v>1</v>
      </c>
    </row>
    <row r="866" spans="1:10" x14ac:dyDescent="0.3">
      <c r="A866">
        <v>166930287</v>
      </c>
      <c r="B866" s="1">
        <v>44931</v>
      </c>
      <c r="C866" s="1">
        <v>44932</v>
      </c>
      <c r="D866">
        <v>39</v>
      </c>
      <c r="E866" t="s">
        <v>6</v>
      </c>
      <c r="F866" t="s">
        <v>8</v>
      </c>
      <c r="G866" s="1">
        <f t="shared" si="39"/>
        <v>44932</v>
      </c>
      <c r="H866">
        <f t="shared" si="40"/>
        <v>0</v>
      </c>
      <c r="I866">
        <f t="shared" si="41"/>
        <v>0</v>
      </c>
      <c r="J866">
        <f>IF(Table1[[#This Row],[Active_months]]&gt;=1, 1, 0)</f>
        <v>0</v>
      </c>
    </row>
    <row r="867" spans="1:10" x14ac:dyDescent="0.3">
      <c r="A867">
        <v>155956314</v>
      </c>
      <c r="B867" s="1">
        <v>44931</v>
      </c>
      <c r="C867" s="1">
        <v>44931</v>
      </c>
      <c r="D867">
        <v>39</v>
      </c>
      <c r="E867" t="s">
        <v>6</v>
      </c>
      <c r="F867" t="s">
        <v>8</v>
      </c>
      <c r="G867" s="1">
        <f t="shared" si="39"/>
        <v>44931</v>
      </c>
      <c r="H867">
        <f t="shared" si="40"/>
        <v>0</v>
      </c>
      <c r="I867">
        <f t="shared" si="41"/>
        <v>0</v>
      </c>
      <c r="J867">
        <f>IF(Table1[[#This Row],[Active_months]]&gt;=1, 1, 0)</f>
        <v>0</v>
      </c>
    </row>
    <row r="868" spans="1:10" x14ac:dyDescent="0.3">
      <c r="A868">
        <v>182408564</v>
      </c>
      <c r="B868" s="1">
        <v>44931</v>
      </c>
      <c r="C868" s="1">
        <v>45050</v>
      </c>
      <c r="D868">
        <v>39</v>
      </c>
      <c r="E868" t="s">
        <v>6</v>
      </c>
      <c r="F868" t="s">
        <v>7</v>
      </c>
      <c r="G868" s="1">
        <f t="shared" si="39"/>
        <v>45050</v>
      </c>
      <c r="H868">
        <f t="shared" si="40"/>
        <v>4</v>
      </c>
      <c r="I868">
        <f t="shared" si="41"/>
        <v>0</v>
      </c>
      <c r="J868">
        <f>IF(Table1[[#This Row],[Active_months]]&gt;=1, 1, 0)</f>
        <v>1</v>
      </c>
    </row>
    <row r="869" spans="1:10" x14ac:dyDescent="0.3">
      <c r="A869">
        <v>182295766</v>
      </c>
      <c r="B869" s="1">
        <v>44931</v>
      </c>
      <c r="C869" s="1">
        <v>44997</v>
      </c>
      <c r="D869">
        <v>39</v>
      </c>
      <c r="E869" t="s">
        <v>6</v>
      </c>
      <c r="F869" t="s">
        <v>7</v>
      </c>
      <c r="G869" s="1">
        <f t="shared" si="39"/>
        <v>44997</v>
      </c>
      <c r="H869">
        <f t="shared" si="40"/>
        <v>2</v>
      </c>
      <c r="I869">
        <f t="shared" si="41"/>
        <v>0</v>
      </c>
      <c r="J869">
        <f>IF(Table1[[#This Row],[Active_months]]&gt;=1, 1, 0)</f>
        <v>1</v>
      </c>
    </row>
    <row r="870" spans="1:10" x14ac:dyDescent="0.3">
      <c r="A870">
        <v>155881023</v>
      </c>
      <c r="B870" s="1">
        <v>44931</v>
      </c>
      <c r="C870" s="1">
        <v>44987</v>
      </c>
      <c r="D870">
        <v>39</v>
      </c>
      <c r="E870" t="s">
        <v>6</v>
      </c>
      <c r="F870" t="s">
        <v>7</v>
      </c>
      <c r="G870" s="1">
        <f t="shared" si="39"/>
        <v>44987</v>
      </c>
      <c r="H870">
        <f t="shared" si="40"/>
        <v>2</v>
      </c>
      <c r="I870">
        <f t="shared" si="41"/>
        <v>0</v>
      </c>
      <c r="J870">
        <f>IF(Table1[[#This Row],[Active_months]]&gt;=1, 1, 0)</f>
        <v>1</v>
      </c>
    </row>
    <row r="871" spans="1:10" x14ac:dyDescent="0.3">
      <c r="A871">
        <v>152750569</v>
      </c>
      <c r="B871" s="1">
        <v>44931</v>
      </c>
      <c r="C871" s="1">
        <v>44969</v>
      </c>
      <c r="D871">
        <v>39</v>
      </c>
      <c r="E871" t="s">
        <v>6</v>
      </c>
      <c r="F871" t="s">
        <v>7</v>
      </c>
      <c r="G871" s="1">
        <f t="shared" si="39"/>
        <v>44969</v>
      </c>
      <c r="H871">
        <f t="shared" si="40"/>
        <v>1</v>
      </c>
      <c r="I871">
        <f t="shared" si="41"/>
        <v>0</v>
      </c>
      <c r="J871">
        <f>IF(Table1[[#This Row],[Active_months]]&gt;=1, 1, 0)</f>
        <v>1</v>
      </c>
    </row>
    <row r="872" spans="1:10" x14ac:dyDescent="0.3">
      <c r="A872">
        <v>178345451</v>
      </c>
      <c r="B872" s="1">
        <v>44931</v>
      </c>
      <c r="C872" s="1">
        <v>44969</v>
      </c>
      <c r="D872">
        <v>39</v>
      </c>
      <c r="E872" t="s">
        <v>6</v>
      </c>
      <c r="F872" t="s">
        <v>7</v>
      </c>
      <c r="G872" s="1">
        <f t="shared" si="39"/>
        <v>44969</v>
      </c>
      <c r="H872">
        <f t="shared" si="40"/>
        <v>1</v>
      </c>
      <c r="I872">
        <f t="shared" si="41"/>
        <v>0</v>
      </c>
      <c r="J872">
        <f>IF(Table1[[#This Row],[Active_months]]&gt;=1, 1, 0)</f>
        <v>1</v>
      </c>
    </row>
    <row r="873" spans="1:10" x14ac:dyDescent="0.3">
      <c r="A873">
        <v>179758181</v>
      </c>
      <c r="B873" s="1">
        <v>44932</v>
      </c>
      <c r="D873">
        <v>39</v>
      </c>
      <c r="E873" t="s">
        <v>6</v>
      </c>
      <c r="F873" t="s">
        <v>7</v>
      </c>
      <c r="G873" s="1">
        <f t="shared" si="39"/>
        <v>45199</v>
      </c>
      <c r="H873">
        <f t="shared" si="40"/>
        <v>8</v>
      </c>
      <c r="I873">
        <f t="shared" si="41"/>
        <v>1</v>
      </c>
      <c r="J873">
        <f>IF(Table1[[#This Row],[Active_months]]&gt;=1, 1, 0)</f>
        <v>1</v>
      </c>
    </row>
    <row r="874" spans="1:10" x14ac:dyDescent="0.3">
      <c r="A874">
        <v>167266048</v>
      </c>
      <c r="B874" s="1">
        <v>44932</v>
      </c>
      <c r="D874">
        <v>39</v>
      </c>
      <c r="E874" t="s">
        <v>6</v>
      </c>
      <c r="F874" t="s">
        <v>7</v>
      </c>
      <c r="G874" s="1">
        <f t="shared" si="39"/>
        <v>45199</v>
      </c>
      <c r="H874">
        <f t="shared" si="40"/>
        <v>8</v>
      </c>
      <c r="I874">
        <f t="shared" si="41"/>
        <v>1</v>
      </c>
      <c r="J874">
        <f>IF(Table1[[#This Row],[Active_months]]&gt;=1, 1, 0)</f>
        <v>1</v>
      </c>
    </row>
    <row r="875" spans="1:10" x14ac:dyDescent="0.3">
      <c r="A875">
        <v>182719870</v>
      </c>
      <c r="B875" s="1">
        <v>44932</v>
      </c>
      <c r="C875" s="1">
        <v>45050</v>
      </c>
      <c r="D875">
        <v>39</v>
      </c>
      <c r="E875" t="s">
        <v>6</v>
      </c>
      <c r="F875" t="s">
        <v>7</v>
      </c>
      <c r="G875" s="1">
        <f t="shared" si="39"/>
        <v>45050</v>
      </c>
      <c r="H875">
        <f t="shared" si="40"/>
        <v>4</v>
      </c>
      <c r="I875">
        <f t="shared" si="41"/>
        <v>0</v>
      </c>
      <c r="J875">
        <f>IF(Table1[[#This Row],[Active_months]]&gt;=1, 1, 0)</f>
        <v>1</v>
      </c>
    </row>
    <row r="876" spans="1:10" x14ac:dyDescent="0.3">
      <c r="A876">
        <v>182408430</v>
      </c>
      <c r="B876" s="1">
        <v>44932</v>
      </c>
      <c r="C876" s="1">
        <v>45056</v>
      </c>
      <c r="D876">
        <v>39</v>
      </c>
      <c r="E876" t="s">
        <v>6</v>
      </c>
      <c r="F876" t="s">
        <v>7</v>
      </c>
      <c r="G876" s="1">
        <f t="shared" si="39"/>
        <v>45056</v>
      </c>
      <c r="H876">
        <f t="shared" si="40"/>
        <v>4</v>
      </c>
      <c r="I876">
        <f t="shared" si="41"/>
        <v>0</v>
      </c>
      <c r="J876">
        <f>IF(Table1[[#This Row],[Active_months]]&gt;=1, 1, 0)</f>
        <v>1</v>
      </c>
    </row>
    <row r="877" spans="1:10" x14ac:dyDescent="0.3">
      <c r="A877">
        <v>181072524</v>
      </c>
      <c r="B877" s="1">
        <v>44932</v>
      </c>
      <c r="C877" s="1">
        <v>45107</v>
      </c>
      <c r="D877">
        <v>39</v>
      </c>
      <c r="E877" t="s">
        <v>6</v>
      </c>
      <c r="F877" t="s">
        <v>7</v>
      </c>
      <c r="G877" s="1">
        <f t="shared" si="39"/>
        <v>45107</v>
      </c>
      <c r="H877">
        <f t="shared" si="40"/>
        <v>5</v>
      </c>
      <c r="I877">
        <f t="shared" si="41"/>
        <v>1</v>
      </c>
      <c r="J877">
        <f>IF(Table1[[#This Row],[Active_months]]&gt;=1, 1, 0)</f>
        <v>1</v>
      </c>
    </row>
    <row r="878" spans="1:10" x14ac:dyDescent="0.3">
      <c r="A878">
        <v>182747824</v>
      </c>
      <c r="B878" s="1">
        <v>44932</v>
      </c>
      <c r="C878" s="1">
        <v>45029</v>
      </c>
      <c r="D878">
        <v>39</v>
      </c>
      <c r="E878" t="s">
        <v>6</v>
      </c>
      <c r="F878" t="s">
        <v>7</v>
      </c>
      <c r="G878" s="1">
        <f t="shared" si="39"/>
        <v>45029</v>
      </c>
      <c r="H878">
        <f t="shared" si="40"/>
        <v>3</v>
      </c>
      <c r="I878">
        <f t="shared" si="41"/>
        <v>0</v>
      </c>
      <c r="J878">
        <f>IF(Table1[[#This Row],[Active_months]]&gt;=1, 1, 0)</f>
        <v>1</v>
      </c>
    </row>
    <row r="879" spans="1:10" x14ac:dyDescent="0.3">
      <c r="A879">
        <v>182700534</v>
      </c>
      <c r="B879" s="1">
        <v>44932</v>
      </c>
      <c r="C879" s="1">
        <v>45011</v>
      </c>
      <c r="D879">
        <v>39</v>
      </c>
      <c r="E879" t="s">
        <v>6</v>
      </c>
      <c r="F879" t="s">
        <v>7</v>
      </c>
      <c r="G879" s="1">
        <f t="shared" si="39"/>
        <v>45011</v>
      </c>
      <c r="H879">
        <f t="shared" si="40"/>
        <v>2</v>
      </c>
      <c r="I879">
        <f t="shared" si="41"/>
        <v>0</v>
      </c>
      <c r="J879">
        <f>IF(Table1[[#This Row],[Active_months]]&gt;=1, 1, 0)</f>
        <v>1</v>
      </c>
    </row>
    <row r="880" spans="1:10" x14ac:dyDescent="0.3">
      <c r="A880">
        <v>182727349</v>
      </c>
      <c r="B880" s="1">
        <v>44932</v>
      </c>
      <c r="C880" s="1">
        <v>44963</v>
      </c>
      <c r="D880">
        <v>39</v>
      </c>
      <c r="E880" t="s">
        <v>6</v>
      </c>
      <c r="F880" t="s">
        <v>7</v>
      </c>
      <c r="G880" s="1">
        <f t="shared" si="39"/>
        <v>44963</v>
      </c>
      <c r="H880">
        <f t="shared" si="40"/>
        <v>1</v>
      </c>
      <c r="I880">
        <f t="shared" si="41"/>
        <v>0</v>
      </c>
      <c r="J880">
        <f>IF(Table1[[#This Row],[Active_months]]&gt;=1, 1, 0)</f>
        <v>1</v>
      </c>
    </row>
    <row r="881" spans="1:10" x14ac:dyDescent="0.3">
      <c r="A881">
        <v>182636324</v>
      </c>
      <c r="B881" s="1">
        <v>44932</v>
      </c>
      <c r="C881" s="1">
        <v>44960</v>
      </c>
      <c r="D881">
        <v>39</v>
      </c>
      <c r="E881" t="s">
        <v>6</v>
      </c>
      <c r="F881" t="s">
        <v>7</v>
      </c>
      <c r="G881" s="1">
        <f t="shared" si="39"/>
        <v>44960</v>
      </c>
      <c r="H881">
        <f t="shared" si="40"/>
        <v>1</v>
      </c>
      <c r="I881">
        <f t="shared" si="41"/>
        <v>0</v>
      </c>
      <c r="J881">
        <f>IF(Table1[[#This Row],[Active_months]]&gt;=1, 1, 0)</f>
        <v>1</v>
      </c>
    </row>
    <row r="882" spans="1:10" x14ac:dyDescent="0.3">
      <c r="A882">
        <v>170485769</v>
      </c>
      <c r="B882" s="1">
        <v>44932</v>
      </c>
      <c r="C882" s="1">
        <v>44932</v>
      </c>
      <c r="D882">
        <v>39</v>
      </c>
      <c r="E882" t="s">
        <v>6</v>
      </c>
      <c r="F882" t="s">
        <v>7</v>
      </c>
      <c r="G882" s="1">
        <f t="shared" si="39"/>
        <v>44932</v>
      </c>
      <c r="H882">
        <f t="shared" si="40"/>
        <v>0</v>
      </c>
      <c r="I882">
        <f t="shared" si="41"/>
        <v>0</v>
      </c>
      <c r="J882">
        <f>IF(Table1[[#This Row],[Active_months]]&gt;=1, 1, 0)</f>
        <v>0</v>
      </c>
    </row>
    <row r="883" spans="1:10" x14ac:dyDescent="0.3">
      <c r="A883">
        <v>182627508</v>
      </c>
      <c r="B883" s="1">
        <v>44932</v>
      </c>
      <c r="C883" s="1">
        <v>44932</v>
      </c>
      <c r="D883">
        <v>39</v>
      </c>
      <c r="E883" t="s">
        <v>6</v>
      </c>
      <c r="F883" t="s">
        <v>7</v>
      </c>
      <c r="G883" s="1">
        <f t="shared" si="39"/>
        <v>44932</v>
      </c>
      <c r="H883">
        <f t="shared" si="40"/>
        <v>0</v>
      </c>
      <c r="I883">
        <f t="shared" si="41"/>
        <v>0</v>
      </c>
      <c r="J883">
        <f>IF(Table1[[#This Row],[Active_months]]&gt;=1, 1, 0)</f>
        <v>0</v>
      </c>
    </row>
    <row r="884" spans="1:10" x14ac:dyDescent="0.3">
      <c r="A884">
        <v>182834016</v>
      </c>
      <c r="B884" s="1">
        <v>44933</v>
      </c>
      <c r="C884" s="1">
        <v>45091</v>
      </c>
      <c r="D884">
        <v>39</v>
      </c>
      <c r="E884" t="s">
        <v>6</v>
      </c>
      <c r="F884" t="s">
        <v>7</v>
      </c>
      <c r="G884" s="1">
        <f t="shared" si="39"/>
        <v>45091</v>
      </c>
      <c r="H884">
        <f t="shared" si="40"/>
        <v>5</v>
      </c>
      <c r="I884">
        <f t="shared" si="41"/>
        <v>1</v>
      </c>
      <c r="J884">
        <f>IF(Table1[[#This Row],[Active_months]]&gt;=1, 1, 0)</f>
        <v>1</v>
      </c>
    </row>
    <row r="885" spans="1:10" x14ac:dyDescent="0.3">
      <c r="A885">
        <v>163535855</v>
      </c>
      <c r="B885" s="1">
        <v>44933</v>
      </c>
      <c r="C885" s="1">
        <v>45098</v>
      </c>
      <c r="D885">
        <v>39</v>
      </c>
      <c r="E885" t="s">
        <v>6</v>
      </c>
      <c r="F885" t="s">
        <v>7</v>
      </c>
      <c r="G885" s="1">
        <f t="shared" si="39"/>
        <v>45098</v>
      </c>
      <c r="H885">
        <f t="shared" si="40"/>
        <v>5</v>
      </c>
      <c r="I885">
        <f t="shared" si="41"/>
        <v>1</v>
      </c>
      <c r="J885">
        <f>IF(Table1[[#This Row],[Active_months]]&gt;=1, 1, 0)</f>
        <v>1</v>
      </c>
    </row>
    <row r="886" spans="1:10" x14ac:dyDescent="0.3">
      <c r="A886">
        <v>183002853</v>
      </c>
      <c r="B886" s="1">
        <v>44933</v>
      </c>
      <c r="C886" s="1">
        <v>45024</v>
      </c>
      <c r="D886">
        <v>39</v>
      </c>
      <c r="E886" t="s">
        <v>6</v>
      </c>
      <c r="F886" t="s">
        <v>7</v>
      </c>
      <c r="G886" s="1">
        <f t="shared" si="39"/>
        <v>45024</v>
      </c>
      <c r="H886">
        <f t="shared" si="40"/>
        <v>3</v>
      </c>
      <c r="I886">
        <f t="shared" si="41"/>
        <v>0</v>
      </c>
      <c r="J886">
        <f>IF(Table1[[#This Row],[Active_months]]&gt;=1, 1, 0)</f>
        <v>1</v>
      </c>
    </row>
    <row r="887" spans="1:10" x14ac:dyDescent="0.3">
      <c r="A887">
        <v>148338824</v>
      </c>
      <c r="B887" s="1">
        <v>44933</v>
      </c>
      <c r="C887" s="1">
        <v>44964</v>
      </c>
      <c r="D887">
        <v>39</v>
      </c>
      <c r="E887" t="s">
        <v>6</v>
      </c>
      <c r="F887" t="s">
        <v>7</v>
      </c>
      <c r="G887" s="1">
        <f t="shared" si="39"/>
        <v>44964</v>
      </c>
      <c r="H887">
        <f t="shared" si="40"/>
        <v>1</v>
      </c>
      <c r="I887">
        <f t="shared" si="41"/>
        <v>0</v>
      </c>
      <c r="J887">
        <f>IF(Table1[[#This Row],[Active_months]]&gt;=1, 1, 0)</f>
        <v>1</v>
      </c>
    </row>
    <row r="888" spans="1:10" x14ac:dyDescent="0.3">
      <c r="A888">
        <v>181712692</v>
      </c>
      <c r="B888" s="1">
        <v>44933</v>
      </c>
      <c r="C888" s="1">
        <v>44933</v>
      </c>
      <c r="D888">
        <v>39</v>
      </c>
      <c r="E888" t="s">
        <v>6</v>
      </c>
      <c r="F888" t="s">
        <v>7</v>
      </c>
      <c r="G888" s="1">
        <f t="shared" si="39"/>
        <v>44933</v>
      </c>
      <c r="H888">
        <f t="shared" si="40"/>
        <v>0</v>
      </c>
      <c r="I888">
        <f t="shared" si="41"/>
        <v>0</v>
      </c>
      <c r="J888">
        <f>IF(Table1[[#This Row],[Active_months]]&gt;=1, 1, 0)</f>
        <v>0</v>
      </c>
    </row>
    <row r="889" spans="1:10" x14ac:dyDescent="0.3">
      <c r="A889">
        <v>181770777</v>
      </c>
      <c r="B889" s="1">
        <v>44934</v>
      </c>
      <c r="D889">
        <v>39</v>
      </c>
      <c r="E889" t="s">
        <v>6</v>
      </c>
      <c r="F889" t="s">
        <v>7</v>
      </c>
      <c r="G889" s="1">
        <f t="shared" si="39"/>
        <v>45199</v>
      </c>
      <c r="H889">
        <f t="shared" si="40"/>
        <v>8</v>
      </c>
      <c r="I889">
        <f t="shared" si="41"/>
        <v>1</v>
      </c>
      <c r="J889">
        <f>IF(Table1[[#This Row],[Active_months]]&gt;=1, 1, 0)</f>
        <v>1</v>
      </c>
    </row>
    <row r="890" spans="1:10" x14ac:dyDescent="0.3">
      <c r="A890">
        <v>161269602</v>
      </c>
      <c r="B890" s="1">
        <v>44934</v>
      </c>
      <c r="C890" s="1">
        <v>44934</v>
      </c>
      <c r="D890">
        <v>39</v>
      </c>
      <c r="E890" t="s">
        <v>6</v>
      </c>
      <c r="F890" t="s">
        <v>7</v>
      </c>
      <c r="G890" s="1">
        <f t="shared" si="39"/>
        <v>44934</v>
      </c>
      <c r="H890">
        <f t="shared" si="40"/>
        <v>0</v>
      </c>
      <c r="I890">
        <f t="shared" si="41"/>
        <v>0</v>
      </c>
      <c r="J890">
        <f>IF(Table1[[#This Row],[Active_months]]&gt;=1, 1, 0)</f>
        <v>0</v>
      </c>
    </row>
    <row r="891" spans="1:10" x14ac:dyDescent="0.3">
      <c r="A891">
        <v>145799416</v>
      </c>
      <c r="B891" s="1">
        <v>44934</v>
      </c>
      <c r="C891" s="1">
        <v>44967</v>
      </c>
      <c r="D891">
        <v>39</v>
      </c>
      <c r="E891" t="s">
        <v>6</v>
      </c>
      <c r="F891" t="s">
        <v>7</v>
      </c>
      <c r="G891" s="1">
        <f t="shared" si="39"/>
        <v>44967</v>
      </c>
      <c r="H891">
        <f t="shared" si="40"/>
        <v>1</v>
      </c>
      <c r="I891">
        <f t="shared" si="41"/>
        <v>0</v>
      </c>
      <c r="J891">
        <f>IF(Table1[[#This Row],[Active_months]]&gt;=1, 1, 0)</f>
        <v>1</v>
      </c>
    </row>
    <row r="892" spans="1:10" x14ac:dyDescent="0.3">
      <c r="A892">
        <v>182753953</v>
      </c>
      <c r="B892" s="1">
        <v>44934</v>
      </c>
      <c r="C892" s="1">
        <v>45019</v>
      </c>
      <c r="D892">
        <v>39</v>
      </c>
      <c r="E892" t="s">
        <v>6</v>
      </c>
      <c r="F892" t="s">
        <v>7</v>
      </c>
      <c r="G892" s="1">
        <f t="shared" si="39"/>
        <v>45019</v>
      </c>
      <c r="H892">
        <f t="shared" si="40"/>
        <v>3</v>
      </c>
      <c r="I892">
        <f t="shared" si="41"/>
        <v>0</v>
      </c>
      <c r="J892">
        <f>IF(Table1[[#This Row],[Active_months]]&gt;=1, 1, 0)</f>
        <v>1</v>
      </c>
    </row>
    <row r="893" spans="1:10" x14ac:dyDescent="0.3">
      <c r="A893">
        <v>162944728</v>
      </c>
      <c r="B893" s="1">
        <v>44934</v>
      </c>
      <c r="C893" s="1">
        <v>44986</v>
      </c>
      <c r="D893">
        <v>39</v>
      </c>
      <c r="E893" t="s">
        <v>6</v>
      </c>
      <c r="F893" t="s">
        <v>7</v>
      </c>
      <c r="G893" s="1">
        <f t="shared" si="39"/>
        <v>44986</v>
      </c>
      <c r="H893">
        <f t="shared" si="40"/>
        <v>2</v>
      </c>
      <c r="I893">
        <f t="shared" si="41"/>
        <v>0</v>
      </c>
      <c r="J893">
        <f>IF(Table1[[#This Row],[Active_months]]&gt;=1, 1, 0)</f>
        <v>1</v>
      </c>
    </row>
    <row r="894" spans="1:10" x14ac:dyDescent="0.3">
      <c r="A894">
        <v>161249852</v>
      </c>
      <c r="B894" s="1">
        <v>44934</v>
      </c>
      <c r="C894" s="1">
        <v>44941</v>
      </c>
      <c r="D894">
        <v>39</v>
      </c>
      <c r="E894" t="s">
        <v>6</v>
      </c>
      <c r="F894" t="s">
        <v>7</v>
      </c>
      <c r="G894" s="1">
        <f t="shared" si="39"/>
        <v>44941</v>
      </c>
      <c r="H894">
        <f t="shared" si="40"/>
        <v>0</v>
      </c>
      <c r="I894">
        <f t="shared" si="41"/>
        <v>0</v>
      </c>
      <c r="J894">
        <f>IF(Table1[[#This Row],[Active_months]]&gt;=1, 1, 0)</f>
        <v>0</v>
      </c>
    </row>
    <row r="895" spans="1:10" x14ac:dyDescent="0.3">
      <c r="A895">
        <v>183916833</v>
      </c>
      <c r="B895" s="1">
        <v>44935</v>
      </c>
      <c r="D895">
        <v>39</v>
      </c>
      <c r="E895" t="s">
        <v>6</v>
      </c>
      <c r="F895" t="s">
        <v>7</v>
      </c>
      <c r="G895" s="1">
        <f t="shared" si="39"/>
        <v>45199</v>
      </c>
      <c r="H895">
        <f t="shared" si="40"/>
        <v>8</v>
      </c>
      <c r="I895">
        <f t="shared" si="41"/>
        <v>1</v>
      </c>
      <c r="J895">
        <f>IF(Table1[[#This Row],[Active_months]]&gt;=1, 1, 0)</f>
        <v>1</v>
      </c>
    </row>
    <row r="896" spans="1:10" x14ac:dyDescent="0.3">
      <c r="A896">
        <v>169141612</v>
      </c>
      <c r="B896" s="1">
        <v>44935</v>
      </c>
      <c r="C896" s="1">
        <v>44936</v>
      </c>
      <c r="D896">
        <v>39</v>
      </c>
      <c r="E896" t="s">
        <v>6</v>
      </c>
      <c r="F896" t="s">
        <v>8</v>
      </c>
      <c r="G896" s="1">
        <f t="shared" si="39"/>
        <v>44936</v>
      </c>
      <c r="H896">
        <f t="shared" si="40"/>
        <v>0</v>
      </c>
      <c r="I896">
        <f t="shared" si="41"/>
        <v>0</v>
      </c>
      <c r="J896">
        <f>IF(Table1[[#This Row],[Active_months]]&gt;=1, 1, 0)</f>
        <v>0</v>
      </c>
    </row>
    <row r="897" spans="1:10" x14ac:dyDescent="0.3">
      <c r="A897">
        <v>128768010</v>
      </c>
      <c r="B897" s="1">
        <v>44935</v>
      </c>
      <c r="C897" s="1">
        <v>44938</v>
      </c>
      <c r="D897">
        <v>39</v>
      </c>
      <c r="E897" t="s">
        <v>6</v>
      </c>
      <c r="F897" t="s">
        <v>7</v>
      </c>
      <c r="G897" s="1">
        <f t="shared" si="39"/>
        <v>44938</v>
      </c>
      <c r="H897">
        <f t="shared" si="40"/>
        <v>0</v>
      </c>
      <c r="I897">
        <f t="shared" si="41"/>
        <v>0</v>
      </c>
      <c r="J897">
        <f>IF(Table1[[#This Row],[Active_months]]&gt;=1, 1, 0)</f>
        <v>0</v>
      </c>
    </row>
    <row r="898" spans="1:10" x14ac:dyDescent="0.3">
      <c r="A898">
        <v>138520918</v>
      </c>
      <c r="B898" s="1">
        <v>44935</v>
      </c>
      <c r="C898" s="1">
        <v>44935</v>
      </c>
      <c r="D898">
        <v>39</v>
      </c>
      <c r="E898" t="s">
        <v>6</v>
      </c>
      <c r="F898" t="s">
        <v>7</v>
      </c>
      <c r="G898" s="1">
        <f t="shared" si="39"/>
        <v>44935</v>
      </c>
      <c r="H898">
        <f t="shared" si="40"/>
        <v>0</v>
      </c>
      <c r="I898">
        <f t="shared" si="41"/>
        <v>0</v>
      </c>
      <c r="J898">
        <f>IF(Table1[[#This Row],[Active_months]]&gt;=1, 1, 0)</f>
        <v>0</v>
      </c>
    </row>
    <row r="899" spans="1:10" x14ac:dyDescent="0.3">
      <c r="A899">
        <v>162946328</v>
      </c>
      <c r="B899" s="1">
        <v>44935</v>
      </c>
      <c r="C899" s="1">
        <v>45054</v>
      </c>
      <c r="D899">
        <v>39</v>
      </c>
      <c r="E899" t="s">
        <v>6</v>
      </c>
      <c r="F899" t="s">
        <v>7</v>
      </c>
      <c r="G899" s="1">
        <f t="shared" ref="G899:G962" si="42">IF(ISBLANK(C899), DATE(2023,9,30), C899)</f>
        <v>45054</v>
      </c>
      <c r="H899">
        <f t="shared" ref="H899:H962" si="43">(YEAR(G899)-YEAR(B899))*12 + (MONTH(G899)-MONTH(B899))</f>
        <v>4</v>
      </c>
      <c r="I899">
        <f t="shared" ref="I899:I962" si="44">IF(H899 &gt;=5, 1, 0)</f>
        <v>0</v>
      </c>
      <c r="J899">
        <f>IF(Table1[[#This Row],[Active_months]]&gt;=1, 1, 0)</f>
        <v>1</v>
      </c>
    </row>
    <row r="900" spans="1:10" x14ac:dyDescent="0.3">
      <c r="A900">
        <v>182929556</v>
      </c>
      <c r="B900" s="1">
        <v>44935</v>
      </c>
      <c r="C900" s="1">
        <v>45026</v>
      </c>
      <c r="D900">
        <v>39</v>
      </c>
      <c r="E900" t="s">
        <v>6</v>
      </c>
      <c r="F900" t="s">
        <v>7</v>
      </c>
      <c r="G900" s="1">
        <f t="shared" si="42"/>
        <v>45026</v>
      </c>
      <c r="H900">
        <f t="shared" si="43"/>
        <v>3</v>
      </c>
      <c r="I900">
        <f t="shared" si="44"/>
        <v>0</v>
      </c>
      <c r="J900">
        <f>IF(Table1[[#This Row],[Active_months]]&gt;=1, 1, 0)</f>
        <v>1</v>
      </c>
    </row>
    <row r="901" spans="1:10" x14ac:dyDescent="0.3">
      <c r="A901">
        <v>153704184</v>
      </c>
      <c r="B901" s="1">
        <v>44935</v>
      </c>
      <c r="C901" s="1">
        <v>45024</v>
      </c>
      <c r="D901">
        <v>39</v>
      </c>
      <c r="E901" t="s">
        <v>6</v>
      </c>
      <c r="F901" t="s">
        <v>7</v>
      </c>
      <c r="G901" s="1">
        <f t="shared" si="42"/>
        <v>45024</v>
      </c>
      <c r="H901">
        <f t="shared" si="43"/>
        <v>3</v>
      </c>
      <c r="I901">
        <f t="shared" si="44"/>
        <v>0</v>
      </c>
      <c r="J901">
        <f>IF(Table1[[#This Row],[Active_months]]&gt;=1, 1, 0)</f>
        <v>1</v>
      </c>
    </row>
    <row r="902" spans="1:10" x14ac:dyDescent="0.3">
      <c r="A902">
        <v>136326172</v>
      </c>
      <c r="B902" s="1">
        <v>44935</v>
      </c>
      <c r="C902" s="1">
        <v>44993</v>
      </c>
      <c r="D902">
        <v>39</v>
      </c>
      <c r="E902" t="s">
        <v>6</v>
      </c>
      <c r="F902" t="s">
        <v>7</v>
      </c>
      <c r="G902" s="1">
        <f t="shared" si="42"/>
        <v>44993</v>
      </c>
      <c r="H902">
        <f t="shared" si="43"/>
        <v>2</v>
      </c>
      <c r="I902">
        <f t="shared" si="44"/>
        <v>0</v>
      </c>
      <c r="J902">
        <f>IF(Table1[[#This Row],[Active_months]]&gt;=1, 1, 0)</f>
        <v>1</v>
      </c>
    </row>
    <row r="903" spans="1:10" x14ac:dyDescent="0.3">
      <c r="A903">
        <v>182505210</v>
      </c>
      <c r="B903" s="1">
        <v>44935</v>
      </c>
      <c r="C903" s="1">
        <v>44965</v>
      </c>
      <c r="D903">
        <v>39</v>
      </c>
      <c r="E903" t="s">
        <v>6</v>
      </c>
      <c r="F903" t="s">
        <v>7</v>
      </c>
      <c r="G903" s="1">
        <f t="shared" si="42"/>
        <v>44965</v>
      </c>
      <c r="H903">
        <f t="shared" si="43"/>
        <v>1</v>
      </c>
      <c r="I903">
        <f t="shared" si="44"/>
        <v>0</v>
      </c>
      <c r="J903">
        <f>IF(Table1[[#This Row],[Active_months]]&gt;=1, 1, 0)</f>
        <v>1</v>
      </c>
    </row>
    <row r="904" spans="1:10" x14ac:dyDescent="0.3">
      <c r="A904">
        <v>184370857</v>
      </c>
      <c r="B904" s="1">
        <v>44936</v>
      </c>
      <c r="D904">
        <v>39</v>
      </c>
      <c r="E904" t="s">
        <v>6</v>
      </c>
      <c r="F904" t="s">
        <v>7</v>
      </c>
      <c r="G904" s="1">
        <f t="shared" si="42"/>
        <v>45199</v>
      </c>
      <c r="H904">
        <f t="shared" si="43"/>
        <v>8</v>
      </c>
      <c r="I904">
        <f t="shared" si="44"/>
        <v>1</v>
      </c>
      <c r="J904">
        <f>IF(Table1[[#This Row],[Active_months]]&gt;=1, 1, 0)</f>
        <v>1</v>
      </c>
    </row>
    <row r="905" spans="1:10" x14ac:dyDescent="0.3">
      <c r="A905">
        <v>184310344</v>
      </c>
      <c r="B905" s="1">
        <v>44936</v>
      </c>
      <c r="C905" s="1">
        <v>45027</v>
      </c>
      <c r="D905">
        <v>39</v>
      </c>
      <c r="E905" t="s">
        <v>6</v>
      </c>
      <c r="F905" t="s">
        <v>7</v>
      </c>
      <c r="G905" s="1">
        <f t="shared" si="42"/>
        <v>45027</v>
      </c>
      <c r="H905">
        <f t="shared" si="43"/>
        <v>3</v>
      </c>
      <c r="I905">
        <f t="shared" si="44"/>
        <v>0</v>
      </c>
      <c r="J905">
        <f>IF(Table1[[#This Row],[Active_months]]&gt;=1, 1, 0)</f>
        <v>1</v>
      </c>
    </row>
    <row r="906" spans="1:10" x14ac:dyDescent="0.3">
      <c r="A906">
        <v>183346055</v>
      </c>
      <c r="B906" s="1">
        <v>44936</v>
      </c>
      <c r="C906" s="1">
        <v>45002</v>
      </c>
      <c r="D906">
        <v>39</v>
      </c>
      <c r="E906" t="s">
        <v>6</v>
      </c>
      <c r="F906" t="s">
        <v>7</v>
      </c>
      <c r="G906" s="1">
        <f t="shared" si="42"/>
        <v>45002</v>
      </c>
      <c r="H906">
        <f t="shared" si="43"/>
        <v>2</v>
      </c>
      <c r="I906">
        <f t="shared" si="44"/>
        <v>0</v>
      </c>
      <c r="J906">
        <f>IF(Table1[[#This Row],[Active_months]]&gt;=1, 1, 0)</f>
        <v>1</v>
      </c>
    </row>
    <row r="907" spans="1:10" x14ac:dyDescent="0.3">
      <c r="A907">
        <v>178952278</v>
      </c>
      <c r="B907" s="1">
        <v>44936</v>
      </c>
      <c r="C907" s="1">
        <v>44996</v>
      </c>
      <c r="D907">
        <v>39</v>
      </c>
      <c r="E907" t="s">
        <v>6</v>
      </c>
      <c r="F907" t="s">
        <v>7</v>
      </c>
      <c r="G907" s="1">
        <f t="shared" si="42"/>
        <v>44996</v>
      </c>
      <c r="H907">
        <f t="shared" si="43"/>
        <v>2</v>
      </c>
      <c r="I907">
        <f t="shared" si="44"/>
        <v>0</v>
      </c>
      <c r="J907">
        <f>IF(Table1[[#This Row],[Active_months]]&gt;=1, 1, 0)</f>
        <v>1</v>
      </c>
    </row>
    <row r="908" spans="1:10" x14ac:dyDescent="0.3">
      <c r="A908">
        <v>184345202</v>
      </c>
      <c r="B908" s="1">
        <v>44936</v>
      </c>
      <c r="C908" s="1">
        <v>44980</v>
      </c>
      <c r="D908">
        <v>39</v>
      </c>
      <c r="E908" t="s">
        <v>6</v>
      </c>
      <c r="F908" t="s">
        <v>7</v>
      </c>
      <c r="G908" s="1">
        <f t="shared" si="42"/>
        <v>44980</v>
      </c>
      <c r="H908">
        <f t="shared" si="43"/>
        <v>1</v>
      </c>
      <c r="I908">
        <f t="shared" si="44"/>
        <v>0</v>
      </c>
      <c r="J908">
        <f>IF(Table1[[#This Row],[Active_months]]&gt;=1, 1, 0)</f>
        <v>1</v>
      </c>
    </row>
    <row r="909" spans="1:10" x14ac:dyDescent="0.3">
      <c r="A909">
        <v>182837162</v>
      </c>
      <c r="B909" s="1">
        <v>44936</v>
      </c>
      <c r="C909" s="1">
        <v>44962</v>
      </c>
      <c r="D909">
        <v>39</v>
      </c>
      <c r="E909" t="s">
        <v>6</v>
      </c>
      <c r="F909" t="s">
        <v>7</v>
      </c>
      <c r="G909" s="1">
        <f t="shared" si="42"/>
        <v>44962</v>
      </c>
      <c r="H909">
        <f t="shared" si="43"/>
        <v>1</v>
      </c>
      <c r="I909">
        <f t="shared" si="44"/>
        <v>0</v>
      </c>
      <c r="J909">
        <f>IF(Table1[[#This Row],[Active_months]]&gt;=1, 1, 0)</f>
        <v>1</v>
      </c>
    </row>
    <row r="910" spans="1:10" x14ac:dyDescent="0.3">
      <c r="A910">
        <v>182927038</v>
      </c>
      <c r="B910" s="1">
        <v>44936</v>
      </c>
      <c r="C910" s="1">
        <v>44975</v>
      </c>
      <c r="D910">
        <v>39</v>
      </c>
      <c r="E910" t="s">
        <v>6</v>
      </c>
      <c r="F910" t="s">
        <v>7</v>
      </c>
      <c r="G910" s="1">
        <f t="shared" si="42"/>
        <v>44975</v>
      </c>
      <c r="H910">
        <f t="shared" si="43"/>
        <v>1</v>
      </c>
      <c r="I910">
        <f t="shared" si="44"/>
        <v>0</v>
      </c>
      <c r="J910">
        <f>IF(Table1[[#This Row],[Active_months]]&gt;=1, 1, 0)</f>
        <v>1</v>
      </c>
    </row>
    <row r="911" spans="1:10" x14ac:dyDescent="0.3">
      <c r="A911">
        <v>181739784</v>
      </c>
      <c r="B911" s="1">
        <v>44936</v>
      </c>
      <c r="C911" s="1">
        <v>44965</v>
      </c>
      <c r="D911">
        <v>39</v>
      </c>
      <c r="E911" t="s">
        <v>6</v>
      </c>
      <c r="F911" t="s">
        <v>7</v>
      </c>
      <c r="G911" s="1">
        <f t="shared" si="42"/>
        <v>44965</v>
      </c>
      <c r="H911">
        <f t="shared" si="43"/>
        <v>1</v>
      </c>
      <c r="I911">
        <f t="shared" si="44"/>
        <v>0</v>
      </c>
      <c r="J911">
        <f>IF(Table1[[#This Row],[Active_months]]&gt;=1, 1, 0)</f>
        <v>1</v>
      </c>
    </row>
    <row r="912" spans="1:10" x14ac:dyDescent="0.3">
      <c r="A912">
        <v>178605410</v>
      </c>
      <c r="B912" s="1">
        <v>44936</v>
      </c>
      <c r="C912" s="1">
        <v>44974</v>
      </c>
      <c r="D912">
        <v>39</v>
      </c>
      <c r="E912" t="s">
        <v>6</v>
      </c>
      <c r="F912" t="s">
        <v>7</v>
      </c>
      <c r="G912" s="1">
        <f t="shared" si="42"/>
        <v>44974</v>
      </c>
      <c r="H912">
        <f t="shared" si="43"/>
        <v>1</v>
      </c>
      <c r="I912">
        <f t="shared" si="44"/>
        <v>0</v>
      </c>
      <c r="J912">
        <f>IF(Table1[[#This Row],[Active_months]]&gt;=1, 1, 0)</f>
        <v>1</v>
      </c>
    </row>
    <row r="913" spans="1:10" x14ac:dyDescent="0.3">
      <c r="A913">
        <v>184334484</v>
      </c>
      <c r="B913" s="1">
        <v>44937</v>
      </c>
      <c r="D913">
        <v>39</v>
      </c>
      <c r="E913" t="s">
        <v>6</v>
      </c>
      <c r="F913" t="s">
        <v>7</v>
      </c>
      <c r="G913" s="1">
        <f t="shared" si="42"/>
        <v>45199</v>
      </c>
      <c r="H913">
        <f t="shared" si="43"/>
        <v>8</v>
      </c>
      <c r="I913">
        <f t="shared" si="44"/>
        <v>1</v>
      </c>
      <c r="J913">
        <f>IF(Table1[[#This Row],[Active_months]]&gt;=1, 1, 0)</f>
        <v>1</v>
      </c>
    </row>
    <row r="914" spans="1:10" x14ac:dyDescent="0.3">
      <c r="A914">
        <v>181576265</v>
      </c>
      <c r="B914" s="1">
        <v>44937</v>
      </c>
      <c r="D914">
        <v>39</v>
      </c>
      <c r="E914" t="s">
        <v>6</v>
      </c>
      <c r="F914" t="s">
        <v>7</v>
      </c>
      <c r="G914" s="1">
        <f t="shared" si="42"/>
        <v>45199</v>
      </c>
      <c r="H914">
        <f t="shared" si="43"/>
        <v>8</v>
      </c>
      <c r="I914">
        <f t="shared" si="44"/>
        <v>1</v>
      </c>
      <c r="J914">
        <f>IF(Table1[[#This Row],[Active_months]]&gt;=1, 1, 0)</f>
        <v>1</v>
      </c>
    </row>
    <row r="915" spans="1:10" x14ac:dyDescent="0.3">
      <c r="A915">
        <v>183645116</v>
      </c>
      <c r="B915" s="1">
        <v>44937</v>
      </c>
      <c r="D915">
        <v>39</v>
      </c>
      <c r="E915" t="s">
        <v>6</v>
      </c>
      <c r="F915" t="s">
        <v>7</v>
      </c>
      <c r="G915" s="1">
        <f t="shared" si="42"/>
        <v>45199</v>
      </c>
      <c r="H915">
        <f t="shared" si="43"/>
        <v>8</v>
      </c>
      <c r="I915">
        <f t="shared" si="44"/>
        <v>1</v>
      </c>
      <c r="J915">
        <f>IF(Table1[[#This Row],[Active_months]]&gt;=1, 1, 0)</f>
        <v>1</v>
      </c>
    </row>
    <row r="916" spans="1:10" x14ac:dyDescent="0.3">
      <c r="A916">
        <v>184812094</v>
      </c>
      <c r="B916" s="1">
        <v>44937</v>
      </c>
      <c r="C916" s="1">
        <v>45023</v>
      </c>
      <c r="D916">
        <v>39</v>
      </c>
      <c r="E916" t="s">
        <v>6</v>
      </c>
      <c r="F916" t="s">
        <v>7</v>
      </c>
      <c r="G916" s="1">
        <f t="shared" si="42"/>
        <v>45023</v>
      </c>
      <c r="H916">
        <f t="shared" si="43"/>
        <v>3</v>
      </c>
      <c r="I916">
        <f t="shared" si="44"/>
        <v>0</v>
      </c>
      <c r="J916">
        <f>IF(Table1[[#This Row],[Active_months]]&gt;=1, 1, 0)</f>
        <v>1</v>
      </c>
    </row>
    <row r="917" spans="1:10" x14ac:dyDescent="0.3">
      <c r="A917">
        <v>152089648</v>
      </c>
      <c r="B917" s="1">
        <v>44937</v>
      </c>
      <c r="C917" s="1">
        <v>45003</v>
      </c>
      <c r="D917">
        <v>39</v>
      </c>
      <c r="E917" t="s">
        <v>6</v>
      </c>
      <c r="F917" t="s">
        <v>7</v>
      </c>
      <c r="G917" s="1">
        <f t="shared" si="42"/>
        <v>45003</v>
      </c>
      <c r="H917">
        <f t="shared" si="43"/>
        <v>2</v>
      </c>
      <c r="I917">
        <f t="shared" si="44"/>
        <v>0</v>
      </c>
      <c r="J917">
        <f>IF(Table1[[#This Row],[Active_months]]&gt;=1, 1, 0)</f>
        <v>1</v>
      </c>
    </row>
    <row r="918" spans="1:10" x14ac:dyDescent="0.3">
      <c r="A918">
        <v>148710968</v>
      </c>
      <c r="B918" s="1">
        <v>44937</v>
      </c>
      <c r="C918" s="1">
        <v>44964</v>
      </c>
      <c r="D918">
        <v>39</v>
      </c>
      <c r="E918" t="s">
        <v>6</v>
      </c>
      <c r="F918" t="s">
        <v>7</v>
      </c>
      <c r="G918" s="1">
        <f t="shared" si="42"/>
        <v>44964</v>
      </c>
      <c r="H918">
        <f t="shared" si="43"/>
        <v>1</v>
      </c>
      <c r="I918">
        <f t="shared" si="44"/>
        <v>0</v>
      </c>
      <c r="J918">
        <f>IF(Table1[[#This Row],[Active_months]]&gt;=1, 1, 0)</f>
        <v>1</v>
      </c>
    </row>
    <row r="919" spans="1:10" x14ac:dyDescent="0.3">
      <c r="A919">
        <v>183197132</v>
      </c>
      <c r="B919" s="1">
        <v>44938</v>
      </c>
      <c r="D919">
        <v>39</v>
      </c>
      <c r="E919" t="s">
        <v>6</v>
      </c>
      <c r="F919" t="s">
        <v>7</v>
      </c>
      <c r="G919" s="1">
        <f t="shared" si="42"/>
        <v>45199</v>
      </c>
      <c r="H919">
        <f t="shared" si="43"/>
        <v>8</v>
      </c>
      <c r="I919">
        <f t="shared" si="44"/>
        <v>1</v>
      </c>
      <c r="J919">
        <f>IF(Table1[[#This Row],[Active_months]]&gt;=1, 1, 0)</f>
        <v>1</v>
      </c>
    </row>
    <row r="920" spans="1:10" x14ac:dyDescent="0.3">
      <c r="A920">
        <v>156239744</v>
      </c>
      <c r="B920" s="1">
        <v>44938</v>
      </c>
      <c r="D920">
        <v>39</v>
      </c>
      <c r="E920" t="s">
        <v>6</v>
      </c>
      <c r="F920" t="s">
        <v>7</v>
      </c>
      <c r="G920" s="1">
        <f t="shared" si="42"/>
        <v>45199</v>
      </c>
      <c r="H920">
        <f t="shared" si="43"/>
        <v>8</v>
      </c>
      <c r="I920">
        <f t="shared" si="44"/>
        <v>1</v>
      </c>
      <c r="J920">
        <f>IF(Table1[[#This Row],[Active_months]]&gt;=1, 1, 0)</f>
        <v>1</v>
      </c>
    </row>
    <row r="921" spans="1:10" x14ac:dyDescent="0.3">
      <c r="A921">
        <v>184481262</v>
      </c>
      <c r="B921" s="1">
        <v>44938</v>
      </c>
      <c r="D921">
        <v>39</v>
      </c>
      <c r="E921" t="s">
        <v>6</v>
      </c>
      <c r="F921" t="s">
        <v>7</v>
      </c>
      <c r="G921" s="1">
        <f t="shared" si="42"/>
        <v>45199</v>
      </c>
      <c r="H921">
        <f t="shared" si="43"/>
        <v>8</v>
      </c>
      <c r="I921">
        <f t="shared" si="44"/>
        <v>1</v>
      </c>
      <c r="J921">
        <f>IF(Table1[[#This Row],[Active_months]]&gt;=1, 1, 0)</f>
        <v>1</v>
      </c>
    </row>
    <row r="922" spans="1:10" x14ac:dyDescent="0.3">
      <c r="A922">
        <v>153186137</v>
      </c>
      <c r="B922" s="1">
        <v>44938</v>
      </c>
      <c r="C922" s="1">
        <v>44939</v>
      </c>
      <c r="D922">
        <v>39</v>
      </c>
      <c r="E922" t="s">
        <v>6</v>
      </c>
      <c r="F922" t="s">
        <v>7</v>
      </c>
      <c r="G922" s="1">
        <f t="shared" si="42"/>
        <v>44939</v>
      </c>
      <c r="H922">
        <f t="shared" si="43"/>
        <v>0</v>
      </c>
      <c r="I922">
        <f t="shared" si="44"/>
        <v>0</v>
      </c>
      <c r="J922">
        <f>IF(Table1[[#This Row],[Active_months]]&gt;=1, 1, 0)</f>
        <v>0</v>
      </c>
    </row>
    <row r="923" spans="1:10" x14ac:dyDescent="0.3">
      <c r="A923">
        <v>185374268</v>
      </c>
      <c r="B923" s="1">
        <v>44938</v>
      </c>
      <c r="C923" s="1">
        <v>44939</v>
      </c>
      <c r="D923">
        <v>39</v>
      </c>
      <c r="E923" t="s">
        <v>6</v>
      </c>
      <c r="F923" t="s">
        <v>8</v>
      </c>
      <c r="G923" s="1">
        <f t="shared" si="42"/>
        <v>44939</v>
      </c>
      <c r="H923">
        <f t="shared" si="43"/>
        <v>0</v>
      </c>
      <c r="I923">
        <f t="shared" si="44"/>
        <v>0</v>
      </c>
      <c r="J923">
        <f>IF(Table1[[#This Row],[Active_months]]&gt;=1, 1, 0)</f>
        <v>0</v>
      </c>
    </row>
    <row r="924" spans="1:10" x14ac:dyDescent="0.3">
      <c r="A924">
        <v>185367349</v>
      </c>
      <c r="B924" s="1">
        <v>44938</v>
      </c>
      <c r="C924" s="1">
        <v>44939</v>
      </c>
      <c r="D924">
        <v>39</v>
      </c>
      <c r="E924" t="s">
        <v>6</v>
      </c>
      <c r="F924" t="s">
        <v>8</v>
      </c>
      <c r="G924" s="1">
        <f t="shared" si="42"/>
        <v>44939</v>
      </c>
      <c r="H924">
        <f t="shared" si="43"/>
        <v>0</v>
      </c>
      <c r="I924">
        <f t="shared" si="44"/>
        <v>0</v>
      </c>
      <c r="J924">
        <f>IF(Table1[[#This Row],[Active_months]]&gt;=1, 1, 0)</f>
        <v>0</v>
      </c>
    </row>
    <row r="925" spans="1:10" x14ac:dyDescent="0.3">
      <c r="A925">
        <v>150793080</v>
      </c>
      <c r="B925" s="1">
        <v>44938</v>
      </c>
      <c r="C925" s="1">
        <v>44986</v>
      </c>
      <c r="D925">
        <v>39</v>
      </c>
      <c r="E925" t="s">
        <v>6</v>
      </c>
      <c r="F925" t="s">
        <v>7</v>
      </c>
      <c r="G925" s="1">
        <f t="shared" si="42"/>
        <v>44986</v>
      </c>
      <c r="H925">
        <f t="shared" si="43"/>
        <v>2</v>
      </c>
      <c r="I925">
        <f t="shared" si="44"/>
        <v>0</v>
      </c>
      <c r="J925">
        <f>IF(Table1[[#This Row],[Active_months]]&gt;=1, 1, 0)</f>
        <v>1</v>
      </c>
    </row>
    <row r="926" spans="1:10" x14ac:dyDescent="0.3">
      <c r="A926">
        <v>183406772</v>
      </c>
      <c r="B926" s="1">
        <v>44938</v>
      </c>
      <c r="C926" s="1">
        <v>44990</v>
      </c>
      <c r="D926">
        <v>39</v>
      </c>
      <c r="E926" t="s">
        <v>6</v>
      </c>
      <c r="F926" t="s">
        <v>7</v>
      </c>
      <c r="G926" s="1">
        <f t="shared" si="42"/>
        <v>44990</v>
      </c>
      <c r="H926">
        <f t="shared" si="43"/>
        <v>2</v>
      </c>
      <c r="I926">
        <f t="shared" si="44"/>
        <v>0</v>
      </c>
      <c r="J926">
        <f>IF(Table1[[#This Row],[Active_months]]&gt;=1, 1, 0)</f>
        <v>1</v>
      </c>
    </row>
    <row r="927" spans="1:10" x14ac:dyDescent="0.3">
      <c r="A927">
        <v>175760281</v>
      </c>
      <c r="B927" s="1">
        <v>44938</v>
      </c>
      <c r="C927" s="1">
        <v>44969</v>
      </c>
      <c r="D927">
        <v>39</v>
      </c>
      <c r="E927" t="s">
        <v>6</v>
      </c>
      <c r="F927" t="s">
        <v>7</v>
      </c>
      <c r="G927" s="1">
        <f t="shared" si="42"/>
        <v>44969</v>
      </c>
      <c r="H927">
        <f t="shared" si="43"/>
        <v>1</v>
      </c>
      <c r="I927">
        <f t="shared" si="44"/>
        <v>0</v>
      </c>
      <c r="J927">
        <f>IF(Table1[[#This Row],[Active_months]]&gt;=1, 1, 0)</f>
        <v>1</v>
      </c>
    </row>
    <row r="928" spans="1:10" x14ac:dyDescent="0.3">
      <c r="A928">
        <v>162095012</v>
      </c>
      <c r="B928" s="1">
        <v>44938</v>
      </c>
      <c r="C928" s="1">
        <v>44951</v>
      </c>
      <c r="D928">
        <v>39</v>
      </c>
      <c r="E928" t="s">
        <v>6</v>
      </c>
      <c r="F928" t="s">
        <v>7</v>
      </c>
      <c r="G928" s="1">
        <f t="shared" si="42"/>
        <v>44951</v>
      </c>
      <c r="H928">
        <f t="shared" si="43"/>
        <v>0</v>
      </c>
      <c r="I928">
        <f t="shared" si="44"/>
        <v>0</v>
      </c>
      <c r="J928">
        <f>IF(Table1[[#This Row],[Active_months]]&gt;=1, 1, 0)</f>
        <v>0</v>
      </c>
    </row>
    <row r="929" spans="1:10" x14ac:dyDescent="0.3">
      <c r="A929">
        <v>179356036</v>
      </c>
      <c r="B929" s="1">
        <v>44938</v>
      </c>
      <c r="C929" s="1">
        <v>44938</v>
      </c>
      <c r="D929">
        <v>39</v>
      </c>
      <c r="E929" t="s">
        <v>6</v>
      </c>
      <c r="F929" t="s">
        <v>7</v>
      </c>
      <c r="G929" s="1">
        <f t="shared" si="42"/>
        <v>44938</v>
      </c>
      <c r="H929">
        <f t="shared" si="43"/>
        <v>0</v>
      </c>
      <c r="I929">
        <f t="shared" si="44"/>
        <v>0</v>
      </c>
      <c r="J929">
        <f>IF(Table1[[#This Row],[Active_months]]&gt;=1, 1, 0)</f>
        <v>0</v>
      </c>
    </row>
    <row r="930" spans="1:10" x14ac:dyDescent="0.3">
      <c r="A930">
        <v>184567432</v>
      </c>
      <c r="B930" s="1">
        <v>44938</v>
      </c>
      <c r="C930" s="1">
        <v>44949</v>
      </c>
      <c r="D930">
        <v>39</v>
      </c>
      <c r="E930" t="s">
        <v>6</v>
      </c>
      <c r="F930" t="s">
        <v>7</v>
      </c>
      <c r="G930" s="1">
        <f t="shared" si="42"/>
        <v>44949</v>
      </c>
      <c r="H930">
        <f t="shared" si="43"/>
        <v>0</v>
      </c>
      <c r="I930">
        <f t="shared" si="44"/>
        <v>0</v>
      </c>
      <c r="J930">
        <f>IF(Table1[[#This Row],[Active_months]]&gt;=1, 1, 0)</f>
        <v>0</v>
      </c>
    </row>
    <row r="931" spans="1:10" x14ac:dyDescent="0.3">
      <c r="A931">
        <v>185503171</v>
      </c>
      <c r="B931" s="1">
        <v>44938</v>
      </c>
      <c r="C931" s="1">
        <v>45112</v>
      </c>
      <c r="D931">
        <v>39</v>
      </c>
      <c r="E931" t="s">
        <v>6</v>
      </c>
      <c r="F931" t="s">
        <v>7</v>
      </c>
      <c r="G931" s="1">
        <f t="shared" si="42"/>
        <v>45112</v>
      </c>
      <c r="H931">
        <f t="shared" si="43"/>
        <v>6</v>
      </c>
      <c r="I931">
        <f t="shared" si="44"/>
        <v>1</v>
      </c>
      <c r="J931">
        <f>IF(Table1[[#This Row],[Active_months]]&gt;=1, 1, 0)</f>
        <v>1</v>
      </c>
    </row>
    <row r="932" spans="1:10" x14ac:dyDescent="0.3">
      <c r="A932">
        <v>171922477</v>
      </c>
      <c r="B932" s="1">
        <v>44938</v>
      </c>
      <c r="C932" s="1">
        <v>45105</v>
      </c>
      <c r="D932">
        <v>39</v>
      </c>
      <c r="E932" t="s">
        <v>6</v>
      </c>
      <c r="F932" t="s">
        <v>7</v>
      </c>
      <c r="G932" s="1">
        <f t="shared" si="42"/>
        <v>45105</v>
      </c>
      <c r="H932">
        <f t="shared" si="43"/>
        <v>5</v>
      </c>
      <c r="I932">
        <f t="shared" si="44"/>
        <v>1</v>
      </c>
      <c r="J932">
        <f>IF(Table1[[#This Row],[Active_months]]&gt;=1, 1, 0)</f>
        <v>1</v>
      </c>
    </row>
    <row r="933" spans="1:10" x14ac:dyDescent="0.3">
      <c r="A933">
        <v>144830936</v>
      </c>
      <c r="B933" s="1">
        <v>44938</v>
      </c>
      <c r="C933" s="1">
        <v>45134</v>
      </c>
      <c r="D933">
        <v>39</v>
      </c>
      <c r="E933" t="s">
        <v>6</v>
      </c>
      <c r="F933" t="s">
        <v>7</v>
      </c>
      <c r="G933" s="1">
        <f t="shared" si="42"/>
        <v>45134</v>
      </c>
      <c r="H933">
        <f t="shared" si="43"/>
        <v>6</v>
      </c>
      <c r="I933">
        <f t="shared" si="44"/>
        <v>1</v>
      </c>
      <c r="J933">
        <f>IF(Table1[[#This Row],[Active_months]]&gt;=1, 1, 0)</f>
        <v>1</v>
      </c>
    </row>
    <row r="934" spans="1:10" x14ac:dyDescent="0.3">
      <c r="A934">
        <v>157474087</v>
      </c>
      <c r="B934" s="1">
        <v>44939</v>
      </c>
      <c r="D934">
        <v>39</v>
      </c>
      <c r="E934" t="s">
        <v>6</v>
      </c>
      <c r="F934" t="s">
        <v>7</v>
      </c>
      <c r="G934" s="1">
        <f t="shared" si="42"/>
        <v>45199</v>
      </c>
      <c r="H934">
        <f t="shared" si="43"/>
        <v>8</v>
      </c>
      <c r="I934">
        <f t="shared" si="44"/>
        <v>1</v>
      </c>
      <c r="J934">
        <f>IF(Table1[[#This Row],[Active_months]]&gt;=1, 1, 0)</f>
        <v>1</v>
      </c>
    </row>
    <row r="935" spans="1:10" x14ac:dyDescent="0.3">
      <c r="A935">
        <v>182350116</v>
      </c>
      <c r="B935" s="1">
        <v>44939</v>
      </c>
      <c r="D935">
        <v>39</v>
      </c>
      <c r="E935" t="s">
        <v>6</v>
      </c>
      <c r="F935" t="s">
        <v>7</v>
      </c>
      <c r="G935" s="1">
        <f t="shared" si="42"/>
        <v>45199</v>
      </c>
      <c r="H935">
        <f t="shared" si="43"/>
        <v>8</v>
      </c>
      <c r="I935">
        <f t="shared" si="44"/>
        <v>1</v>
      </c>
      <c r="J935">
        <f>IF(Table1[[#This Row],[Active_months]]&gt;=1, 1, 0)</f>
        <v>1</v>
      </c>
    </row>
    <row r="936" spans="1:10" x14ac:dyDescent="0.3">
      <c r="A936">
        <v>132867770</v>
      </c>
      <c r="B936" s="1">
        <v>44939</v>
      </c>
      <c r="C936" s="1">
        <v>44940</v>
      </c>
      <c r="D936">
        <v>39</v>
      </c>
      <c r="E936" t="s">
        <v>6</v>
      </c>
      <c r="F936" t="s">
        <v>7</v>
      </c>
      <c r="G936" s="1">
        <f t="shared" si="42"/>
        <v>44940</v>
      </c>
      <c r="H936">
        <f t="shared" si="43"/>
        <v>0</v>
      </c>
      <c r="I936">
        <f t="shared" si="44"/>
        <v>0</v>
      </c>
      <c r="J936">
        <f>IF(Table1[[#This Row],[Active_months]]&gt;=1, 1, 0)</f>
        <v>0</v>
      </c>
    </row>
    <row r="937" spans="1:10" x14ac:dyDescent="0.3">
      <c r="A937">
        <v>185561880</v>
      </c>
      <c r="B937" s="1">
        <v>44939</v>
      </c>
      <c r="C937" s="1">
        <v>44940</v>
      </c>
      <c r="D937">
        <v>39</v>
      </c>
      <c r="E937" t="s">
        <v>6</v>
      </c>
      <c r="F937" t="s">
        <v>8</v>
      </c>
      <c r="G937" s="1">
        <f t="shared" si="42"/>
        <v>44940</v>
      </c>
      <c r="H937">
        <f t="shared" si="43"/>
        <v>0</v>
      </c>
      <c r="I937">
        <f t="shared" si="44"/>
        <v>0</v>
      </c>
      <c r="J937">
        <f>IF(Table1[[#This Row],[Active_months]]&gt;=1, 1, 0)</f>
        <v>0</v>
      </c>
    </row>
    <row r="938" spans="1:10" x14ac:dyDescent="0.3">
      <c r="A938">
        <v>168884196</v>
      </c>
      <c r="B938" s="1">
        <v>44939</v>
      </c>
      <c r="C938" s="1">
        <v>45022</v>
      </c>
      <c r="D938">
        <v>39</v>
      </c>
      <c r="E938" t="s">
        <v>6</v>
      </c>
      <c r="F938" t="s">
        <v>7</v>
      </c>
      <c r="G938" s="1">
        <f t="shared" si="42"/>
        <v>45022</v>
      </c>
      <c r="H938">
        <f t="shared" si="43"/>
        <v>3</v>
      </c>
      <c r="I938">
        <f t="shared" si="44"/>
        <v>0</v>
      </c>
      <c r="J938">
        <f>IF(Table1[[#This Row],[Active_months]]&gt;=1, 1, 0)</f>
        <v>1</v>
      </c>
    </row>
    <row r="939" spans="1:10" x14ac:dyDescent="0.3">
      <c r="A939">
        <v>161269602</v>
      </c>
      <c r="B939" s="1">
        <v>44939</v>
      </c>
      <c r="C939" s="1">
        <v>44977</v>
      </c>
      <c r="D939">
        <v>39</v>
      </c>
      <c r="E939" t="s">
        <v>6</v>
      </c>
      <c r="F939" t="s">
        <v>7</v>
      </c>
      <c r="G939" s="1">
        <f t="shared" si="42"/>
        <v>44977</v>
      </c>
      <c r="H939">
        <f t="shared" si="43"/>
        <v>1</v>
      </c>
      <c r="I939">
        <f t="shared" si="44"/>
        <v>0</v>
      </c>
      <c r="J939">
        <f>IF(Table1[[#This Row],[Active_months]]&gt;=1, 1, 0)</f>
        <v>1</v>
      </c>
    </row>
    <row r="940" spans="1:10" x14ac:dyDescent="0.3">
      <c r="A940">
        <v>185729058</v>
      </c>
      <c r="B940" s="1">
        <v>44940</v>
      </c>
      <c r="C940" s="1">
        <v>45052</v>
      </c>
      <c r="D940">
        <v>39</v>
      </c>
      <c r="E940" t="s">
        <v>6</v>
      </c>
      <c r="F940" t="s">
        <v>7</v>
      </c>
      <c r="G940" s="1">
        <f t="shared" si="42"/>
        <v>45052</v>
      </c>
      <c r="H940">
        <f t="shared" si="43"/>
        <v>4</v>
      </c>
      <c r="I940">
        <f t="shared" si="44"/>
        <v>0</v>
      </c>
      <c r="J940">
        <f>IF(Table1[[#This Row],[Active_months]]&gt;=1, 1, 0)</f>
        <v>1</v>
      </c>
    </row>
    <row r="941" spans="1:10" x14ac:dyDescent="0.3">
      <c r="A941">
        <v>182527446</v>
      </c>
      <c r="B941" s="1">
        <v>44940</v>
      </c>
      <c r="C941" s="1">
        <v>45050</v>
      </c>
      <c r="D941">
        <v>39</v>
      </c>
      <c r="E941" t="s">
        <v>6</v>
      </c>
      <c r="F941" t="s">
        <v>7</v>
      </c>
      <c r="G941" s="1">
        <f t="shared" si="42"/>
        <v>45050</v>
      </c>
      <c r="H941">
        <f t="shared" si="43"/>
        <v>4</v>
      </c>
      <c r="I941">
        <f t="shared" si="44"/>
        <v>0</v>
      </c>
      <c r="J941">
        <f>IF(Table1[[#This Row],[Active_months]]&gt;=1, 1, 0)</f>
        <v>1</v>
      </c>
    </row>
    <row r="942" spans="1:10" x14ac:dyDescent="0.3">
      <c r="A942">
        <v>151217806</v>
      </c>
      <c r="B942" s="1">
        <v>44940</v>
      </c>
      <c r="C942" s="1">
        <v>44990</v>
      </c>
      <c r="D942">
        <v>39</v>
      </c>
      <c r="E942" t="s">
        <v>6</v>
      </c>
      <c r="F942" t="s">
        <v>7</v>
      </c>
      <c r="G942" s="1">
        <f t="shared" si="42"/>
        <v>44990</v>
      </c>
      <c r="H942">
        <f t="shared" si="43"/>
        <v>2</v>
      </c>
      <c r="I942">
        <f t="shared" si="44"/>
        <v>0</v>
      </c>
      <c r="J942">
        <f>IF(Table1[[#This Row],[Active_months]]&gt;=1, 1, 0)</f>
        <v>1</v>
      </c>
    </row>
    <row r="943" spans="1:10" x14ac:dyDescent="0.3">
      <c r="A943">
        <v>181789030</v>
      </c>
      <c r="B943" s="1">
        <v>44940</v>
      </c>
      <c r="C943" s="1">
        <v>44962</v>
      </c>
      <c r="D943">
        <v>39</v>
      </c>
      <c r="E943" t="s">
        <v>6</v>
      </c>
      <c r="F943" t="s">
        <v>7</v>
      </c>
      <c r="G943" s="1">
        <f t="shared" si="42"/>
        <v>44962</v>
      </c>
      <c r="H943">
        <f t="shared" si="43"/>
        <v>1</v>
      </c>
      <c r="I943">
        <f t="shared" si="44"/>
        <v>0</v>
      </c>
      <c r="J943">
        <f>IF(Table1[[#This Row],[Active_months]]&gt;=1, 1, 0)</f>
        <v>1</v>
      </c>
    </row>
    <row r="944" spans="1:10" x14ac:dyDescent="0.3">
      <c r="A944">
        <v>167939138</v>
      </c>
      <c r="B944" s="1">
        <v>44940</v>
      </c>
      <c r="C944" s="1">
        <v>45118</v>
      </c>
      <c r="D944">
        <v>39</v>
      </c>
      <c r="E944" t="s">
        <v>6</v>
      </c>
      <c r="F944" t="s">
        <v>7</v>
      </c>
      <c r="G944" s="1">
        <f t="shared" si="42"/>
        <v>45118</v>
      </c>
      <c r="H944">
        <f t="shared" si="43"/>
        <v>6</v>
      </c>
      <c r="I944">
        <f t="shared" si="44"/>
        <v>1</v>
      </c>
      <c r="J944">
        <f>IF(Table1[[#This Row],[Active_months]]&gt;=1, 1, 0)</f>
        <v>1</v>
      </c>
    </row>
    <row r="945" spans="1:10" x14ac:dyDescent="0.3">
      <c r="A945">
        <v>168531226</v>
      </c>
      <c r="B945" s="1">
        <v>44940</v>
      </c>
      <c r="C945" s="1">
        <v>45151</v>
      </c>
      <c r="D945">
        <v>39</v>
      </c>
      <c r="E945" t="s">
        <v>6</v>
      </c>
      <c r="F945" t="s">
        <v>7</v>
      </c>
      <c r="G945" s="1">
        <f t="shared" si="42"/>
        <v>45151</v>
      </c>
      <c r="H945">
        <f t="shared" si="43"/>
        <v>7</v>
      </c>
      <c r="I945">
        <f t="shared" si="44"/>
        <v>1</v>
      </c>
      <c r="J945">
        <f>IF(Table1[[#This Row],[Active_months]]&gt;=1, 1, 0)</f>
        <v>1</v>
      </c>
    </row>
    <row r="946" spans="1:10" x14ac:dyDescent="0.3">
      <c r="A946">
        <v>183965840</v>
      </c>
      <c r="B946" s="1">
        <v>44941</v>
      </c>
      <c r="D946">
        <v>39</v>
      </c>
      <c r="E946" t="s">
        <v>6</v>
      </c>
      <c r="F946" t="s">
        <v>7</v>
      </c>
      <c r="G946" s="1">
        <f t="shared" si="42"/>
        <v>45199</v>
      </c>
      <c r="H946">
        <f t="shared" si="43"/>
        <v>8</v>
      </c>
      <c r="I946">
        <f t="shared" si="44"/>
        <v>1</v>
      </c>
      <c r="J946">
        <f>IF(Table1[[#This Row],[Active_months]]&gt;=1, 1, 0)</f>
        <v>1</v>
      </c>
    </row>
    <row r="947" spans="1:10" x14ac:dyDescent="0.3">
      <c r="A947">
        <v>185522938</v>
      </c>
      <c r="B947" s="1">
        <v>44941</v>
      </c>
      <c r="C947" s="1">
        <v>45049</v>
      </c>
      <c r="D947">
        <v>39</v>
      </c>
      <c r="E947" t="s">
        <v>6</v>
      </c>
      <c r="F947" t="s">
        <v>7</v>
      </c>
      <c r="G947" s="1">
        <f t="shared" si="42"/>
        <v>45049</v>
      </c>
      <c r="H947">
        <f t="shared" si="43"/>
        <v>4</v>
      </c>
      <c r="I947">
        <f t="shared" si="44"/>
        <v>0</v>
      </c>
      <c r="J947">
        <f>IF(Table1[[#This Row],[Active_months]]&gt;=1, 1, 0)</f>
        <v>1</v>
      </c>
    </row>
    <row r="948" spans="1:10" x14ac:dyDescent="0.3">
      <c r="A948">
        <v>186413122</v>
      </c>
      <c r="B948" s="1">
        <v>44941</v>
      </c>
      <c r="C948" s="1">
        <v>45048</v>
      </c>
      <c r="D948">
        <v>39</v>
      </c>
      <c r="E948" t="s">
        <v>6</v>
      </c>
      <c r="F948" t="s">
        <v>7</v>
      </c>
      <c r="G948" s="1">
        <f t="shared" si="42"/>
        <v>45048</v>
      </c>
      <c r="H948">
        <f t="shared" si="43"/>
        <v>4</v>
      </c>
      <c r="I948">
        <f t="shared" si="44"/>
        <v>0</v>
      </c>
      <c r="J948">
        <f>IF(Table1[[#This Row],[Active_months]]&gt;=1, 1, 0)</f>
        <v>1</v>
      </c>
    </row>
    <row r="949" spans="1:10" x14ac:dyDescent="0.3">
      <c r="A949">
        <v>186481916</v>
      </c>
      <c r="B949" s="1">
        <v>44941</v>
      </c>
      <c r="C949" s="1">
        <v>45032</v>
      </c>
      <c r="D949">
        <v>39</v>
      </c>
      <c r="E949" t="s">
        <v>6</v>
      </c>
      <c r="F949" t="s">
        <v>7</v>
      </c>
      <c r="G949" s="1">
        <f t="shared" si="42"/>
        <v>45032</v>
      </c>
      <c r="H949">
        <f t="shared" si="43"/>
        <v>3</v>
      </c>
      <c r="I949">
        <f t="shared" si="44"/>
        <v>0</v>
      </c>
      <c r="J949">
        <f>IF(Table1[[#This Row],[Active_months]]&gt;=1, 1, 0)</f>
        <v>1</v>
      </c>
    </row>
    <row r="950" spans="1:10" x14ac:dyDescent="0.3">
      <c r="A950">
        <v>186177212</v>
      </c>
      <c r="B950" s="1">
        <v>44941</v>
      </c>
      <c r="C950" s="1">
        <v>44992</v>
      </c>
      <c r="D950">
        <v>39</v>
      </c>
      <c r="E950" t="s">
        <v>6</v>
      </c>
      <c r="F950" t="s">
        <v>7</v>
      </c>
      <c r="G950" s="1">
        <f t="shared" si="42"/>
        <v>44992</v>
      </c>
      <c r="H950">
        <f t="shared" si="43"/>
        <v>2</v>
      </c>
      <c r="I950">
        <f t="shared" si="44"/>
        <v>0</v>
      </c>
      <c r="J950">
        <f>IF(Table1[[#This Row],[Active_months]]&gt;=1, 1, 0)</f>
        <v>1</v>
      </c>
    </row>
    <row r="951" spans="1:10" x14ac:dyDescent="0.3">
      <c r="A951">
        <v>184809175</v>
      </c>
      <c r="B951" s="1">
        <v>44941</v>
      </c>
      <c r="C951" s="1">
        <v>44992</v>
      </c>
      <c r="D951">
        <v>39</v>
      </c>
      <c r="E951" t="s">
        <v>6</v>
      </c>
      <c r="F951" t="s">
        <v>7</v>
      </c>
      <c r="G951" s="1">
        <f t="shared" si="42"/>
        <v>44992</v>
      </c>
      <c r="H951">
        <f t="shared" si="43"/>
        <v>2</v>
      </c>
      <c r="I951">
        <f t="shared" si="44"/>
        <v>0</v>
      </c>
      <c r="J951">
        <f>IF(Table1[[#This Row],[Active_months]]&gt;=1, 1, 0)</f>
        <v>1</v>
      </c>
    </row>
    <row r="952" spans="1:10" x14ac:dyDescent="0.3">
      <c r="A952">
        <v>186690790</v>
      </c>
      <c r="B952" s="1">
        <v>44941</v>
      </c>
      <c r="C952" s="1">
        <v>44997</v>
      </c>
      <c r="D952">
        <v>39</v>
      </c>
      <c r="E952" t="s">
        <v>6</v>
      </c>
      <c r="F952" t="s">
        <v>7</v>
      </c>
      <c r="G952" s="1">
        <f t="shared" si="42"/>
        <v>44997</v>
      </c>
      <c r="H952">
        <f t="shared" si="43"/>
        <v>2</v>
      </c>
      <c r="I952">
        <f t="shared" si="44"/>
        <v>0</v>
      </c>
      <c r="J952">
        <f>IF(Table1[[#This Row],[Active_months]]&gt;=1, 1, 0)</f>
        <v>1</v>
      </c>
    </row>
    <row r="953" spans="1:10" x14ac:dyDescent="0.3">
      <c r="A953">
        <v>185711685</v>
      </c>
      <c r="B953" s="1">
        <v>44941</v>
      </c>
      <c r="C953" s="1">
        <v>44963</v>
      </c>
      <c r="D953">
        <v>39</v>
      </c>
      <c r="E953" t="s">
        <v>6</v>
      </c>
      <c r="F953" t="s">
        <v>7</v>
      </c>
      <c r="G953" s="1">
        <f t="shared" si="42"/>
        <v>44963</v>
      </c>
      <c r="H953">
        <f t="shared" si="43"/>
        <v>1</v>
      </c>
      <c r="I953">
        <f t="shared" si="44"/>
        <v>0</v>
      </c>
      <c r="J953">
        <f>IF(Table1[[#This Row],[Active_months]]&gt;=1, 1, 0)</f>
        <v>1</v>
      </c>
    </row>
    <row r="954" spans="1:10" x14ac:dyDescent="0.3">
      <c r="A954">
        <v>179509273</v>
      </c>
      <c r="B954" s="1">
        <v>44941</v>
      </c>
      <c r="C954" s="1">
        <v>45107</v>
      </c>
      <c r="D954">
        <v>39</v>
      </c>
      <c r="E954" t="s">
        <v>6</v>
      </c>
      <c r="F954" t="s">
        <v>7</v>
      </c>
      <c r="G954" s="1">
        <f t="shared" si="42"/>
        <v>45107</v>
      </c>
      <c r="H954">
        <f t="shared" si="43"/>
        <v>5</v>
      </c>
      <c r="I954">
        <f t="shared" si="44"/>
        <v>1</v>
      </c>
      <c r="J954">
        <f>IF(Table1[[#This Row],[Active_months]]&gt;=1, 1, 0)</f>
        <v>1</v>
      </c>
    </row>
    <row r="955" spans="1:10" x14ac:dyDescent="0.3">
      <c r="A955">
        <v>186770408</v>
      </c>
      <c r="B955" s="1">
        <v>44942</v>
      </c>
      <c r="D955">
        <v>39</v>
      </c>
      <c r="E955" t="s">
        <v>6</v>
      </c>
      <c r="F955" t="s">
        <v>7</v>
      </c>
      <c r="G955" s="1">
        <f t="shared" si="42"/>
        <v>45199</v>
      </c>
      <c r="H955">
        <f t="shared" si="43"/>
        <v>8</v>
      </c>
      <c r="I955">
        <f t="shared" si="44"/>
        <v>1</v>
      </c>
      <c r="J955">
        <f>IF(Table1[[#This Row],[Active_months]]&gt;=1, 1, 0)</f>
        <v>1</v>
      </c>
    </row>
    <row r="956" spans="1:10" x14ac:dyDescent="0.3">
      <c r="A956">
        <v>181025165</v>
      </c>
      <c r="B956" s="1">
        <v>44942</v>
      </c>
      <c r="D956">
        <v>39</v>
      </c>
      <c r="E956" t="s">
        <v>6</v>
      </c>
      <c r="F956" t="s">
        <v>7</v>
      </c>
      <c r="G956" s="1">
        <f t="shared" si="42"/>
        <v>45199</v>
      </c>
      <c r="H956">
        <f t="shared" si="43"/>
        <v>8</v>
      </c>
      <c r="I956">
        <f t="shared" si="44"/>
        <v>1</v>
      </c>
      <c r="J956">
        <f>IF(Table1[[#This Row],[Active_months]]&gt;=1, 1, 0)</f>
        <v>1</v>
      </c>
    </row>
    <row r="957" spans="1:10" x14ac:dyDescent="0.3">
      <c r="A957">
        <v>157919304</v>
      </c>
      <c r="B957" s="1">
        <v>44942</v>
      </c>
      <c r="C957" s="1">
        <v>45062</v>
      </c>
      <c r="D957">
        <v>39</v>
      </c>
      <c r="E957" t="s">
        <v>6</v>
      </c>
      <c r="F957" t="s">
        <v>7</v>
      </c>
      <c r="G957" s="1">
        <f t="shared" si="42"/>
        <v>45062</v>
      </c>
      <c r="H957">
        <f t="shared" si="43"/>
        <v>4</v>
      </c>
      <c r="I957">
        <f t="shared" si="44"/>
        <v>0</v>
      </c>
      <c r="J957">
        <f>IF(Table1[[#This Row],[Active_months]]&gt;=1, 1, 0)</f>
        <v>1</v>
      </c>
    </row>
    <row r="958" spans="1:10" x14ac:dyDescent="0.3">
      <c r="A958">
        <v>187051266</v>
      </c>
      <c r="B958" s="1">
        <v>44942</v>
      </c>
      <c r="C958" s="1">
        <v>45077</v>
      </c>
      <c r="D958">
        <v>39</v>
      </c>
      <c r="E958" t="s">
        <v>6</v>
      </c>
      <c r="F958" t="s">
        <v>7</v>
      </c>
      <c r="G958" s="1">
        <f t="shared" si="42"/>
        <v>45077</v>
      </c>
      <c r="H958">
        <f t="shared" si="43"/>
        <v>4</v>
      </c>
      <c r="I958">
        <f t="shared" si="44"/>
        <v>0</v>
      </c>
      <c r="J958">
        <f>IF(Table1[[#This Row],[Active_months]]&gt;=1, 1, 0)</f>
        <v>1</v>
      </c>
    </row>
    <row r="959" spans="1:10" x14ac:dyDescent="0.3">
      <c r="A959">
        <v>179713052</v>
      </c>
      <c r="B959" s="1">
        <v>44942</v>
      </c>
      <c r="C959" s="1">
        <v>45031</v>
      </c>
      <c r="D959">
        <v>39</v>
      </c>
      <c r="E959" t="s">
        <v>6</v>
      </c>
      <c r="F959" t="s">
        <v>7</v>
      </c>
      <c r="G959" s="1">
        <f t="shared" si="42"/>
        <v>45031</v>
      </c>
      <c r="H959">
        <f t="shared" si="43"/>
        <v>3</v>
      </c>
      <c r="I959">
        <f t="shared" si="44"/>
        <v>0</v>
      </c>
      <c r="J959">
        <f>IF(Table1[[#This Row],[Active_months]]&gt;=1, 1, 0)</f>
        <v>1</v>
      </c>
    </row>
    <row r="960" spans="1:10" x14ac:dyDescent="0.3">
      <c r="A960">
        <v>185431487</v>
      </c>
      <c r="B960" s="1">
        <v>44942</v>
      </c>
      <c r="C960" s="1">
        <v>45042</v>
      </c>
      <c r="D960">
        <v>39</v>
      </c>
      <c r="E960" t="s">
        <v>6</v>
      </c>
      <c r="F960" t="s">
        <v>7</v>
      </c>
      <c r="G960" s="1">
        <f t="shared" si="42"/>
        <v>45042</v>
      </c>
      <c r="H960">
        <f t="shared" si="43"/>
        <v>3</v>
      </c>
      <c r="I960">
        <f t="shared" si="44"/>
        <v>0</v>
      </c>
      <c r="J960">
        <f>IF(Table1[[#This Row],[Active_months]]&gt;=1, 1, 0)</f>
        <v>1</v>
      </c>
    </row>
    <row r="961" spans="1:10" x14ac:dyDescent="0.3">
      <c r="A961">
        <v>157929345</v>
      </c>
      <c r="B961" s="1">
        <v>44942</v>
      </c>
      <c r="C961" s="1">
        <v>45023</v>
      </c>
      <c r="D961">
        <v>39</v>
      </c>
      <c r="E961" t="s">
        <v>6</v>
      </c>
      <c r="F961" t="s">
        <v>7</v>
      </c>
      <c r="G961" s="1">
        <f t="shared" si="42"/>
        <v>45023</v>
      </c>
      <c r="H961">
        <f t="shared" si="43"/>
        <v>3</v>
      </c>
      <c r="I961">
        <f t="shared" si="44"/>
        <v>0</v>
      </c>
      <c r="J961">
        <f>IF(Table1[[#This Row],[Active_months]]&gt;=1, 1, 0)</f>
        <v>1</v>
      </c>
    </row>
    <row r="962" spans="1:10" x14ac:dyDescent="0.3">
      <c r="A962">
        <v>154087095</v>
      </c>
      <c r="B962" s="1">
        <v>44942</v>
      </c>
      <c r="C962" s="1">
        <v>44998</v>
      </c>
      <c r="D962">
        <v>39</v>
      </c>
      <c r="E962" t="s">
        <v>6</v>
      </c>
      <c r="F962" t="s">
        <v>7</v>
      </c>
      <c r="G962" s="1">
        <f t="shared" si="42"/>
        <v>44998</v>
      </c>
      <c r="H962">
        <f t="shared" si="43"/>
        <v>2</v>
      </c>
      <c r="I962">
        <f t="shared" si="44"/>
        <v>0</v>
      </c>
      <c r="J962">
        <f>IF(Table1[[#This Row],[Active_months]]&gt;=1, 1, 0)</f>
        <v>1</v>
      </c>
    </row>
    <row r="963" spans="1:10" x14ac:dyDescent="0.3">
      <c r="A963">
        <v>186674235</v>
      </c>
      <c r="B963" s="1">
        <v>44942</v>
      </c>
      <c r="C963" s="1">
        <v>44999</v>
      </c>
      <c r="D963">
        <v>39</v>
      </c>
      <c r="E963" t="s">
        <v>6</v>
      </c>
      <c r="F963" t="s">
        <v>7</v>
      </c>
      <c r="G963" s="1">
        <f t="shared" ref="G963:G1026" si="45">IF(ISBLANK(C963), DATE(2023,9,30), C963)</f>
        <v>44999</v>
      </c>
      <c r="H963">
        <f t="shared" ref="H963:H1026" si="46">(YEAR(G963)-YEAR(B963))*12 + (MONTH(G963)-MONTH(B963))</f>
        <v>2</v>
      </c>
      <c r="I963">
        <f t="shared" ref="I963:I1026" si="47">IF(H963 &gt;=5, 1, 0)</f>
        <v>0</v>
      </c>
      <c r="J963">
        <f>IF(Table1[[#This Row],[Active_months]]&gt;=1, 1, 0)</f>
        <v>1</v>
      </c>
    </row>
    <row r="964" spans="1:10" x14ac:dyDescent="0.3">
      <c r="A964">
        <v>182656156</v>
      </c>
      <c r="B964" s="1">
        <v>44942</v>
      </c>
      <c r="C964" s="1">
        <v>44972</v>
      </c>
      <c r="D964">
        <v>39</v>
      </c>
      <c r="E964" t="s">
        <v>6</v>
      </c>
      <c r="F964" t="s">
        <v>7</v>
      </c>
      <c r="G964" s="1">
        <f t="shared" si="45"/>
        <v>44972</v>
      </c>
      <c r="H964">
        <f t="shared" si="46"/>
        <v>1</v>
      </c>
      <c r="I964">
        <f t="shared" si="47"/>
        <v>0</v>
      </c>
      <c r="J964">
        <f>IF(Table1[[#This Row],[Active_months]]&gt;=1, 1, 0)</f>
        <v>1</v>
      </c>
    </row>
    <row r="965" spans="1:10" x14ac:dyDescent="0.3">
      <c r="A965">
        <v>170319875</v>
      </c>
      <c r="B965" s="1">
        <v>44942</v>
      </c>
      <c r="C965" s="1">
        <v>44942</v>
      </c>
      <c r="D965">
        <v>39</v>
      </c>
      <c r="E965" t="s">
        <v>6</v>
      </c>
      <c r="F965" t="s">
        <v>7</v>
      </c>
      <c r="G965" s="1">
        <f t="shared" si="45"/>
        <v>44942</v>
      </c>
      <c r="H965">
        <f t="shared" si="46"/>
        <v>0</v>
      </c>
      <c r="I965">
        <f t="shared" si="47"/>
        <v>0</v>
      </c>
      <c r="J965">
        <f>IF(Table1[[#This Row],[Active_months]]&gt;=1, 1, 0)</f>
        <v>0</v>
      </c>
    </row>
    <row r="966" spans="1:10" x14ac:dyDescent="0.3">
      <c r="A966">
        <v>188226033</v>
      </c>
      <c r="B966" s="1">
        <v>44943</v>
      </c>
      <c r="D966">
        <v>39</v>
      </c>
      <c r="E966" t="s">
        <v>6</v>
      </c>
      <c r="F966" t="s">
        <v>8</v>
      </c>
      <c r="G966" s="1">
        <f t="shared" si="45"/>
        <v>45199</v>
      </c>
      <c r="H966">
        <f t="shared" si="46"/>
        <v>8</v>
      </c>
      <c r="I966">
        <f t="shared" si="47"/>
        <v>1</v>
      </c>
      <c r="J966">
        <f>IF(Table1[[#This Row],[Active_months]]&gt;=1, 1, 0)</f>
        <v>1</v>
      </c>
    </row>
    <row r="967" spans="1:10" x14ac:dyDescent="0.3">
      <c r="A967">
        <v>188137320</v>
      </c>
      <c r="B967" s="1">
        <v>44943</v>
      </c>
      <c r="D967">
        <v>39</v>
      </c>
      <c r="E967" t="s">
        <v>6</v>
      </c>
      <c r="F967" t="s">
        <v>8</v>
      </c>
      <c r="G967" s="1">
        <f t="shared" si="45"/>
        <v>45199</v>
      </c>
      <c r="H967">
        <f t="shared" si="46"/>
        <v>8</v>
      </c>
      <c r="I967">
        <f t="shared" si="47"/>
        <v>1</v>
      </c>
      <c r="J967">
        <f>IF(Table1[[#This Row],[Active_months]]&gt;=1, 1, 0)</f>
        <v>1</v>
      </c>
    </row>
    <row r="968" spans="1:10" x14ac:dyDescent="0.3">
      <c r="A968">
        <v>163220556</v>
      </c>
      <c r="B968" s="1">
        <v>44943</v>
      </c>
      <c r="C968" s="1">
        <v>44944</v>
      </c>
      <c r="D968">
        <v>39</v>
      </c>
      <c r="E968" t="s">
        <v>6</v>
      </c>
      <c r="F968" t="s">
        <v>7</v>
      </c>
      <c r="G968" s="1">
        <f t="shared" si="45"/>
        <v>44944</v>
      </c>
      <c r="H968">
        <f t="shared" si="46"/>
        <v>0</v>
      </c>
      <c r="I968">
        <f t="shared" si="47"/>
        <v>0</v>
      </c>
      <c r="J968">
        <f>IF(Table1[[#This Row],[Active_months]]&gt;=1, 1, 0)</f>
        <v>0</v>
      </c>
    </row>
    <row r="969" spans="1:10" x14ac:dyDescent="0.3">
      <c r="A969">
        <v>182960960</v>
      </c>
      <c r="B969" s="1">
        <v>44943</v>
      </c>
      <c r="C969" s="1">
        <v>45009</v>
      </c>
      <c r="D969">
        <v>39</v>
      </c>
      <c r="E969" t="s">
        <v>6</v>
      </c>
      <c r="F969" t="s">
        <v>7</v>
      </c>
      <c r="G969" s="1">
        <f t="shared" si="45"/>
        <v>45009</v>
      </c>
      <c r="H969">
        <f t="shared" si="46"/>
        <v>2</v>
      </c>
      <c r="I969">
        <f t="shared" si="47"/>
        <v>0</v>
      </c>
      <c r="J969">
        <f>IF(Table1[[#This Row],[Active_months]]&gt;=1, 1, 0)</f>
        <v>1</v>
      </c>
    </row>
    <row r="970" spans="1:10" x14ac:dyDescent="0.3">
      <c r="A970">
        <v>188175982</v>
      </c>
      <c r="B970" s="1">
        <v>44943</v>
      </c>
      <c r="C970" s="1">
        <v>44974</v>
      </c>
      <c r="D970">
        <v>39</v>
      </c>
      <c r="E970" t="s">
        <v>6</v>
      </c>
      <c r="F970" t="s">
        <v>7</v>
      </c>
      <c r="G970" s="1">
        <f t="shared" si="45"/>
        <v>44974</v>
      </c>
      <c r="H970">
        <f t="shared" si="46"/>
        <v>1</v>
      </c>
      <c r="I970">
        <f t="shared" si="47"/>
        <v>0</v>
      </c>
      <c r="J970">
        <f>IF(Table1[[#This Row],[Active_months]]&gt;=1, 1, 0)</f>
        <v>1</v>
      </c>
    </row>
    <row r="971" spans="1:10" x14ac:dyDescent="0.3">
      <c r="A971">
        <v>169729060</v>
      </c>
      <c r="B971" s="1">
        <v>44943</v>
      </c>
      <c r="C971" s="1">
        <v>44976</v>
      </c>
      <c r="D971">
        <v>39</v>
      </c>
      <c r="E971" t="s">
        <v>6</v>
      </c>
      <c r="F971" t="s">
        <v>7</v>
      </c>
      <c r="G971" s="1">
        <f t="shared" si="45"/>
        <v>44976</v>
      </c>
      <c r="H971">
        <f t="shared" si="46"/>
        <v>1</v>
      </c>
      <c r="I971">
        <f t="shared" si="47"/>
        <v>0</v>
      </c>
      <c r="J971">
        <f>IF(Table1[[#This Row],[Active_months]]&gt;=1, 1, 0)</f>
        <v>1</v>
      </c>
    </row>
    <row r="972" spans="1:10" x14ac:dyDescent="0.3">
      <c r="A972">
        <v>186841270</v>
      </c>
      <c r="B972" s="1">
        <v>44943</v>
      </c>
      <c r="C972" s="1">
        <v>44981</v>
      </c>
      <c r="D972">
        <v>39</v>
      </c>
      <c r="E972" t="s">
        <v>6</v>
      </c>
      <c r="F972" t="s">
        <v>7</v>
      </c>
      <c r="G972" s="1">
        <f t="shared" si="45"/>
        <v>44981</v>
      </c>
      <c r="H972">
        <f t="shared" si="46"/>
        <v>1</v>
      </c>
      <c r="I972">
        <f t="shared" si="47"/>
        <v>0</v>
      </c>
      <c r="J972">
        <f>IF(Table1[[#This Row],[Active_months]]&gt;=1, 1, 0)</f>
        <v>1</v>
      </c>
    </row>
    <row r="973" spans="1:10" x14ac:dyDescent="0.3">
      <c r="A973">
        <v>154563993</v>
      </c>
      <c r="B973" s="1">
        <v>44943</v>
      </c>
      <c r="C973" s="1">
        <v>44982</v>
      </c>
      <c r="D973">
        <v>39</v>
      </c>
      <c r="E973" t="s">
        <v>6</v>
      </c>
      <c r="F973" t="s">
        <v>7</v>
      </c>
      <c r="G973" s="1">
        <f t="shared" si="45"/>
        <v>44982</v>
      </c>
      <c r="H973">
        <f t="shared" si="46"/>
        <v>1</v>
      </c>
      <c r="I973">
        <f t="shared" si="47"/>
        <v>0</v>
      </c>
      <c r="J973">
        <f>IF(Table1[[#This Row],[Active_months]]&gt;=1, 1, 0)</f>
        <v>1</v>
      </c>
    </row>
    <row r="974" spans="1:10" x14ac:dyDescent="0.3">
      <c r="A974">
        <v>159767828</v>
      </c>
      <c r="B974" s="1">
        <v>44943</v>
      </c>
      <c r="C974" s="1">
        <v>44981</v>
      </c>
      <c r="D974">
        <v>39</v>
      </c>
      <c r="E974" t="s">
        <v>6</v>
      </c>
      <c r="F974" t="s">
        <v>7</v>
      </c>
      <c r="G974" s="1">
        <f t="shared" si="45"/>
        <v>44981</v>
      </c>
      <c r="H974">
        <f t="shared" si="46"/>
        <v>1</v>
      </c>
      <c r="I974">
        <f t="shared" si="47"/>
        <v>0</v>
      </c>
      <c r="J974">
        <f>IF(Table1[[#This Row],[Active_months]]&gt;=1, 1, 0)</f>
        <v>1</v>
      </c>
    </row>
    <row r="975" spans="1:10" x14ac:dyDescent="0.3">
      <c r="A975">
        <v>183186612</v>
      </c>
      <c r="B975" s="1">
        <v>44943</v>
      </c>
      <c r="C975" s="1">
        <v>45135</v>
      </c>
      <c r="D975">
        <v>39</v>
      </c>
      <c r="E975" t="s">
        <v>6</v>
      </c>
      <c r="F975" t="s">
        <v>7</v>
      </c>
      <c r="G975" s="1">
        <f t="shared" si="45"/>
        <v>45135</v>
      </c>
      <c r="H975">
        <f t="shared" si="46"/>
        <v>6</v>
      </c>
      <c r="I975">
        <f t="shared" si="47"/>
        <v>1</v>
      </c>
      <c r="J975">
        <f>IF(Table1[[#This Row],[Active_months]]&gt;=1, 1, 0)</f>
        <v>1</v>
      </c>
    </row>
    <row r="976" spans="1:10" x14ac:dyDescent="0.3">
      <c r="A976">
        <v>128603349</v>
      </c>
      <c r="B976" s="1">
        <v>44944</v>
      </c>
      <c r="D976">
        <v>39</v>
      </c>
      <c r="E976" t="s">
        <v>6</v>
      </c>
      <c r="F976" t="s">
        <v>7</v>
      </c>
      <c r="G976" s="1">
        <f t="shared" si="45"/>
        <v>45199</v>
      </c>
      <c r="H976">
        <f t="shared" si="46"/>
        <v>8</v>
      </c>
      <c r="I976">
        <f t="shared" si="47"/>
        <v>1</v>
      </c>
      <c r="J976">
        <f>IF(Table1[[#This Row],[Active_months]]&gt;=1, 1, 0)</f>
        <v>1</v>
      </c>
    </row>
    <row r="977" spans="1:10" x14ac:dyDescent="0.3">
      <c r="A977">
        <v>183736457</v>
      </c>
      <c r="B977" s="1">
        <v>44944</v>
      </c>
      <c r="C977" s="1">
        <v>44945</v>
      </c>
      <c r="D977">
        <v>39</v>
      </c>
      <c r="E977" t="s">
        <v>6</v>
      </c>
      <c r="F977" t="s">
        <v>8</v>
      </c>
      <c r="G977" s="1">
        <f t="shared" si="45"/>
        <v>44945</v>
      </c>
      <c r="H977">
        <f t="shared" si="46"/>
        <v>0</v>
      </c>
      <c r="I977">
        <f t="shared" si="47"/>
        <v>0</v>
      </c>
      <c r="J977">
        <f>IF(Table1[[#This Row],[Active_months]]&gt;=1, 1, 0)</f>
        <v>0</v>
      </c>
    </row>
    <row r="978" spans="1:10" x14ac:dyDescent="0.3">
      <c r="A978">
        <v>188115641</v>
      </c>
      <c r="B978" s="1">
        <v>44944</v>
      </c>
      <c r="C978" s="1">
        <v>44944</v>
      </c>
      <c r="D978">
        <v>39</v>
      </c>
      <c r="E978" t="s">
        <v>6</v>
      </c>
      <c r="F978" t="s">
        <v>8</v>
      </c>
      <c r="G978" s="1">
        <f t="shared" si="45"/>
        <v>44944</v>
      </c>
      <c r="H978">
        <f t="shared" si="46"/>
        <v>0</v>
      </c>
      <c r="I978">
        <f t="shared" si="47"/>
        <v>0</v>
      </c>
      <c r="J978">
        <f>IF(Table1[[#This Row],[Active_months]]&gt;=1, 1, 0)</f>
        <v>0</v>
      </c>
    </row>
    <row r="979" spans="1:10" x14ac:dyDescent="0.3">
      <c r="A979">
        <v>188460699</v>
      </c>
      <c r="B979" s="1">
        <v>44944</v>
      </c>
      <c r="C979" s="1">
        <v>44944</v>
      </c>
      <c r="D979">
        <v>39</v>
      </c>
      <c r="E979" t="s">
        <v>6</v>
      </c>
      <c r="F979" t="s">
        <v>8</v>
      </c>
      <c r="G979" s="1">
        <f t="shared" si="45"/>
        <v>44944</v>
      </c>
      <c r="H979">
        <f t="shared" si="46"/>
        <v>0</v>
      </c>
      <c r="I979">
        <f t="shared" si="47"/>
        <v>0</v>
      </c>
      <c r="J979">
        <f>IF(Table1[[#This Row],[Active_months]]&gt;=1, 1, 0)</f>
        <v>0</v>
      </c>
    </row>
    <row r="980" spans="1:10" x14ac:dyDescent="0.3">
      <c r="A980">
        <v>138228332</v>
      </c>
      <c r="B980" s="1">
        <v>44944</v>
      </c>
      <c r="C980" s="1">
        <v>44982</v>
      </c>
      <c r="D980">
        <v>39</v>
      </c>
      <c r="E980" t="s">
        <v>6</v>
      </c>
      <c r="F980" t="s">
        <v>7</v>
      </c>
      <c r="G980" s="1">
        <f t="shared" si="45"/>
        <v>44982</v>
      </c>
      <c r="H980">
        <f t="shared" si="46"/>
        <v>1</v>
      </c>
      <c r="I980">
        <f t="shared" si="47"/>
        <v>0</v>
      </c>
      <c r="J980">
        <f>IF(Table1[[#This Row],[Active_months]]&gt;=1, 1, 0)</f>
        <v>1</v>
      </c>
    </row>
    <row r="981" spans="1:10" x14ac:dyDescent="0.3">
      <c r="A981">
        <v>184143564</v>
      </c>
      <c r="B981" s="1">
        <v>44944</v>
      </c>
      <c r="C981" s="1">
        <v>45068</v>
      </c>
      <c r="D981">
        <v>39</v>
      </c>
      <c r="E981" t="s">
        <v>6</v>
      </c>
      <c r="F981" t="s">
        <v>7</v>
      </c>
      <c r="G981" s="1">
        <f t="shared" si="45"/>
        <v>45068</v>
      </c>
      <c r="H981">
        <f t="shared" si="46"/>
        <v>4</v>
      </c>
      <c r="I981">
        <f t="shared" si="47"/>
        <v>0</v>
      </c>
      <c r="J981">
        <f>IF(Table1[[#This Row],[Active_months]]&gt;=1, 1, 0)</f>
        <v>1</v>
      </c>
    </row>
    <row r="982" spans="1:10" x14ac:dyDescent="0.3">
      <c r="A982">
        <v>179508142</v>
      </c>
      <c r="B982" s="1">
        <v>44944</v>
      </c>
      <c r="C982" s="1">
        <v>45090</v>
      </c>
      <c r="D982">
        <v>39</v>
      </c>
      <c r="E982" t="s">
        <v>6</v>
      </c>
      <c r="F982" t="s">
        <v>7</v>
      </c>
      <c r="G982" s="1">
        <f t="shared" si="45"/>
        <v>45090</v>
      </c>
      <c r="H982">
        <f t="shared" si="46"/>
        <v>5</v>
      </c>
      <c r="I982">
        <f t="shared" si="47"/>
        <v>1</v>
      </c>
      <c r="J982">
        <f>IF(Table1[[#This Row],[Active_months]]&gt;=1, 1, 0)</f>
        <v>1</v>
      </c>
    </row>
    <row r="983" spans="1:10" x14ac:dyDescent="0.3">
      <c r="A983">
        <v>188269607</v>
      </c>
      <c r="B983" s="1">
        <v>44944</v>
      </c>
      <c r="C983" s="1">
        <v>45032</v>
      </c>
      <c r="D983">
        <v>39</v>
      </c>
      <c r="E983" t="s">
        <v>6</v>
      </c>
      <c r="F983" t="s">
        <v>7</v>
      </c>
      <c r="G983" s="1">
        <f t="shared" si="45"/>
        <v>45032</v>
      </c>
      <c r="H983">
        <f t="shared" si="46"/>
        <v>3</v>
      </c>
      <c r="I983">
        <f t="shared" si="47"/>
        <v>0</v>
      </c>
      <c r="J983">
        <f>IF(Table1[[#This Row],[Active_months]]&gt;=1, 1, 0)</f>
        <v>1</v>
      </c>
    </row>
    <row r="984" spans="1:10" x14ac:dyDescent="0.3">
      <c r="A984">
        <v>181890100</v>
      </c>
      <c r="B984" s="1">
        <v>44944</v>
      </c>
      <c r="C984" s="1">
        <v>45011</v>
      </c>
      <c r="D984">
        <v>39</v>
      </c>
      <c r="E984" t="s">
        <v>6</v>
      </c>
      <c r="F984" t="s">
        <v>7</v>
      </c>
      <c r="G984" s="1">
        <f t="shared" si="45"/>
        <v>45011</v>
      </c>
      <c r="H984">
        <f t="shared" si="46"/>
        <v>2</v>
      </c>
      <c r="I984">
        <f t="shared" si="47"/>
        <v>0</v>
      </c>
      <c r="J984">
        <f>IF(Table1[[#This Row],[Active_months]]&gt;=1, 1, 0)</f>
        <v>1</v>
      </c>
    </row>
    <row r="985" spans="1:10" x14ac:dyDescent="0.3">
      <c r="A985">
        <v>185642830</v>
      </c>
      <c r="B985" s="1">
        <v>44944</v>
      </c>
      <c r="C985" s="1">
        <v>44999</v>
      </c>
      <c r="D985">
        <v>39</v>
      </c>
      <c r="E985" t="s">
        <v>6</v>
      </c>
      <c r="F985" t="s">
        <v>7</v>
      </c>
      <c r="G985" s="1">
        <f t="shared" si="45"/>
        <v>44999</v>
      </c>
      <c r="H985">
        <f t="shared" si="46"/>
        <v>2</v>
      </c>
      <c r="I985">
        <f t="shared" si="47"/>
        <v>0</v>
      </c>
      <c r="J985">
        <f>IF(Table1[[#This Row],[Active_months]]&gt;=1, 1, 0)</f>
        <v>1</v>
      </c>
    </row>
    <row r="986" spans="1:10" x14ac:dyDescent="0.3">
      <c r="A986">
        <v>152223051</v>
      </c>
      <c r="B986" s="1">
        <v>44944</v>
      </c>
      <c r="C986" s="1">
        <v>44982</v>
      </c>
      <c r="D986">
        <v>39</v>
      </c>
      <c r="E986" t="s">
        <v>6</v>
      </c>
      <c r="F986" t="s">
        <v>7</v>
      </c>
      <c r="G986" s="1">
        <f t="shared" si="45"/>
        <v>44982</v>
      </c>
      <c r="H986">
        <f t="shared" si="46"/>
        <v>1</v>
      </c>
      <c r="I986">
        <f t="shared" si="47"/>
        <v>0</v>
      </c>
      <c r="J986">
        <f>IF(Table1[[#This Row],[Active_months]]&gt;=1, 1, 0)</f>
        <v>1</v>
      </c>
    </row>
    <row r="987" spans="1:10" x14ac:dyDescent="0.3">
      <c r="A987">
        <v>156067850</v>
      </c>
      <c r="B987" s="1">
        <v>44944</v>
      </c>
      <c r="C987" s="1">
        <v>44975</v>
      </c>
      <c r="D987">
        <v>39</v>
      </c>
      <c r="E987" t="s">
        <v>6</v>
      </c>
      <c r="F987" t="s">
        <v>7</v>
      </c>
      <c r="G987" s="1">
        <f t="shared" si="45"/>
        <v>44975</v>
      </c>
      <c r="H987">
        <f t="shared" si="46"/>
        <v>1</v>
      </c>
      <c r="I987">
        <f t="shared" si="47"/>
        <v>0</v>
      </c>
      <c r="J987">
        <f>IF(Table1[[#This Row],[Active_months]]&gt;=1, 1, 0)</f>
        <v>1</v>
      </c>
    </row>
    <row r="988" spans="1:10" x14ac:dyDescent="0.3">
      <c r="A988">
        <v>188701816</v>
      </c>
      <c r="B988" s="1">
        <v>44944</v>
      </c>
      <c r="C988" s="1">
        <v>44974</v>
      </c>
      <c r="D988">
        <v>39</v>
      </c>
      <c r="E988" t="s">
        <v>6</v>
      </c>
      <c r="F988" t="s">
        <v>7</v>
      </c>
      <c r="G988" s="1">
        <f t="shared" si="45"/>
        <v>44974</v>
      </c>
      <c r="H988">
        <f t="shared" si="46"/>
        <v>1</v>
      </c>
      <c r="I988">
        <f t="shared" si="47"/>
        <v>0</v>
      </c>
      <c r="J988">
        <f>IF(Table1[[#This Row],[Active_months]]&gt;=1, 1, 0)</f>
        <v>1</v>
      </c>
    </row>
    <row r="989" spans="1:10" x14ac:dyDescent="0.3">
      <c r="A989">
        <v>188133192</v>
      </c>
      <c r="B989" s="1">
        <v>44944</v>
      </c>
      <c r="C989" s="1">
        <v>44976</v>
      </c>
      <c r="D989">
        <v>39</v>
      </c>
      <c r="E989" t="s">
        <v>6</v>
      </c>
      <c r="F989" t="s">
        <v>7</v>
      </c>
      <c r="G989" s="1">
        <f t="shared" si="45"/>
        <v>44976</v>
      </c>
      <c r="H989">
        <f t="shared" si="46"/>
        <v>1</v>
      </c>
      <c r="I989">
        <f t="shared" si="47"/>
        <v>0</v>
      </c>
      <c r="J989">
        <f>IF(Table1[[#This Row],[Active_months]]&gt;=1, 1, 0)</f>
        <v>1</v>
      </c>
    </row>
    <row r="990" spans="1:10" x14ac:dyDescent="0.3">
      <c r="A990">
        <v>183936068</v>
      </c>
      <c r="B990" s="1">
        <v>44944</v>
      </c>
      <c r="C990" s="1">
        <v>45110</v>
      </c>
      <c r="D990">
        <v>39</v>
      </c>
      <c r="E990" t="s">
        <v>6</v>
      </c>
      <c r="F990" t="s">
        <v>7</v>
      </c>
      <c r="G990" s="1">
        <f t="shared" si="45"/>
        <v>45110</v>
      </c>
      <c r="H990">
        <f t="shared" si="46"/>
        <v>6</v>
      </c>
      <c r="I990">
        <f t="shared" si="47"/>
        <v>1</v>
      </c>
      <c r="J990">
        <f>IF(Table1[[#This Row],[Active_months]]&gt;=1, 1, 0)</f>
        <v>1</v>
      </c>
    </row>
    <row r="991" spans="1:10" x14ac:dyDescent="0.3">
      <c r="A991">
        <v>188119778</v>
      </c>
      <c r="B991" s="1">
        <v>44944</v>
      </c>
      <c r="C991" s="1">
        <v>45095</v>
      </c>
      <c r="D991">
        <v>39</v>
      </c>
      <c r="E991" t="s">
        <v>6</v>
      </c>
      <c r="F991" t="s">
        <v>7</v>
      </c>
      <c r="G991" s="1">
        <f t="shared" si="45"/>
        <v>45095</v>
      </c>
      <c r="H991">
        <f t="shared" si="46"/>
        <v>5</v>
      </c>
      <c r="I991">
        <f t="shared" si="47"/>
        <v>1</v>
      </c>
      <c r="J991">
        <f>IF(Table1[[#This Row],[Active_months]]&gt;=1, 1, 0)</f>
        <v>1</v>
      </c>
    </row>
    <row r="992" spans="1:10" x14ac:dyDescent="0.3">
      <c r="A992">
        <v>189410056</v>
      </c>
      <c r="B992" s="1">
        <v>44945</v>
      </c>
      <c r="D992">
        <v>39</v>
      </c>
      <c r="E992" t="s">
        <v>6</v>
      </c>
      <c r="F992" t="s">
        <v>7</v>
      </c>
      <c r="G992" s="1">
        <f t="shared" si="45"/>
        <v>45199</v>
      </c>
      <c r="H992">
        <f t="shared" si="46"/>
        <v>8</v>
      </c>
      <c r="I992">
        <f t="shared" si="47"/>
        <v>1</v>
      </c>
      <c r="J992">
        <f>IF(Table1[[#This Row],[Active_months]]&gt;=1, 1, 0)</f>
        <v>1</v>
      </c>
    </row>
    <row r="993" spans="1:10" x14ac:dyDescent="0.3">
      <c r="A993">
        <v>184970659</v>
      </c>
      <c r="B993" s="1">
        <v>44945</v>
      </c>
      <c r="D993">
        <v>39</v>
      </c>
      <c r="E993" t="s">
        <v>6</v>
      </c>
      <c r="F993" t="s">
        <v>7</v>
      </c>
      <c r="G993" s="1">
        <f t="shared" si="45"/>
        <v>45199</v>
      </c>
      <c r="H993">
        <f t="shared" si="46"/>
        <v>8</v>
      </c>
      <c r="I993">
        <f t="shared" si="47"/>
        <v>1</v>
      </c>
      <c r="J993">
        <f>IF(Table1[[#This Row],[Active_months]]&gt;=1, 1, 0)</f>
        <v>1</v>
      </c>
    </row>
    <row r="994" spans="1:10" x14ac:dyDescent="0.3">
      <c r="A994">
        <v>148476648</v>
      </c>
      <c r="B994" s="1">
        <v>44945</v>
      </c>
      <c r="C994" s="1">
        <v>45058</v>
      </c>
      <c r="D994">
        <v>39</v>
      </c>
      <c r="E994" t="s">
        <v>6</v>
      </c>
      <c r="F994" t="s">
        <v>7</v>
      </c>
      <c r="G994" s="1">
        <f t="shared" si="45"/>
        <v>45058</v>
      </c>
      <c r="H994">
        <f t="shared" si="46"/>
        <v>4</v>
      </c>
      <c r="I994">
        <f t="shared" si="47"/>
        <v>0</v>
      </c>
      <c r="J994">
        <f>IF(Table1[[#This Row],[Active_months]]&gt;=1, 1, 0)</f>
        <v>1</v>
      </c>
    </row>
    <row r="995" spans="1:10" x14ac:dyDescent="0.3">
      <c r="A995">
        <v>189289885</v>
      </c>
      <c r="B995" s="1">
        <v>44945</v>
      </c>
      <c r="C995" s="1">
        <v>45036</v>
      </c>
      <c r="D995">
        <v>39</v>
      </c>
      <c r="E995" t="s">
        <v>6</v>
      </c>
      <c r="F995" t="s">
        <v>7</v>
      </c>
      <c r="G995" s="1">
        <f t="shared" si="45"/>
        <v>45036</v>
      </c>
      <c r="H995">
        <f t="shared" si="46"/>
        <v>3</v>
      </c>
      <c r="I995">
        <f t="shared" si="47"/>
        <v>0</v>
      </c>
      <c r="J995">
        <f>IF(Table1[[#This Row],[Active_months]]&gt;=1, 1, 0)</f>
        <v>1</v>
      </c>
    </row>
    <row r="996" spans="1:10" x14ac:dyDescent="0.3">
      <c r="A996">
        <v>150442182</v>
      </c>
      <c r="B996" s="1">
        <v>44945</v>
      </c>
      <c r="C996" s="1">
        <v>45004</v>
      </c>
      <c r="D996">
        <v>39</v>
      </c>
      <c r="E996" t="s">
        <v>6</v>
      </c>
      <c r="F996" t="s">
        <v>7</v>
      </c>
      <c r="G996" s="1">
        <f t="shared" si="45"/>
        <v>45004</v>
      </c>
      <c r="H996">
        <f t="shared" si="46"/>
        <v>2</v>
      </c>
      <c r="I996">
        <f t="shared" si="47"/>
        <v>0</v>
      </c>
      <c r="J996">
        <f>IF(Table1[[#This Row],[Active_months]]&gt;=1, 1, 0)</f>
        <v>1</v>
      </c>
    </row>
    <row r="997" spans="1:10" x14ac:dyDescent="0.3">
      <c r="A997">
        <v>184826230</v>
      </c>
      <c r="B997" s="1">
        <v>44945</v>
      </c>
      <c r="C997" s="1">
        <v>44972</v>
      </c>
      <c r="D997">
        <v>39</v>
      </c>
      <c r="E997" t="s">
        <v>6</v>
      </c>
      <c r="F997" t="s">
        <v>7</v>
      </c>
      <c r="G997" s="1">
        <f t="shared" si="45"/>
        <v>44972</v>
      </c>
      <c r="H997">
        <f t="shared" si="46"/>
        <v>1</v>
      </c>
      <c r="I997">
        <f t="shared" si="47"/>
        <v>0</v>
      </c>
      <c r="J997">
        <f>IF(Table1[[#This Row],[Active_months]]&gt;=1, 1, 0)</f>
        <v>1</v>
      </c>
    </row>
    <row r="998" spans="1:10" x14ac:dyDescent="0.3">
      <c r="A998">
        <v>184786342</v>
      </c>
      <c r="B998" s="1">
        <v>44945</v>
      </c>
      <c r="C998" s="1">
        <v>44945</v>
      </c>
      <c r="D998">
        <v>39</v>
      </c>
      <c r="E998" t="s">
        <v>6</v>
      </c>
      <c r="F998" t="s">
        <v>7</v>
      </c>
      <c r="G998" s="1">
        <f t="shared" si="45"/>
        <v>44945</v>
      </c>
      <c r="H998">
        <f t="shared" si="46"/>
        <v>0</v>
      </c>
      <c r="I998">
        <f t="shared" si="47"/>
        <v>0</v>
      </c>
      <c r="J998">
        <f>IF(Table1[[#This Row],[Active_months]]&gt;=1, 1, 0)</f>
        <v>0</v>
      </c>
    </row>
    <row r="999" spans="1:10" x14ac:dyDescent="0.3">
      <c r="A999">
        <v>181565760</v>
      </c>
      <c r="B999" s="1">
        <v>44945</v>
      </c>
      <c r="C999" s="1">
        <v>44952</v>
      </c>
      <c r="D999">
        <v>39</v>
      </c>
      <c r="E999" t="s">
        <v>6</v>
      </c>
      <c r="F999" t="s">
        <v>7</v>
      </c>
      <c r="G999" s="1">
        <f t="shared" si="45"/>
        <v>44952</v>
      </c>
      <c r="H999">
        <f t="shared" si="46"/>
        <v>0</v>
      </c>
      <c r="I999">
        <f t="shared" si="47"/>
        <v>0</v>
      </c>
      <c r="J999">
        <f>IF(Table1[[#This Row],[Active_months]]&gt;=1, 1, 0)</f>
        <v>0</v>
      </c>
    </row>
    <row r="1000" spans="1:10" x14ac:dyDescent="0.3">
      <c r="A1000">
        <v>189278478</v>
      </c>
      <c r="B1000" s="1">
        <v>44946</v>
      </c>
      <c r="D1000">
        <v>39</v>
      </c>
      <c r="E1000" t="s">
        <v>6</v>
      </c>
      <c r="F1000" t="s">
        <v>7</v>
      </c>
      <c r="G1000" s="1">
        <f t="shared" si="45"/>
        <v>45199</v>
      </c>
      <c r="H1000">
        <f t="shared" si="46"/>
        <v>8</v>
      </c>
      <c r="I1000">
        <f t="shared" si="47"/>
        <v>1</v>
      </c>
      <c r="J1000">
        <f>IF(Table1[[#This Row],[Active_months]]&gt;=1, 1, 0)</f>
        <v>1</v>
      </c>
    </row>
    <row r="1001" spans="1:10" x14ac:dyDescent="0.3">
      <c r="A1001">
        <v>184066428</v>
      </c>
      <c r="B1001" s="1">
        <v>44946</v>
      </c>
      <c r="D1001">
        <v>39</v>
      </c>
      <c r="E1001" t="s">
        <v>6</v>
      </c>
      <c r="F1001" t="s">
        <v>7</v>
      </c>
      <c r="G1001" s="1">
        <f t="shared" si="45"/>
        <v>45199</v>
      </c>
      <c r="H1001">
        <f t="shared" si="46"/>
        <v>8</v>
      </c>
      <c r="I1001">
        <f t="shared" si="47"/>
        <v>1</v>
      </c>
      <c r="J1001">
        <f>IF(Table1[[#This Row],[Active_months]]&gt;=1, 1, 0)</f>
        <v>1</v>
      </c>
    </row>
    <row r="1002" spans="1:10" x14ac:dyDescent="0.3">
      <c r="A1002">
        <v>135771077</v>
      </c>
      <c r="B1002" s="1">
        <v>44946</v>
      </c>
      <c r="D1002">
        <v>39</v>
      </c>
      <c r="E1002" t="s">
        <v>6</v>
      </c>
      <c r="F1002" t="s">
        <v>7</v>
      </c>
      <c r="G1002" s="1">
        <f t="shared" si="45"/>
        <v>45199</v>
      </c>
      <c r="H1002">
        <f t="shared" si="46"/>
        <v>8</v>
      </c>
      <c r="I1002">
        <f t="shared" si="47"/>
        <v>1</v>
      </c>
      <c r="J1002">
        <f>IF(Table1[[#This Row],[Active_months]]&gt;=1, 1, 0)</f>
        <v>1</v>
      </c>
    </row>
    <row r="1003" spans="1:10" x14ac:dyDescent="0.3">
      <c r="A1003">
        <v>184831280</v>
      </c>
      <c r="B1003" s="1">
        <v>44946</v>
      </c>
      <c r="C1003" s="1">
        <v>45055</v>
      </c>
      <c r="D1003">
        <v>39</v>
      </c>
      <c r="E1003" t="s">
        <v>6</v>
      </c>
      <c r="F1003" t="s">
        <v>7</v>
      </c>
      <c r="G1003" s="1">
        <f t="shared" si="45"/>
        <v>45055</v>
      </c>
      <c r="H1003">
        <f t="shared" si="46"/>
        <v>4</v>
      </c>
      <c r="I1003">
        <f t="shared" si="47"/>
        <v>0</v>
      </c>
      <c r="J1003">
        <f>IF(Table1[[#This Row],[Active_months]]&gt;=1, 1, 0)</f>
        <v>1</v>
      </c>
    </row>
    <row r="1004" spans="1:10" x14ac:dyDescent="0.3">
      <c r="A1004">
        <v>188828652</v>
      </c>
      <c r="B1004" s="1">
        <v>44946</v>
      </c>
      <c r="C1004" s="1">
        <v>45047</v>
      </c>
      <c r="D1004">
        <v>39</v>
      </c>
      <c r="E1004" t="s">
        <v>6</v>
      </c>
      <c r="F1004" t="s">
        <v>7</v>
      </c>
      <c r="G1004" s="1">
        <f t="shared" si="45"/>
        <v>45047</v>
      </c>
      <c r="H1004">
        <f t="shared" si="46"/>
        <v>4</v>
      </c>
      <c r="I1004">
        <f t="shared" si="47"/>
        <v>0</v>
      </c>
      <c r="J1004">
        <f>IF(Table1[[#This Row],[Active_months]]&gt;=1, 1, 0)</f>
        <v>1</v>
      </c>
    </row>
    <row r="1005" spans="1:10" x14ac:dyDescent="0.3">
      <c r="A1005">
        <v>188666673</v>
      </c>
      <c r="B1005" s="1">
        <v>44946</v>
      </c>
      <c r="C1005" s="1">
        <v>44993</v>
      </c>
      <c r="D1005">
        <v>39</v>
      </c>
      <c r="E1005" t="s">
        <v>6</v>
      </c>
      <c r="F1005" t="s">
        <v>7</v>
      </c>
      <c r="G1005" s="1">
        <f t="shared" si="45"/>
        <v>44993</v>
      </c>
      <c r="H1005">
        <f t="shared" si="46"/>
        <v>2</v>
      </c>
      <c r="I1005">
        <f t="shared" si="47"/>
        <v>0</v>
      </c>
      <c r="J1005">
        <f>IF(Table1[[#This Row],[Active_months]]&gt;=1, 1, 0)</f>
        <v>1</v>
      </c>
    </row>
    <row r="1006" spans="1:10" x14ac:dyDescent="0.3">
      <c r="A1006">
        <v>189880452</v>
      </c>
      <c r="B1006" s="1">
        <v>44946</v>
      </c>
      <c r="C1006" s="1">
        <v>44976</v>
      </c>
      <c r="D1006">
        <v>39</v>
      </c>
      <c r="E1006" t="s">
        <v>6</v>
      </c>
      <c r="F1006" t="s">
        <v>7</v>
      </c>
      <c r="G1006" s="1">
        <f t="shared" si="45"/>
        <v>44976</v>
      </c>
      <c r="H1006">
        <f t="shared" si="46"/>
        <v>1</v>
      </c>
      <c r="I1006">
        <f t="shared" si="47"/>
        <v>0</v>
      </c>
      <c r="J1006">
        <f>IF(Table1[[#This Row],[Active_months]]&gt;=1, 1, 0)</f>
        <v>1</v>
      </c>
    </row>
    <row r="1007" spans="1:10" x14ac:dyDescent="0.3">
      <c r="A1007">
        <v>160986271</v>
      </c>
      <c r="B1007" s="1">
        <v>44946</v>
      </c>
      <c r="C1007" s="1">
        <v>44984</v>
      </c>
      <c r="D1007">
        <v>39</v>
      </c>
      <c r="E1007" t="s">
        <v>6</v>
      </c>
      <c r="F1007" t="s">
        <v>7</v>
      </c>
      <c r="G1007" s="1">
        <f t="shared" si="45"/>
        <v>44984</v>
      </c>
      <c r="H1007">
        <f t="shared" si="46"/>
        <v>1</v>
      </c>
      <c r="I1007">
        <f t="shared" si="47"/>
        <v>0</v>
      </c>
      <c r="J1007">
        <f>IF(Table1[[#This Row],[Active_months]]&gt;=1, 1, 0)</f>
        <v>1</v>
      </c>
    </row>
    <row r="1008" spans="1:10" x14ac:dyDescent="0.3">
      <c r="A1008">
        <v>187895888</v>
      </c>
      <c r="B1008" s="1">
        <v>44946</v>
      </c>
      <c r="C1008" s="1">
        <v>44970</v>
      </c>
      <c r="D1008">
        <v>39</v>
      </c>
      <c r="E1008" t="s">
        <v>6</v>
      </c>
      <c r="F1008" t="s">
        <v>7</v>
      </c>
      <c r="G1008" s="1">
        <f t="shared" si="45"/>
        <v>44970</v>
      </c>
      <c r="H1008">
        <f t="shared" si="46"/>
        <v>1</v>
      </c>
      <c r="I1008">
        <f t="shared" si="47"/>
        <v>0</v>
      </c>
      <c r="J1008">
        <f>IF(Table1[[#This Row],[Active_months]]&gt;=1, 1, 0)</f>
        <v>1</v>
      </c>
    </row>
    <row r="1009" spans="1:10" x14ac:dyDescent="0.3">
      <c r="A1009">
        <v>190871376</v>
      </c>
      <c r="B1009" s="1">
        <v>44947</v>
      </c>
      <c r="D1009">
        <v>39</v>
      </c>
      <c r="E1009" t="s">
        <v>6</v>
      </c>
      <c r="F1009" t="s">
        <v>7</v>
      </c>
      <c r="G1009" s="1">
        <f t="shared" si="45"/>
        <v>45199</v>
      </c>
      <c r="H1009">
        <f t="shared" si="46"/>
        <v>8</v>
      </c>
      <c r="I1009">
        <f t="shared" si="47"/>
        <v>1</v>
      </c>
      <c r="J1009">
        <f>IF(Table1[[#This Row],[Active_months]]&gt;=1, 1, 0)</f>
        <v>1</v>
      </c>
    </row>
    <row r="1010" spans="1:10" x14ac:dyDescent="0.3">
      <c r="A1010">
        <v>166750222</v>
      </c>
      <c r="B1010" s="1">
        <v>44947</v>
      </c>
      <c r="C1010" s="1">
        <v>45048</v>
      </c>
      <c r="D1010">
        <v>39</v>
      </c>
      <c r="E1010" t="s">
        <v>6</v>
      </c>
      <c r="F1010" t="s">
        <v>7</v>
      </c>
      <c r="G1010" s="1">
        <f t="shared" si="45"/>
        <v>45048</v>
      </c>
      <c r="H1010">
        <f t="shared" si="46"/>
        <v>4</v>
      </c>
      <c r="I1010">
        <f t="shared" si="47"/>
        <v>0</v>
      </c>
      <c r="J1010">
        <f>IF(Table1[[#This Row],[Active_months]]&gt;=1, 1, 0)</f>
        <v>1</v>
      </c>
    </row>
    <row r="1011" spans="1:10" x14ac:dyDescent="0.3">
      <c r="A1011">
        <v>189360536</v>
      </c>
      <c r="B1011" s="1">
        <v>44947</v>
      </c>
      <c r="C1011" s="1">
        <v>45041</v>
      </c>
      <c r="D1011">
        <v>39</v>
      </c>
      <c r="E1011" t="s">
        <v>6</v>
      </c>
      <c r="F1011" t="s">
        <v>7</v>
      </c>
      <c r="G1011" s="1">
        <f t="shared" si="45"/>
        <v>45041</v>
      </c>
      <c r="H1011">
        <f t="shared" si="46"/>
        <v>3</v>
      </c>
      <c r="I1011">
        <f t="shared" si="47"/>
        <v>0</v>
      </c>
      <c r="J1011">
        <f>IF(Table1[[#This Row],[Active_months]]&gt;=1, 1, 0)</f>
        <v>1</v>
      </c>
    </row>
    <row r="1012" spans="1:10" x14ac:dyDescent="0.3">
      <c r="A1012">
        <v>188197564</v>
      </c>
      <c r="B1012" s="1">
        <v>44947</v>
      </c>
      <c r="C1012" s="1">
        <v>45036</v>
      </c>
      <c r="D1012">
        <v>39</v>
      </c>
      <c r="E1012" t="s">
        <v>6</v>
      </c>
      <c r="F1012" t="s">
        <v>7</v>
      </c>
      <c r="G1012" s="1">
        <f t="shared" si="45"/>
        <v>45036</v>
      </c>
      <c r="H1012">
        <f t="shared" si="46"/>
        <v>3</v>
      </c>
      <c r="I1012">
        <f t="shared" si="47"/>
        <v>0</v>
      </c>
      <c r="J1012">
        <f>IF(Table1[[#This Row],[Active_months]]&gt;=1, 1, 0)</f>
        <v>1</v>
      </c>
    </row>
    <row r="1013" spans="1:10" x14ac:dyDescent="0.3">
      <c r="A1013">
        <v>191034251</v>
      </c>
      <c r="B1013" s="1">
        <v>44947</v>
      </c>
      <c r="C1013" s="1">
        <v>44972</v>
      </c>
      <c r="D1013">
        <v>39</v>
      </c>
      <c r="E1013" t="s">
        <v>6</v>
      </c>
      <c r="F1013" t="s">
        <v>7</v>
      </c>
      <c r="G1013" s="1">
        <f t="shared" si="45"/>
        <v>44972</v>
      </c>
      <c r="H1013">
        <f t="shared" si="46"/>
        <v>1</v>
      </c>
      <c r="I1013">
        <f t="shared" si="47"/>
        <v>0</v>
      </c>
      <c r="J1013">
        <f>IF(Table1[[#This Row],[Active_months]]&gt;=1, 1, 0)</f>
        <v>1</v>
      </c>
    </row>
    <row r="1014" spans="1:10" x14ac:dyDescent="0.3">
      <c r="A1014">
        <v>182972593</v>
      </c>
      <c r="B1014" s="1">
        <v>44947</v>
      </c>
      <c r="C1014" s="1">
        <v>44960</v>
      </c>
      <c r="D1014">
        <v>39</v>
      </c>
      <c r="E1014" t="s">
        <v>6</v>
      </c>
      <c r="F1014" t="s">
        <v>7</v>
      </c>
      <c r="G1014" s="1">
        <f t="shared" si="45"/>
        <v>44960</v>
      </c>
      <c r="H1014">
        <f t="shared" si="46"/>
        <v>1</v>
      </c>
      <c r="I1014">
        <f t="shared" si="47"/>
        <v>0</v>
      </c>
      <c r="J1014">
        <f>IF(Table1[[#This Row],[Active_months]]&gt;=1, 1, 0)</f>
        <v>1</v>
      </c>
    </row>
    <row r="1015" spans="1:10" x14ac:dyDescent="0.3">
      <c r="A1015">
        <v>182958960</v>
      </c>
      <c r="B1015" s="1">
        <v>44948</v>
      </c>
      <c r="C1015" s="1">
        <v>44949</v>
      </c>
      <c r="D1015">
        <v>39</v>
      </c>
      <c r="E1015" t="s">
        <v>6</v>
      </c>
      <c r="F1015" t="s">
        <v>7</v>
      </c>
      <c r="G1015" s="1">
        <f t="shared" si="45"/>
        <v>44949</v>
      </c>
      <c r="H1015">
        <f t="shared" si="46"/>
        <v>0</v>
      </c>
      <c r="I1015">
        <f t="shared" si="47"/>
        <v>0</v>
      </c>
      <c r="J1015">
        <f>IF(Table1[[#This Row],[Active_months]]&gt;=1, 1, 0)</f>
        <v>0</v>
      </c>
    </row>
    <row r="1016" spans="1:10" x14ac:dyDescent="0.3">
      <c r="A1016">
        <v>163220556</v>
      </c>
      <c r="B1016" s="1">
        <v>44948</v>
      </c>
      <c r="C1016" s="1">
        <v>44994</v>
      </c>
      <c r="D1016">
        <v>39</v>
      </c>
      <c r="E1016" t="s">
        <v>6</v>
      </c>
      <c r="F1016" t="s">
        <v>7</v>
      </c>
      <c r="G1016" s="1">
        <f t="shared" si="45"/>
        <v>44994</v>
      </c>
      <c r="H1016">
        <f t="shared" si="46"/>
        <v>2</v>
      </c>
      <c r="I1016">
        <f t="shared" si="47"/>
        <v>0</v>
      </c>
      <c r="J1016">
        <f>IF(Table1[[#This Row],[Active_months]]&gt;=1, 1, 0)</f>
        <v>1</v>
      </c>
    </row>
    <row r="1017" spans="1:10" x14ac:dyDescent="0.3">
      <c r="A1017">
        <v>191730833</v>
      </c>
      <c r="B1017" s="1">
        <v>44948</v>
      </c>
      <c r="C1017" s="1">
        <v>45006</v>
      </c>
      <c r="D1017">
        <v>39</v>
      </c>
      <c r="E1017" t="s">
        <v>6</v>
      </c>
      <c r="F1017" t="s">
        <v>7</v>
      </c>
      <c r="G1017" s="1">
        <f t="shared" si="45"/>
        <v>45006</v>
      </c>
      <c r="H1017">
        <f t="shared" si="46"/>
        <v>2</v>
      </c>
      <c r="I1017">
        <f t="shared" si="47"/>
        <v>0</v>
      </c>
      <c r="J1017">
        <f>IF(Table1[[#This Row],[Active_months]]&gt;=1, 1, 0)</f>
        <v>1</v>
      </c>
    </row>
    <row r="1018" spans="1:10" x14ac:dyDescent="0.3">
      <c r="A1018">
        <v>189680563</v>
      </c>
      <c r="B1018" s="1">
        <v>44948</v>
      </c>
      <c r="C1018" s="1">
        <v>45006</v>
      </c>
      <c r="D1018">
        <v>39</v>
      </c>
      <c r="E1018" t="s">
        <v>6</v>
      </c>
      <c r="F1018" t="s">
        <v>7</v>
      </c>
      <c r="G1018" s="1">
        <f t="shared" si="45"/>
        <v>45006</v>
      </c>
      <c r="H1018">
        <f t="shared" si="46"/>
        <v>2</v>
      </c>
      <c r="I1018">
        <f t="shared" si="47"/>
        <v>0</v>
      </c>
      <c r="J1018">
        <f>IF(Table1[[#This Row],[Active_months]]&gt;=1, 1, 0)</f>
        <v>1</v>
      </c>
    </row>
    <row r="1019" spans="1:10" x14ac:dyDescent="0.3">
      <c r="A1019">
        <v>190666110</v>
      </c>
      <c r="B1019" s="1">
        <v>44949</v>
      </c>
      <c r="D1019">
        <v>39</v>
      </c>
      <c r="E1019" t="s">
        <v>6</v>
      </c>
      <c r="F1019" t="s">
        <v>7</v>
      </c>
      <c r="G1019" s="1">
        <f t="shared" si="45"/>
        <v>45199</v>
      </c>
      <c r="H1019">
        <f t="shared" si="46"/>
        <v>8</v>
      </c>
      <c r="I1019">
        <f t="shared" si="47"/>
        <v>1</v>
      </c>
      <c r="J1019">
        <f>IF(Table1[[#This Row],[Active_months]]&gt;=1, 1, 0)</f>
        <v>1</v>
      </c>
    </row>
    <row r="1020" spans="1:10" x14ac:dyDescent="0.3">
      <c r="A1020">
        <v>180622613</v>
      </c>
      <c r="B1020" s="1">
        <v>44949</v>
      </c>
      <c r="D1020">
        <v>39</v>
      </c>
      <c r="E1020" t="s">
        <v>6</v>
      </c>
      <c r="F1020" t="s">
        <v>7</v>
      </c>
      <c r="G1020" s="1">
        <f t="shared" si="45"/>
        <v>45199</v>
      </c>
      <c r="H1020">
        <f t="shared" si="46"/>
        <v>8</v>
      </c>
      <c r="I1020">
        <f t="shared" si="47"/>
        <v>1</v>
      </c>
      <c r="J1020">
        <f>IF(Table1[[#This Row],[Active_months]]&gt;=1, 1, 0)</f>
        <v>1</v>
      </c>
    </row>
    <row r="1021" spans="1:10" x14ac:dyDescent="0.3">
      <c r="A1021">
        <v>188827172</v>
      </c>
      <c r="B1021" s="1">
        <v>44949</v>
      </c>
      <c r="D1021">
        <v>39</v>
      </c>
      <c r="E1021" t="s">
        <v>6</v>
      </c>
      <c r="F1021" t="s">
        <v>7</v>
      </c>
      <c r="G1021" s="1">
        <f t="shared" si="45"/>
        <v>45199</v>
      </c>
      <c r="H1021">
        <f t="shared" si="46"/>
        <v>8</v>
      </c>
      <c r="I1021">
        <f t="shared" si="47"/>
        <v>1</v>
      </c>
      <c r="J1021">
        <f>IF(Table1[[#This Row],[Active_months]]&gt;=1, 1, 0)</f>
        <v>1</v>
      </c>
    </row>
    <row r="1022" spans="1:10" x14ac:dyDescent="0.3">
      <c r="A1022">
        <v>188068965</v>
      </c>
      <c r="B1022" s="1">
        <v>44949</v>
      </c>
      <c r="C1022" s="1">
        <v>45076</v>
      </c>
      <c r="D1022">
        <v>39</v>
      </c>
      <c r="E1022" t="s">
        <v>6</v>
      </c>
      <c r="F1022" t="s">
        <v>7</v>
      </c>
      <c r="G1022" s="1">
        <f t="shared" si="45"/>
        <v>45076</v>
      </c>
      <c r="H1022">
        <f t="shared" si="46"/>
        <v>4</v>
      </c>
      <c r="I1022">
        <f t="shared" si="47"/>
        <v>0</v>
      </c>
      <c r="J1022">
        <f>IF(Table1[[#This Row],[Active_months]]&gt;=1, 1, 0)</f>
        <v>1</v>
      </c>
    </row>
    <row r="1023" spans="1:10" x14ac:dyDescent="0.3">
      <c r="A1023">
        <v>182958960</v>
      </c>
      <c r="B1023" s="1">
        <v>44949</v>
      </c>
      <c r="C1023" s="1">
        <v>44987</v>
      </c>
      <c r="D1023">
        <v>39</v>
      </c>
      <c r="E1023" t="s">
        <v>6</v>
      </c>
      <c r="F1023" t="s">
        <v>7</v>
      </c>
      <c r="G1023" s="1">
        <f t="shared" si="45"/>
        <v>44987</v>
      </c>
      <c r="H1023">
        <f t="shared" si="46"/>
        <v>2</v>
      </c>
      <c r="I1023">
        <f t="shared" si="47"/>
        <v>0</v>
      </c>
      <c r="J1023">
        <f>IF(Table1[[#This Row],[Active_months]]&gt;=1, 1, 0)</f>
        <v>1</v>
      </c>
    </row>
    <row r="1024" spans="1:10" x14ac:dyDescent="0.3">
      <c r="A1024">
        <v>191999674</v>
      </c>
      <c r="B1024" s="1">
        <v>44949</v>
      </c>
      <c r="C1024" s="1">
        <v>44970</v>
      </c>
      <c r="D1024">
        <v>39</v>
      </c>
      <c r="E1024" t="s">
        <v>6</v>
      </c>
      <c r="F1024" t="s">
        <v>7</v>
      </c>
      <c r="G1024" s="1">
        <f t="shared" si="45"/>
        <v>44970</v>
      </c>
      <c r="H1024">
        <f t="shared" si="46"/>
        <v>1</v>
      </c>
      <c r="I1024">
        <f t="shared" si="47"/>
        <v>0</v>
      </c>
      <c r="J1024">
        <f>IF(Table1[[#This Row],[Active_months]]&gt;=1, 1, 0)</f>
        <v>1</v>
      </c>
    </row>
    <row r="1025" spans="1:10" x14ac:dyDescent="0.3">
      <c r="A1025">
        <v>183451114</v>
      </c>
      <c r="B1025" s="1">
        <v>44949</v>
      </c>
      <c r="C1025" s="1">
        <v>45168</v>
      </c>
      <c r="D1025">
        <v>39</v>
      </c>
      <c r="E1025" t="s">
        <v>6</v>
      </c>
      <c r="F1025" t="s">
        <v>7</v>
      </c>
      <c r="G1025" s="1">
        <f t="shared" si="45"/>
        <v>45168</v>
      </c>
      <c r="H1025">
        <f t="shared" si="46"/>
        <v>7</v>
      </c>
      <c r="I1025">
        <f t="shared" si="47"/>
        <v>1</v>
      </c>
      <c r="J1025">
        <f>IF(Table1[[#This Row],[Active_months]]&gt;=1, 1, 0)</f>
        <v>1</v>
      </c>
    </row>
    <row r="1026" spans="1:10" x14ac:dyDescent="0.3">
      <c r="A1026">
        <v>191807491</v>
      </c>
      <c r="B1026" s="1">
        <v>44950</v>
      </c>
      <c r="D1026">
        <v>39</v>
      </c>
      <c r="E1026" t="s">
        <v>6</v>
      </c>
      <c r="F1026" t="s">
        <v>7</v>
      </c>
      <c r="G1026" s="1">
        <f t="shared" si="45"/>
        <v>45199</v>
      </c>
      <c r="H1026">
        <f t="shared" si="46"/>
        <v>8</v>
      </c>
      <c r="I1026">
        <f t="shared" si="47"/>
        <v>1</v>
      </c>
      <c r="J1026">
        <f>IF(Table1[[#This Row],[Active_months]]&gt;=1, 1, 0)</f>
        <v>1</v>
      </c>
    </row>
    <row r="1027" spans="1:10" x14ac:dyDescent="0.3">
      <c r="A1027">
        <v>157833252</v>
      </c>
      <c r="B1027" s="1">
        <v>44950</v>
      </c>
      <c r="C1027" s="1">
        <v>45176</v>
      </c>
      <c r="D1027">
        <v>39</v>
      </c>
      <c r="E1027" t="s">
        <v>6</v>
      </c>
      <c r="F1027" t="s">
        <v>7</v>
      </c>
      <c r="G1027" s="1">
        <f t="shared" ref="G1027:G1090" si="48">IF(ISBLANK(C1027), DATE(2023,9,30), C1027)</f>
        <v>45176</v>
      </c>
      <c r="H1027">
        <f t="shared" ref="H1027:H1090" si="49">(YEAR(G1027)-YEAR(B1027))*12 + (MONTH(G1027)-MONTH(B1027))</f>
        <v>8</v>
      </c>
      <c r="I1027">
        <f t="shared" ref="I1027:I1090" si="50">IF(H1027 &gt;=5, 1, 0)</f>
        <v>1</v>
      </c>
      <c r="J1027">
        <f>IF(Table1[[#This Row],[Active_months]]&gt;=1, 1, 0)</f>
        <v>1</v>
      </c>
    </row>
    <row r="1028" spans="1:10" x14ac:dyDescent="0.3">
      <c r="A1028">
        <v>188162430</v>
      </c>
      <c r="B1028" s="1">
        <v>44950</v>
      </c>
      <c r="C1028" s="1">
        <v>45093</v>
      </c>
      <c r="D1028">
        <v>39</v>
      </c>
      <c r="E1028" t="s">
        <v>6</v>
      </c>
      <c r="F1028" t="s">
        <v>7</v>
      </c>
      <c r="G1028" s="1">
        <f t="shared" si="48"/>
        <v>45093</v>
      </c>
      <c r="H1028">
        <f t="shared" si="49"/>
        <v>5</v>
      </c>
      <c r="I1028">
        <f t="shared" si="50"/>
        <v>1</v>
      </c>
      <c r="J1028">
        <f>IF(Table1[[#This Row],[Active_months]]&gt;=1, 1, 0)</f>
        <v>1</v>
      </c>
    </row>
    <row r="1029" spans="1:10" x14ac:dyDescent="0.3">
      <c r="A1029">
        <v>190733249</v>
      </c>
      <c r="B1029" s="1">
        <v>44950</v>
      </c>
      <c r="C1029" s="1">
        <v>45005</v>
      </c>
      <c r="D1029">
        <v>39</v>
      </c>
      <c r="E1029" t="s">
        <v>6</v>
      </c>
      <c r="F1029" t="s">
        <v>7</v>
      </c>
      <c r="G1029" s="1">
        <f t="shared" si="48"/>
        <v>45005</v>
      </c>
      <c r="H1029">
        <f t="shared" si="49"/>
        <v>2</v>
      </c>
      <c r="I1029">
        <f t="shared" si="50"/>
        <v>0</v>
      </c>
      <c r="J1029">
        <f>IF(Table1[[#This Row],[Active_months]]&gt;=1, 1, 0)</f>
        <v>1</v>
      </c>
    </row>
    <row r="1030" spans="1:10" x14ac:dyDescent="0.3">
      <c r="A1030">
        <v>192539054</v>
      </c>
      <c r="B1030" s="1">
        <v>44950</v>
      </c>
      <c r="C1030" s="1">
        <v>44985</v>
      </c>
      <c r="D1030">
        <v>39</v>
      </c>
      <c r="E1030" t="s">
        <v>6</v>
      </c>
      <c r="F1030" t="s">
        <v>7</v>
      </c>
      <c r="G1030" s="1">
        <f t="shared" si="48"/>
        <v>44985</v>
      </c>
      <c r="H1030">
        <f t="shared" si="49"/>
        <v>1</v>
      </c>
      <c r="I1030">
        <f t="shared" si="50"/>
        <v>0</v>
      </c>
      <c r="J1030">
        <f>IF(Table1[[#This Row],[Active_months]]&gt;=1, 1, 0)</f>
        <v>1</v>
      </c>
    </row>
    <row r="1031" spans="1:10" x14ac:dyDescent="0.3">
      <c r="A1031">
        <v>193572822</v>
      </c>
      <c r="B1031" s="1">
        <v>44950</v>
      </c>
      <c r="C1031" s="1">
        <v>44977</v>
      </c>
      <c r="D1031">
        <v>39</v>
      </c>
      <c r="E1031" t="s">
        <v>6</v>
      </c>
      <c r="F1031" t="s">
        <v>7</v>
      </c>
      <c r="G1031" s="1">
        <f t="shared" si="48"/>
        <v>44977</v>
      </c>
      <c r="H1031">
        <f t="shared" si="49"/>
        <v>1</v>
      </c>
      <c r="I1031">
        <f t="shared" si="50"/>
        <v>0</v>
      </c>
      <c r="J1031">
        <f>IF(Table1[[#This Row],[Active_months]]&gt;=1, 1, 0)</f>
        <v>1</v>
      </c>
    </row>
    <row r="1032" spans="1:10" x14ac:dyDescent="0.3">
      <c r="A1032">
        <v>141399368</v>
      </c>
      <c r="B1032" s="1">
        <v>44951</v>
      </c>
      <c r="D1032">
        <v>39</v>
      </c>
      <c r="E1032" t="s">
        <v>6</v>
      </c>
      <c r="F1032" t="s">
        <v>7</v>
      </c>
      <c r="G1032" s="1">
        <f t="shared" si="48"/>
        <v>45199</v>
      </c>
      <c r="H1032">
        <f t="shared" si="49"/>
        <v>8</v>
      </c>
      <c r="I1032">
        <f t="shared" si="50"/>
        <v>1</v>
      </c>
      <c r="J1032">
        <f>IF(Table1[[#This Row],[Active_months]]&gt;=1, 1, 0)</f>
        <v>1</v>
      </c>
    </row>
    <row r="1033" spans="1:10" x14ac:dyDescent="0.3">
      <c r="A1033">
        <v>193285633</v>
      </c>
      <c r="B1033" s="1">
        <v>44951</v>
      </c>
      <c r="D1033">
        <v>39</v>
      </c>
      <c r="E1033" t="s">
        <v>6</v>
      </c>
      <c r="F1033" t="s">
        <v>7</v>
      </c>
      <c r="G1033" s="1">
        <f t="shared" si="48"/>
        <v>45199</v>
      </c>
      <c r="H1033">
        <f t="shared" si="49"/>
        <v>8</v>
      </c>
      <c r="I1033">
        <f t="shared" si="50"/>
        <v>1</v>
      </c>
      <c r="J1033">
        <f>IF(Table1[[#This Row],[Active_months]]&gt;=1, 1, 0)</f>
        <v>1</v>
      </c>
    </row>
    <row r="1034" spans="1:10" x14ac:dyDescent="0.3">
      <c r="A1034">
        <v>193891378</v>
      </c>
      <c r="B1034" s="1">
        <v>44951</v>
      </c>
      <c r="D1034">
        <v>39</v>
      </c>
      <c r="E1034" t="s">
        <v>6</v>
      </c>
      <c r="F1034" t="s">
        <v>7</v>
      </c>
      <c r="G1034" s="1">
        <f t="shared" si="48"/>
        <v>45199</v>
      </c>
      <c r="H1034">
        <f t="shared" si="49"/>
        <v>8</v>
      </c>
      <c r="I1034">
        <f t="shared" si="50"/>
        <v>1</v>
      </c>
      <c r="J1034">
        <f>IF(Table1[[#This Row],[Active_months]]&gt;=1, 1, 0)</f>
        <v>1</v>
      </c>
    </row>
    <row r="1035" spans="1:10" x14ac:dyDescent="0.3">
      <c r="A1035">
        <v>153628260</v>
      </c>
      <c r="B1035" s="1">
        <v>44951</v>
      </c>
      <c r="C1035" s="1">
        <v>44952</v>
      </c>
      <c r="D1035">
        <v>39</v>
      </c>
      <c r="E1035" t="s">
        <v>6</v>
      </c>
      <c r="F1035" t="s">
        <v>7</v>
      </c>
      <c r="G1035" s="1">
        <f t="shared" si="48"/>
        <v>44952</v>
      </c>
      <c r="H1035">
        <f t="shared" si="49"/>
        <v>0</v>
      </c>
      <c r="I1035">
        <f t="shared" si="50"/>
        <v>0</v>
      </c>
      <c r="J1035">
        <f>IF(Table1[[#This Row],[Active_months]]&gt;=1, 1, 0)</f>
        <v>0</v>
      </c>
    </row>
    <row r="1036" spans="1:10" x14ac:dyDescent="0.3">
      <c r="A1036">
        <v>194719566</v>
      </c>
      <c r="B1036" s="1">
        <v>44951</v>
      </c>
      <c r="C1036" s="1">
        <v>44951</v>
      </c>
      <c r="D1036">
        <v>39</v>
      </c>
      <c r="E1036" t="s">
        <v>6</v>
      </c>
      <c r="F1036" t="s">
        <v>8</v>
      </c>
      <c r="G1036" s="1">
        <f t="shared" si="48"/>
        <v>44951</v>
      </c>
      <c r="H1036">
        <f t="shared" si="49"/>
        <v>0</v>
      </c>
      <c r="I1036">
        <f t="shared" si="50"/>
        <v>0</v>
      </c>
      <c r="J1036">
        <f>IF(Table1[[#This Row],[Active_months]]&gt;=1, 1, 0)</f>
        <v>0</v>
      </c>
    </row>
    <row r="1037" spans="1:10" x14ac:dyDescent="0.3">
      <c r="A1037">
        <v>176559401</v>
      </c>
      <c r="B1037" s="1">
        <v>44951</v>
      </c>
      <c r="C1037" s="1">
        <v>44951</v>
      </c>
      <c r="D1037">
        <v>39</v>
      </c>
      <c r="E1037" t="s">
        <v>6</v>
      </c>
      <c r="F1037" t="s">
        <v>8</v>
      </c>
      <c r="G1037" s="1">
        <f t="shared" si="48"/>
        <v>44951</v>
      </c>
      <c r="H1037">
        <f t="shared" si="49"/>
        <v>0</v>
      </c>
      <c r="I1037">
        <f t="shared" si="50"/>
        <v>0</v>
      </c>
      <c r="J1037">
        <f>IF(Table1[[#This Row],[Active_months]]&gt;=1, 1, 0)</f>
        <v>0</v>
      </c>
    </row>
    <row r="1038" spans="1:10" x14ac:dyDescent="0.3">
      <c r="A1038">
        <v>150178354</v>
      </c>
      <c r="B1038" s="1">
        <v>44951</v>
      </c>
      <c r="C1038" s="1">
        <v>45071</v>
      </c>
      <c r="D1038">
        <v>39</v>
      </c>
      <c r="E1038" t="s">
        <v>6</v>
      </c>
      <c r="F1038" t="s">
        <v>7</v>
      </c>
      <c r="G1038" s="1">
        <f t="shared" si="48"/>
        <v>45071</v>
      </c>
      <c r="H1038">
        <f t="shared" si="49"/>
        <v>4</v>
      </c>
      <c r="I1038">
        <f t="shared" si="50"/>
        <v>0</v>
      </c>
      <c r="J1038">
        <f>IF(Table1[[#This Row],[Active_months]]&gt;=1, 1, 0)</f>
        <v>1</v>
      </c>
    </row>
    <row r="1039" spans="1:10" x14ac:dyDescent="0.3">
      <c r="A1039">
        <v>192395073</v>
      </c>
      <c r="B1039" s="1">
        <v>44951</v>
      </c>
      <c r="C1039" s="1">
        <v>45022</v>
      </c>
      <c r="D1039">
        <v>39</v>
      </c>
      <c r="E1039" t="s">
        <v>6</v>
      </c>
      <c r="F1039" t="s">
        <v>7</v>
      </c>
      <c r="G1039" s="1">
        <f t="shared" si="48"/>
        <v>45022</v>
      </c>
      <c r="H1039">
        <f t="shared" si="49"/>
        <v>3</v>
      </c>
      <c r="I1039">
        <f t="shared" si="50"/>
        <v>0</v>
      </c>
      <c r="J1039">
        <f>IF(Table1[[#This Row],[Active_months]]&gt;=1, 1, 0)</f>
        <v>1</v>
      </c>
    </row>
    <row r="1040" spans="1:10" x14ac:dyDescent="0.3">
      <c r="A1040">
        <v>152690237</v>
      </c>
      <c r="B1040" s="1">
        <v>44951</v>
      </c>
      <c r="C1040" s="1">
        <v>45007</v>
      </c>
      <c r="D1040">
        <v>39</v>
      </c>
      <c r="E1040" t="s">
        <v>6</v>
      </c>
      <c r="F1040" t="s">
        <v>7</v>
      </c>
      <c r="G1040" s="1">
        <f t="shared" si="48"/>
        <v>45007</v>
      </c>
      <c r="H1040">
        <f t="shared" si="49"/>
        <v>2</v>
      </c>
      <c r="I1040">
        <f t="shared" si="50"/>
        <v>0</v>
      </c>
      <c r="J1040">
        <f>IF(Table1[[#This Row],[Active_months]]&gt;=1, 1, 0)</f>
        <v>1</v>
      </c>
    </row>
    <row r="1041" spans="1:10" x14ac:dyDescent="0.3">
      <c r="A1041">
        <v>151572886</v>
      </c>
      <c r="B1041" s="1">
        <v>44951</v>
      </c>
      <c r="C1041" s="1">
        <v>44997</v>
      </c>
      <c r="D1041">
        <v>39</v>
      </c>
      <c r="E1041" t="s">
        <v>6</v>
      </c>
      <c r="F1041" t="s">
        <v>7</v>
      </c>
      <c r="G1041" s="1">
        <f t="shared" si="48"/>
        <v>44997</v>
      </c>
      <c r="H1041">
        <f t="shared" si="49"/>
        <v>2</v>
      </c>
      <c r="I1041">
        <f t="shared" si="50"/>
        <v>0</v>
      </c>
      <c r="J1041">
        <f>IF(Table1[[#This Row],[Active_months]]&gt;=1, 1, 0)</f>
        <v>1</v>
      </c>
    </row>
    <row r="1042" spans="1:10" x14ac:dyDescent="0.3">
      <c r="A1042">
        <v>193869975</v>
      </c>
      <c r="B1042" s="1">
        <v>44951</v>
      </c>
      <c r="C1042" s="1">
        <v>45000</v>
      </c>
      <c r="D1042">
        <v>39</v>
      </c>
      <c r="E1042" t="s">
        <v>6</v>
      </c>
      <c r="F1042" t="s">
        <v>7</v>
      </c>
      <c r="G1042" s="1">
        <f t="shared" si="48"/>
        <v>45000</v>
      </c>
      <c r="H1042">
        <f t="shared" si="49"/>
        <v>2</v>
      </c>
      <c r="I1042">
        <f t="shared" si="50"/>
        <v>0</v>
      </c>
      <c r="J1042">
        <f>IF(Table1[[#This Row],[Active_months]]&gt;=1, 1, 0)</f>
        <v>1</v>
      </c>
    </row>
    <row r="1043" spans="1:10" x14ac:dyDescent="0.3">
      <c r="A1043">
        <v>175077871</v>
      </c>
      <c r="B1043" s="1">
        <v>44951</v>
      </c>
      <c r="C1043" s="1">
        <v>45000</v>
      </c>
      <c r="D1043">
        <v>39</v>
      </c>
      <c r="E1043" t="s">
        <v>6</v>
      </c>
      <c r="F1043" t="s">
        <v>7</v>
      </c>
      <c r="G1043" s="1">
        <f t="shared" si="48"/>
        <v>45000</v>
      </c>
      <c r="H1043">
        <f t="shared" si="49"/>
        <v>2</v>
      </c>
      <c r="I1043">
        <f t="shared" si="50"/>
        <v>0</v>
      </c>
      <c r="J1043">
        <f>IF(Table1[[#This Row],[Active_months]]&gt;=1, 1, 0)</f>
        <v>1</v>
      </c>
    </row>
    <row r="1044" spans="1:10" x14ac:dyDescent="0.3">
      <c r="A1044">
        <v>193229869</v>
      </c>
      <c r="B1044" s="1">
        <v>44951</v>
      </c>
      <c r="C1044" s="1">
        <v>44986</v>
      </c>
      <c r="D1044">
        <v>39</v>
      </c>
      <c r="E1044" t="s">
        <v>6</v>
      </c>
      <c r="F1044" t="s">
        <v>7</v>
      </c>
      <c r="G1044" s="1">
        <f t="shared" si="48"/>
        <v>44986</v>
      </c>
      <c r="H1044">
        <f t="shared" si="49"/>
        <v>2</v>
      </c>
      <c r="I1044">
        <f t="shared" si="50"/>
        <v>0</v>
      </c>
      <c r="J1044">
        <f>IF(Table1[[#This Row],[Active_months]]&gt;=1, 1, 0)</f>
        <v>1</v>
      </c>
    </row>
    <row r="1045" spans="1:10" x14ac:dyDescent="0.3">
      <c r="A1045">
        <v>189257579</v>
      </c>
      <c r="B1045" s="1">
        <v>44952</v>
      </c>
      <c r="D1045">
        <v>39</v>
      </c>
      <c r="E1045" t="s">
        <v>6</v>
      </c>
      <c r="F1045" t="s">
        <v>7</v>
      </c>
      <c r="G1045" s="1">
        <f t="shared" si="48"/>
        <v>45199</v>
      </c>
      <c r="H1045">
        <f t="shared" si="49"/>
        <v>8</v>
      </c>
      <c r="I1045">
        <f t="shared" si="50"/>
        <v>1</v>
      </c>
      <c r="J1045">
        <f>IF(Table1[[#This Row],[Active_months]]&gt;=1, 1, 0)</f>
        <v>1</v>
      </c>
    </row>
    <row r="1046" spans="1:10" x14ac:dyDescent="0.3">
      <c r="A1046">
        <v>184333409</v>
      </c>
      <c r="B1046" s="1">
        <v>44952</v>
      </c>
      <c r="D1046">
        <v>39</v>
      </c>
      <c r="E1046" t="s">
        <v>6</v>
      </c>
      <c r="F1046" t="s">
        <v>7</v>
      </c>
      <c r="G1046" s="1">
        <f t="shared" si="48"/>
        <v>45199</v>
      </c>
      <c r="H1046">
        <f t="shared" si="49"/>
        <v>8</v>
      </c>
      <c r="I1046">
        <f t="shared" si="50"/>
        <v>1</v>
      </c>
      <c r="J1046">
        <f>IF(Table1[[#This Row],[Active_months]]&gt;=1, 1, 0)</f>
        <v>1</v>
      </c>
    </row>
    <row r="1047" spans="1:10" x14ac:dyDescent="0.3">
      <c r="A1047">
        <v>144719454</v>
      </c>
      <c r="B1047" s="1">
        <v>44952</v>
      </c>
      <c r="D1047">
        <v>39</v>
      </c>
      <c r="E1047" t="s">
        <v>6</v>
      </c>
      <c r="F1047" t="s">
        <v>7</v>
      </c>
      <c r="G1047" s="1">
        <f t="shared" si="48"/>
        <v>45199</v>
      </c>
      <c r="H1047">
        <f t="shared" si="49"/>
        <v>8</v>
      </c>
      <c r="I1047">
        <f t="shared" si="50"/>
        <v>1</v>
      </c>
      <c r="J1047">
        <f>IF(Table1[[#This Row],[Active_months]]&gt;=1, 1, 0)</f>
        <v>1</v>
      </c>
    </row>
    <row r="1048" spans="1:10" x14ac:dyDescent="0.3">
      <c r="A1048">
        <v>195759475</v>
      </c>
      <c r="B1048" s="1">
        <v>44952</v>
      </c>
      <c r="D1048">
        <v>39</v>
      </c>
      <c r="E1048" t="s">
        <v>6</v>
      </c>
      <c r="F1048" t="s">
        <v>7</v>
      </c>
      <c r="G1048" s="1">
        <f t="shared" si="48"/>
        <v>45199</v>
      </c>
      <c r="H1048">
        <f t="shared" si="49"/>
        <v>8</v>
      </c>
      <c r="I1048">
        <f t="shared" si="50"/>
        <v>1</v>
      </c>
      <c r="J1048">
        <f>IF(Table1[[#This Row],[Active_months]]&gt;=1, 1, 0)</f>
        <v>1</v>
      </c>
    </row>
    <row r="1049" spans="1:10" x14ac:dyDescent="0.3">
      <c r="A1049">
        <v>167602454</v>
      </c>
      <c r="B1049" s="1">
        <v>44952</v>
      </c>
      <c r="D1049">
        <v>39</v>
      </c>
      <c r="E1049" t="s">
        <v>6</v>
      </c>
      <c r="F1049" t="s">
        <v>7</v>
      </c>
      <c r="G1049" s="1">
        <f t="shared" si="48"/>
        <v>45199</v>
      </c>
      <c r="H1049">
        <f t="shared" si="49"/>
        <v>8</v>
      </c>
      <c r="I1049">
        <f t="shared" si="50"/>
        <v>1</v>
      </c>
      <c r="J1049">
        <f>IF(Table1[[#This Row],[Active_months]]&gt;=1, 1, 0)</f>
        <v>1</v>
      </c>
    </row>
    <row r="1050" spans="1:10" x14ac:dyDescent="0.3">
      <c r="A1050">
        <v>148838269</v>
      </c>
      <c r="B1050" s="1">
        <v>44952</v>
      </c>
      <c r="D1050">
        <v>39</v>
      </c>
      <c r="E1050" t="s">
        <v>6</v>
      </c>
      <c r="F1050" t="s">
        <v>7</v>
      </c>
      <c r="G1050" s="1">
        <f t="shared" si="48"/>
        <v>45199</v>
      </c>
      <c r="H1050">
        <f t="shared" si="49"/>
        <v>8</v>
      </c>
      <c r="I1050">
        <f t="shared" si="50"/>
        <v>1</v>
      </c>
      <c r="J1050">
        <f>IF(Table1[[#This Row],[Active_months]]&gt;=1, 1, 0)</f>
        <v>1</v>
      </c>
    </row>
    <row r="1051" spans="1:10" x14ac:dyDescent="0.3">
      <c r="A1051">
        <v>195938394</v>
      </c>
      <c r="B1051" s="1">
        <v>44952</v>
      </c>
      <c r="C1051" s="1">
        <v>45100</v>
      </c>
      <c r="D1051">
        <v>39</v>
      </c>
      <c r="E1051" t="s">
        <v>6</v>
      </c>
      <c r="F1051" t="s">
        <v>7</v>
      </c>
      <c r="G1051" s="1">
        <f t="shared" si="48"/>
        <v>45100</v>
      </c>
      <c r="H1051">
        <f t="shared" si="49"/>
        <v>5</v>
      </c>
      <c r="I1051">
        <f t="shared" si="50"/>
        <v>1</v>
      </c>
      <c r="J1051">
        <f>IF(Table1[[#This Row],[Active_months]]&gt;=1, 1, 0)</f>
        <v>1</v>
      </c>
    </row>
    <row r="1052" spans="1:10" x14ac:dyDescent="0.3">
      <c r="A1052">
        <v>194091086</v>
      </c>
      <c r="B1052" s="1">
        <v>44952</v>
      </c>
      <c r="C1052" s="1">
        <v>45020</v>
      </c>
      <c r="D1052">
        <v>39</v>
      </c>
      <c r="E1052" t="s">
        <v>6</v>
      </c>
      <c r="F1052" t="s">
        <v>7</v>
      </c>
      <c r="G1052" s="1">
        <f t="shared" si="48"/>
        <v>45020</v>
      </c>
      <c r="H1052">
        <f t="shared" si="49"/>
        <v>3</v>
      </c>
      <c r="I1052">
        <f t="shared" si="50"/>
        <v>0</v>
      </c>
      <c r="J1052">
        <f>IF(Table1[[#This Row],[Active_months]]&gt;=1, 1, 0)</f>
        <v>1</v>
      </c>
    </row>
    <row r="1053" spans="1:10" x14ac:dyDescent="0.3">
      <c r="A1053">
        <v>181456580</v>
      </c>
      <c r="B1053" s="1">
        <v>44952</v>
      </c>
      <c r="C1053" s="1">
        <v>45039</v>
      </c>
      <c r="D1053">
        <v>39</v>
      </c>
      <c r="E1053" t="s">
        <v>6</v>
      </c>
      <c r="F1053" t="s">
        <v>7</v>
      </c>
      <c r="G1053" s="1">
        <f t="shared" si="48"/>
        <v>45039</v>
      </c>
      <c r="H1053">
        <f t="shared" si="49"/>
        <v>3</v>
      </c>
      <c r="I1053">
        <f t="shared" si="50"/>
        <v>0</v>
      </c>
      <c r="J1053">
        <f>IF(Table1[[#This Row],[Active_months]]&gt;=1, 1, 0)</f>
        <v>1</v>
      </c>
    </row>
    <row r="1054" spans="1:10" x14ac:dyDescent="0.3">
      <c r="A1054">
        <v>169302100</v>
      </c>
      <c r="B1054" s="1">
        <v>44952</v>
      </c>
      <c r="C1054" s="1">
        <v>45015</v>
      </c>
      <c r="D1054">
        <v>39</v>
      </c>
      <c r="E1054" t="s">
        <v>6</v>
      </c>
      <c r="F1054" t="s">
        <v>7</v>
      </c>
      <c r="G1054" s="1">
        <f t="shared" si="48"/>
        <v>45015</v>
      </c>
      <c r="H1054">
        <f t="shared" si="49"/>
        <v>2</v>
      </c>
      <c r="I1054">
        <f t="shared" si="50"/>
        <v>0</v>
      </c>
      <c r="J1054">
        <f>IF(Table1[[#This Row],[Active_months]]&gt;=1, 1, 0)</f>
        <v>1</v>
      </c>
    </row>
    <row r="1055" spans="1:10" x14ac:dyDescent="0.3">
      <c r="A1055">
        <v>180997025</v>
      </c>
      <c r="B1055" s="1">
        <v>44952</v>
      </c>
      <c r="C1055" s="1">
        <v>44990</v>
      </c>
      <c r="D1055">
        <v>39</v>
      </c>
      <c r="E1055" t="s">
        <v>6</v>
      </c>
      <c r="F1055" t="s">
        <v>7</v>
      </c>
      <c r="G1055" s="1">
        <f t="shared" si="48"/>
        <v>44990</v>
      </c>
      <c r="H1055">
        <f t="shared" si="49"/>
        <v>2</v>
      </c>
      <c r="I1055">
        <f t="shared" si="50"/>
        <v>0</v>
      </c>
      <c r="J1055">
        <f>IF(Table1[[#This Row],[Active_months]]&gt;=1, 1, 0)</f>
        <v>1</v>
      </c>
    </row>
    <row r="1056" spans="1:10" x14ac:dyDescent="0.3">
      <c r="A1056">
        <v>196091620</v>
      </c>
      <c r="B1056" s="1">
        <v>44952</v>
      </c>
      <c r="C1056" s="1">
        <v>44959</v>
      </c>
      <c r="D1056">
        <v>39</v>
      </c>
      <c r="E1056" t="s">
        <v>6</v>
      </c>
      <c r="F1056" t="s">
        <v>7</v>
      </c>
      <c r="G1056" s="1">
        <f t="shared" si="48"/>
        <v>44959</v>
      </c>
      <c r="H1056">
        <f t="shared" si="49"/>
        <v>1</v>
      </c>
      <c r="I1056">
        <f t="shared" si="50"/>
        <v>0</v>
      </c>
      <c r="J1056">
        <f>IF(Table1[[#This Row],[Active_months]]&gt;=1, 1, 0)</f>
        <v>1</v>
      </c>
    </row>
    <row r="1057" spans="1:10" x14ac:dyDescent="0.3">
      <c r="A1057">
        <v>189277140</v>
      </c>
      <c r="B1057" s="1">
        <v>44952</v>
      </c>
      <c r="C1057" s="1">
        <v>44980</v>
      </c>
      <c r="D1057">
        <v>39</v>
      </c>
      <c r="E1057" t="s">
        <v>6</v>
      </c>
      <c r="F1057" t="s">
        <v>7</v>
      </c>
      <c r="G1057" s="1">
        <f t="shared" si="48"/>
        <v>44980</v>
      </c>
      <c r="H1057">
        <f t="shared" si="49"/>
        <v>1</v>
      </c>
      <c r="I1057">
        <f t="shared" si="50"/>
        <v>0</v>
      </c>
      <c r="J1057">
        <f>IF(Table1[[#This Row],[Active_months]]&gt;=1, 1, 0)</f>
        <v>1</v>
      </c>
    </row>
    <row r="1058" spans="1:10" x14ac:dyDescent="0.3">
      <c r="A1058">
        <v>195279352</v>
      </c>
      <c r="B1058" s="1">
        <v>44952</v>
      </c>
      <c r="C1058" s="1">
        <v>44980</v>
      </c>
      <c r="D1058">
        <v>39</v>
      </c>
      <c r="E1058" t="s">
        <v>6</v>
      </c>
      <c r="F1058" t="s">
        <v>7</v>
      </c>
      <c r="G1058" s="1">
        <f t="shared" si="48"/>
        <v>44980</v>
      </c>
      <c r="H1058">
        <f t="shared" si="49"/>
        <v>1</v>
      </c>
      <c r="I1058">
        <f t="shared" si="50"/>
        <v>0</v>
      </c>
      <c r="J1058">
        <f>IF(Table1[[#This Row],[Active_months]]&gt;=1, 1, 0)</f>
        <v>1</v>
      </c>
    </row>
    <row r="1059" spans="1:10" x14ac:dyDescent="0.3">
      <c r="A1059">
        <v>191113428</v>
      </c>
      <c r="B1059" s="1">
        <v>44952</v>
      </c>
      <c r="C1059" s="1">
        <v>44952</v>
      </c>
      <c r="D1059">
        <v>39</v>
      </c>
      <c r="E1059" t="s">
        <v>6</v>
      </c>
      <c r="F1059" t="s">
        <v>7</v>
      </c>
      <c r="G1059" s="1">
        <f t="shared" si="48"/>
        <v>44952</v>
      </c>
      <c r="H1059">
        <f t="shared" si="49"/>
        <v>0</v>
      </c>
      <c r="I1059">
        <f t="shared" si="50"/>
        <v>0</v>
      </c>
      <c r="J1059">
        <f>IF(Table1[[#This Row],[Active_months]]&gt;=1, 1, 0)</f>
        <v>0</v>
      </c>
    </row>
    <row r="1060" spans="1:10" x14ac:dyDescent="0.3">
      <c r="A1060">
        <v>193802414</v>
      </c>
      <c r="B1060" s="1">
        <v>44952</v>
      </c>
      <c r="C1060" s="1">
        <v>45104</v>
      </c>
      <c r="D1060">
        <v>39</v>
      </c>
      <c r="E1060" t="s">
        <v>6</v>
      </c>
      <c r="F1060" t="s">
        <v>7</v>
      </c>
      <c r="G1060" s="1">
        <f t="shared" si="48"/>
        <v>45104</v>
      </c>
      <c r="H1060">
        <f t="shared" si="49"/>
        <v>5</v>
      </c>
      <c r="I1060">
        <f t="shared" si="50"/>
        <v>1</v>
      </c>
      <c r="J1060">
        <f>IF(Table1[[#This Row],[Active_months]]&gt;=1, 1, 0)</f>
        <v>1</v>
      </c>
    </row>
    <row r="1061" spans="1:10" x14ac:dyDescent="0.3">
      <c r="A1061">
        <v>115735280</v>
      </c>
      <c r="B1061" s="1">
        <v>44953</v>
      </c>
      <c r="D1061">
        <v>39</v>
      </c>
      <c r="E1061" t="s">
        <v>6</v>
      </c>
      <c r="F1061" t="s">
        <v>7</v>
      </c>
      <c r="G1061" s="1">
        <f t="shared" si="48"/>
        <v>45199</v>
      </c>
      <c r="H1061">
        <f t="shared" si="49"/>
        <v>8</v>
      </c>
      <c r="I1061">
        <f t="shared" si="50"/>
        <v>1</v>
      </c>
      <c r="J1061">
        <f>IF(Table1[[#This Row],[Active_months]]&gt;=1, 1, 0)</f>
        <v>1</v>
      </c>
    </row>
    <row r="1062" spans="1:10" x14ac:dyDescent="0.3">
      <c r="A1062">
        <v>153026024</v>
      </c>
      <c r="B1062" s="1">
        <v>44953</v>
      </c>
      <c r="D1062">
        <v>39</v>
      </c>
      <c r="E1062" t="s">
        <v>6</v>
      </c>
      <c r="F1062" t="s">
        <v>7</v>
      </c>
      <c r="G1062" s="1">
        <f t="shared" si="48"/>
        <v>45199</v>
      </c>
      <c r="H1062">
        <f t="shared" si="49"/>
        <v>8</v>
      </c>
      <c r="I1062">
        <f t="shared" si="50"/>
        <v>1</v>
      </c>
      <c r="J1062">
        <f>IF(Table1[[#This Row],[Active_months]]&gt;=1, 1, 0)</f>
        <v>1</v>
      </c>
    </row>
    <row r="1063" spans="1:10" x14ac:dyDescent="0.3">
      <c r="A1063">
        <v>196069557</v>
      </c>
      <c r="B1063" s="1">
        <v>44953</v>
      </c>
      <c r="D1063">
        <v>39</v>
      </c>
      <c r="E1063" t="s">
        <v>6</v>
      </c>
      <c r="F1063" t="s">
        <v>7</v>
      </c>
      <c r="G1063" s="1">
        <f t="shared" si="48"/>
        <v>45199</v>
      </c>
      <c r="H1063">
        <f t="shared" si="49"/>
        <v>8</v>
      </c>
      <c r="I1063">
        <f t="shared" si="50"/>
        <v>1</v>
      </c>
      <c r="J1063">
        <f>IF(Table1[[#This Row],[Active_months]]&gt;=1, 1, 0)</f>
        <v>1</v>
      </c>
    </row>
    <row r="1064" spans="1:10" x14ac:dyDescent="0.3">
      <c r="A1064">
        <v>193666586</v>
      </c>
      <c r="B1064" s="1">
        <v>44953</v>
      </c>
      <c r="D1064">
        <v>39</v>
      </c>
      <c r="E1064" t="s">
        <v>6</v>
      </c>
      <c r="F1064" t="s">
        <v>7</v>
      </c>
      <c r="G1064" s="1">
        <f t="shared" si="48"/>
        <v>45199</v>
      </c>
      <c r="H1064">
        <f t="shared" si="49"/>
        <v>8</v>
      </c>
      <c r="I1064">
        <f t="shared" si="50"/>
        <v>1</v>
      </c>
      <c r="J1064">
        <f>IF(Table1[[#This Row],[Active_months]]&gt;=1, 1, 0)</f>
        <v>1</v>
      </c>
    </row>
    <row r="1065" spans="1:10" x14ac:dyDescent="0.3">
      <c r="A1065">
        <v>192550222</v>
      </c>
      <c r="B1065" s="1">
        <v>44953</v>
      </c>
      <c r="D1065">
        <v>39</v>
      </c>
      <c r="E1065" t="s">
        <v>6</v>
      </c>
      <c r="F1065" t="s">
        <v>7</v>
      </c>
      <c r="G1065" s="1">
        <f t="shared" si="48"/>
        <v>45199</v>
      </c>
      <c r="H1065">
        <f t="shared" si="49"/>
        <v>8</v>
      </c>
      <c r="I1065">
        <f t="shared" si="50"/>
        <v>1</v>
      </c>
      <c r="J1065">
        <f>IF(Table1[[#This Row],[Active_months]]&gt;=1, 1, 0)</f>
        <v>1</v>
      </c>
    </row>
    <row r="1066" spans="1:10" x14ac:dyDescent="0.3">
      <c r="A1066">
        <v>196022560</v>
      </c>
      <c r="B1066" s="1">
        <v>44953</v>
      </c>
      <c r="C1066" s="1">
        <v>45174</v>
      </c>
      <c r="D1066">
        <v>39</v>
      </c>
      <c r="E1066" t="s">
        <v>6</v>
      </c>
      <c r="F1066" t="s">
        <v>7</v>
      </c>
      <c r="G1066" s="1">
        <f t="shared" si="48"/>
        <v>45174</v>
      </c>
      <c r="H1066">
        <f t="shared" si="49"/>
        <v>8</v>
      </c>
      <c r="I1066">
        <f t="shared" si="50"/>
        <v>1</v>
      </c>
      <c r="J1066">
        <f>IF(Table1[[#This Row],[Active_months]]&gt;=1, 1, 0)</f>
        <v>1</v>
      </c>
    </row>
    <row r="1067" spans="1:10" x14ac:dyDescent="0.3">
      <c r="A1067">
        <v>196715854</v>
      </c>
      <c r="B1067" s="1">
        <v>44953</v>
      </c>
      <c r="C1067" s="1">
        <v>44954</v>
      </c>
      <c r="D1067">
        <v>39</v>
      </c>
      <c r="E1067" t="s">
        <v>6</v>
      </c>
      <c r="F1067" t="s">
        <v>8</v>
      </c>
      <c r="G1067" s="1">
        <f t="shared" si="48"/>
        <v>44954</v>
      </c>
      <c r="H1067">
        <f t="shared" si="49"/>
        <v>0</v>
      </c>
      <c r="I1067">
        <f t="shared" si="50"/>
        <v>0</v>
      </c>
      <c r="J1067">
        <f>IF(Table1[[#This Row],[Active_months]]&gt;=1, 1, 0)</f>
        <v>0</v>
      </c>
    </row>
    <row r="1068" spans="1:10" x14ac:dyDescent="0.3">
      <c r="A1068">
        <v>196969212</v>
      </c>
      <c r="B1068" s="1">
        <v>44953</v>
      </c>
      <c r="C1068" s="1">
        <v>45040</v>
      </c>
      <c r="D1068">
        <v>39</v>
      </c>
      <c r="E1068" t="s">
        <v>6</v>
      </c>
      <c r="F1068" t="s">
        <v>7</v>
      </c>
      <c r="G1068" s="1">
        <f t="shared" si="48"/>
        <v>45040</v>
      </c>
      <c r="H1068">
        <f t="shared" si="49"/>
        <v>3</v>
      </c>
      <c r="I1068">
        <f t="shared" si="50"/>
        <v>0</v>
      </c>
      <c r="J1068">
        <f>IF(Table1[[#This Row],[Active_months]]&gt;=1, 1, 0)</f>
        <v>1</v>
      </c>
    </row>
    <row r="1069" spans="1:10" x14ac:dyDescent="0.3">
      <c r="A1069">
        <v>196308725</v>
      </c>
      <c r="B1069" s="1">
        <v>44953</v>
      </c>
      <c r="C1069" s="1">
        <v>45016</v>
      </c>
      <c r="D1069">
        <v>39</v>
      </c>
      <c r="E1069" t="s">
        <v>6</v>
      </c>
      <c r="F1069" t="s">
        <v>7</v>
      </c>
      <c r="G1069" s="1">
        <f t="shared" si="48"/>
        <v>45016</v>
      </c>
      <c r="H1069">
        <f t="shared" si="49"/>
        <v>2</v>
      </c>
      <c r="I1069">
        <f t="shared" si="50"/>
        <v>0</v>
      </c>
      <c r="J1069">
        <f>IF(Table1[[#This Row],[Active_months]]&gt;=1, 1, 0)</f>
        <v>1</v>
      </c>
    </row>
    <row r="1070" spans="1:10" x14ac:dyDescent="0.3">
      <c r="A1070">
        <v>196245690</v>
      </c>
      <c r="B1070" s="1">
        <v>44953</v>
      </c>
      <c r="C1070" s="1">
        <v>45012</v>
      </c>
      <c r="D1070">
        <v>39</v>
      </c>
      <c r="E1070" t="s">
        <v>6</v>
      </c>
      <c r="F1070" t="s">
        <v>7</v>
      </c>
      <c r="G1070" s="1">
        <f t="shared" si="48"/>
        <v>45012</v>
      </c>
      <c r="H1070">
        <f t="shared" si="49"/>
        <v>2</v>
      </c>
      <c r="I1070">
        <f t="shared" si="50"/>
        <v>0</v>
      </c>
      <c r="J1070">
        <f>IF(Table1[[#This Row],[Active_months]]&gt;=1, 1, 0)</f>
        <v>1</v>
      </c>
    </row>
    <row r="1071" spans="1:10" x14ac:dyDescent="0.3">
      <c r="A1071">
        <v>195988242</v>
      </c>
      <c r="B1071" s="1">
        <v>44953</v>
      </c>
      <c r="C1071" s="1">
        <v>44991</v>
      </c>
      <c r="D1071">
        <v>39</v>
      </c>
      <c r="E1071" t="s">
        <v>6</v>
      </c>
      <c r="F1071" t="s">
        <v>7</v>
      </c>
      <c r="G1071" s="1">
        <f t="shared" si="48"/>
        <v>44991</v>
      </c>
      <c r="H1071">
        <f t="shared" si="49"/>
        <v>2</v>
      </c>
      <c r="I1071">
        <f t="shared" si="50"/>
        <v>0</v>
      </c>
      <c r="J1071">
        <f>IF(Table1[[#This Row],[Active_months]]&gt;=1, 1, 0)</f>
        <v>1</v>
      </c>
    </row>
    <row r="1072" spans="1:10" x14ac:dyDescent="0.3">
      <c r="A1072">
        <v>192068317</v>
      </c>
      <c r="B1072" s="1">
        <v>44953</v>
      </c>
      <c r="C1072" s="1">
        <v>45013</v>
      </c>
      <c r="D1072">
        <v>39</v>
      </c>
      <c r="E1072" t="s">
        <v>6</v>
      </c>
      <c r="F1072" t="s">
        <v>7</v>
      </c>
      <c r="G1072" s="1">
        <f t="shared" si="48"/>
        <v>45013</v>
      </c>
      <c r="H1072">
        <f t="shared" si="49"/>
        <v>2</v>
      </c>
      <c r="I1072">
        <f t="shared" si="50"/>
        <v>0</v>
      </c>
      <c r="J1072">
        <f>IF(Table1[[#This Row],[Active_months]]&gt;=1, 1, 0)</f>
        <v>1</v>
      </c>
    </row>
    <row r="1073" spans="1:10" x14ac:dyDescent="0.3">
      <c r="A1073">
        <v>195039185</v>
      </c>
      <c r="B1073" s="1">
        <v>44953</v>
      </c>
      <c r="C1073" s="1">
        <v>44980</v>
      </c>
      <c r="D1073">
        <v>39</v>
      </c>
      <c r="E1073" t="s">
        <v>6</v>
      </c>
      <c r="F1073" t="s">
        <v>7</v>
      </c>
      <c r="G1073" s="1">
        <f t="shared" si="48"/>
        <v>44980</v>
      </c>
      <c r="H1073">
        <f t="shared" si="49"/>
        <v>1</v>
      </c>
      <c r="I1073">
        <f t="shared" si="50"/>
        <v>0</v>
      </c>
      <c r="J1073">
        <f>IF(Table1[[#This Row],[Active_months]]&gt;=1, 1, 0)</f>
        <v>1</v>
      </c>
    </row>
    <row r="1074" spans="1:10" x14ac:dyDescent="0.3">
      <c r="A1074">
        <v>188563149</v>
      </c>
      <c r="B1074" s="1">
        <v>44953</v>
      </c>
      <c r="C1074" s="1">
        <v>45154</v>
      </c>
      <c r="D1074">
        <v>39</v>
      </c>
      <c r="E1074" t="s">
        <v>6</v>
      </c>
      <c r="F1074" t="s">
        <v>7</v>
      </c>
      <c r="G1074" s="1">
        <f t="shared" si="48"/>
        <v>45154</v>
      </c>
      <c r="H1074">
        <f t="shared" si="49"/>
        <v>7</v>
      </c>
      <c r="I1074">
        <f t="shared" si="50"/>
        <v>1</v>
      </c>
      <c r="J1074">
        <f>IF(Table1[[#This Row],[Active_months]]&gt;=1, 1, 0)</f>
        <v>1</v>
      </c>
    </row>
    <row r="1075" spans="1:10" x14ac:dyDescent="0.3">
      <c r="A1075">
        <v>188748439</v>
      </c>
      <c r="B1075" s="1">
        <v>44953</v>
      </c>
      <c r="C1075" s="1">
        <v>45157</v>
      </c>
      <c r="D1075">
        <v>39</v>
      </c>
      <c r="E1075" t="s">
        <v>6</v>
      </c>
      <c r="F1075" t="s">
        <v>7</v>
      </c>
      <c r="G1075" s="1">
        <f t="shared" si="48"/>
        <v>45157</v>
      </c>
      <c r="H1075">
        <f t="shared" si="49"/>
        <v>7</v>
      </c>
      <c r="I1075">
        <f t="shared" si="50"/>
        <v>1</v>
      </c>
      <c r="J1075">
        <f>IF(Table1[[#This Row],[Active_months]]&gt;=1, 1, 0)</f>
        <v>1</v>
      </c>
    </row>
    <row r="1076" spans="1:10" x14ac:dyDescent="0.3">
      <c r="A1076">
        <v>160873880</v>
      </c>
      <c r="B1076" s="1">
        <v>44954</v>
      </c>
      <c r="D1076">
        <v>39</v>
      </c>
      <c r="E1076" t="s">
        <v>6</v>
      </c>
      <c r="F1076" t="s">
        <v>7</v>
      </c>
      <c r="G1076" s="1">
        <f t="shared" si="48"/>
        <v>45199</v>
      </c>
      <c r="H1076">
        <f t="shared" si="49"/>
        <v>8</v>
      </c>
      <c r="I1076">
        <f t="shared" si="50"/>
        <v>1</v>
      </c>
      <c r="J1076">
        <f>IF(Table1[[#This Row],[Active_months]]&gt;=1, 1, 0)</f>
        <v>1</v>
      </c>
    </row>
    <row r="1077" spans="1:10" x14ac:dyDescent="0.3">
      <c r="A1077">
        <v>160379194</v>
      </c>
      <c r="B1077" s="1">
        <v>44954</v>
      </c>
      <c r="C1077" s="1">
        <v>44954</v>
      </c>
      <c r="D1077">
        <v>39</v>
      </c>
      <c r="E1077" t="s">
        <v>6</v>
      </c>
      <c r="F1077" t="s">
        <v>7</v>
      </c>
      <c r="G1077" s="1">
        <f t="shared" si="48"/>
        <v>44954</v>
      </c>
      <c r="H1077">
        <f t="shared" si="49"/>
        <v>0</v>
      </c>
      <c r="I1077">
        <f t="shared" si="50"/>
        <v>0</v>
      </c>
      <c r="J1077">
        <f>IF(Table1[[#This Row],[Active_months]]&gt;=1, 1, 0)</f>
        <v>0</v>
      </c>
    </row>
    <row r="1078" spans="1:10" x14ac:dyDescent="0.3">
      <c r="A1078">
        <v>194169961</v>
      </c>
      <c r="B1078" s="1">
        <v>44954</v>
      </c>
      <c r="C1078" s="1">
        <v>45009</v>
      </c>
      <c r="D1078">
        <v>39</v>
      </c>
      <c r="E1078" t="s">
        <v>6</v>
      </c>
      <c r="F1078" t="s">
        <v>7</v>
      </c>
      <c r="G1078" s="1">
        <f t="shared" si="48"/>
        <v>45009</v>
      </c>
      <c r="H1078">
        <f t="shared" si="49"/>
        <v>2</v>
      </c>
      <c r="I1078">
        <f t="shared" si="50"/>
        <v>0</v>
      </c>
      <c r="J1078">
        <f>IF(Table1[[#This Row],[Active_months]]&gt;=1, 1, 0)</f>
        <v>1</v>
      </c>
    </row>
    <row r="1079" spans="1:10" x14ac:dyDescent="0.3">
      <c r="A1079">
        <v>184209232</v>
      </c>
      <c r="B1079" s="1">
        <v>44954</v>
      </c>
      <c r="C1079" s="1">
        <v>44992</v>
      </c>
      <c r="D1079">
        <v>39</v>
      </c>
      <c r="E1079" t="s">
        <v>6</v>
      </c>
      <c r="F1079" t="s">
        <v>7</v>
      </c>
      <c r="G1079" s="1">
        <f t="shared" si="48"/>
        <v>44992</v>
      </c>
      <c r="H1079">
        <f t="shared" si="49"/>
        <v>2</v>
      </c>
      <c r="I1079">
        <f t="shared" si="50"/>
        <v>0</v>
      </c>
      <c r="J1079">
        <f>IF(Table1[[#This Row],[Active_months]]&gt;=1, 1, 0)</f>
        <v>1</v>
      </c>
    </row>
    <row r="1080" spans="1:10" x14ac:dyDescent="0.3">
      <c r="A1080">
        <v>195198228</v>
      </c>
      <c r="B1080" s="1">
        <v>44954</v>
      </c>
      <c r="C1080" s="1">
        <v>44974</v>
      </c>
      <c r="D1080">
        <v>39</v>
      </c>
      <c r="E1080" t="s">
        <v>6</v>
      </c>
      <c r="F1080" t="s">
        <v>7</v>
      </c>
      <c r="G1080" s="1">
        <f t="shared" si="48"/>
        <v>44974</v>
      </c>
      <c r="H1080">
        <f t="shared" si="49"/>
        <v>1</v>
      </c>
      <c r="I1080">
        <f t="shared" si="50"/>
        <v>0</v>
      </c>
      <c r="J1080">
        <f>IF(Table1[[#This Row],[Active_months]]&gt;=1, 1, 0)</f>
        <v>1</v>
      </c>
    </row>
    <row r="1081" spans="1:10" x14ac:dyDescent="0.3">
      <c r="A1081">
        <v>153657568</v>
      </c>
      <c r="B1081" s="1">
        <v>44955</v>
      </c>
      <c r="D1081">
        <v>39</v>
      </c>
      <c r="E1081" t="s">
        <v>6</v>
      </c>
      <c r="F1081" t="s">
        <v>7</v>
      </c>
      <c r="G1081" s="1">
        <f t="shared" si="48"/>
        <v>45199</v>
      </c>
      <c r="H1081">
        <f t="shared" si="49"/>
        <v>8</v>
      </c>
      <c r="I1081">
        <f t="shared" si="50"/>
        <v>1</v>
      </c>
      <c r="J1081">
        <f>IF(Table1[[#This Row],[Active_months]]&gt;=1, 1, 0)</f>
        <v>1</v>
      </c>
    </row>
    <row r="1082" spans="1:10" x14ac:dyDescent="0.3">
      <c r="A1082">
        <v>127697219</v>
      </c>
      <c r="B1082" s="1">
        <v>44955</v>
      </c>
      <c r="C1082" s="1">
        <v>45071</v>
      </c>
      <c r="D1082">
        <v>39</v>
      </c>
      <c r="E1082" t="s">
        <v>6</v>
      </c>
      <c r="F1082" t="s">
        <v>7</v>
      </c>
      <c r="G1082" s="1">
        <f t="shared" si="48"/>
        <v>45071</v>
      </c>
      <c r="H1082">
        <f t="shared" si="49"/>
        <v>4</v>
      </c>
      <c r="I1082">
        <f t="shared" si="50"/>
        <v>0</v>
      </c>
      <c r="J1082">
        <f>IF(Table1[[#This Row],[Active_months]]&gt;=1, 1, 0)</f>
        <v>1</v>
      </c>
    </row>
    <row r="1083" spans="1:10" x14ac:dyDescent="0.3">
      <c r="A1083">
        <v>198448283</v>
      </c>
      <c r="B1083" s="1">
        <v>44955</v>
      </c>
      <c r="C1083" s="1">
        <v>45113</v>
      </c>
      <c r="D1083">
        <v>39</v>
      </c>
      <c r="E1083" t="s">
        <v>6</v>
      </c>
      <c r="F1083" t="s">
        <v>7</v>
      </c>
      <c r="G1083" s="1">
        <f t="shared" si="48"/>
        <v>45113</v>
      </c>
      <c r="H1083">
        <f t="shared" si="49"/>
        <v>6</v>
      </c>
      <c r="I1083">
        <f t="shared" si="50"/>
        <v>1</v>
      </c>
      <c r="J1083">
        <f>IF(Table1[[#This Row],[Active_months]]&gt;=1, 1, 0)</f>
        <v>1</v>
      </c>
    </row>
    <row r="1084" spans="1:10" x14ac:dyDescent="0.3">
      <c r="A1084">
        <v>159483118</v>
      </c>
      <c r="B1084" s="1">
        <v>44955</v>
      </c>
      <c r="C1084" s="1">
        <v>44986</v>
      </c>
      <c r="D1084">
        <v>39</v>
      </c>
      <c r="E1084" t="s">
        <v>6</v>
      </c>
      <c r="F1084" t="s">
        <v>7</v>
      </c>
      <c r="G1084" s="1">
        <f t="shared" si="48"/>
        <v>44986</v>
      </c>
      <c r="H1084">
        <f t="shared" si="49"/>
        <v>2</v>
      </c>
      <c r="I1084">
        <f t="shared" si="50"/>
        <v>0</v>
      </c>
      <c r="J1084">
        <f>IF(Table1[[#This Row],[Active_months]]&gt;=1, 1, 0)</f>
        <v>1</v>
      </c>
    </row>
    <row r="1085" spans="1:10" x14ac:dyDescent="0.3">
      <c r="A1085">
        <v>152433647</v>
      </c>
      <c r="B1085" s="1">
        <v>44955</v>
      </c>
      <c r="C1085" s="1">
        <v>44998</v>
      </c>
      <c r="D1085">
        <v>39</v>
      </c>
      <c r="E1085" t="s">
        <v>6</v>
      </c>
      <c r="F1085" t="s">
        <v>7</v>
      </c>
      <c r="G1085" s="1">
        <f t="shared" si="48"/>
        <v>44998</v>
      </c>
      <c r="H1085">
        <f t="shared" si="49"/>
        <v>2</v>
      </c>
      <c r="I1085">
        <f t="shared" si="50"/>
        <v>0</v>
      </c>
      <c r="J1085">
        <f>IF(Table1[[#This Row],[Active_months]]&gt;=1, 1, 0)</f>
        <v>1</v>
      </c>
    </row>
    <row r="1086" spans="1:10" x14ac:dyDescent="0.3">
      <c r="A1086">
        <v>154790198</v>
      </c>
      <c r="B1086" s="1">
        <v>44955</v>
      </c>
      <c r="C1086" s="1">
        <v>44972</v>
      </c>
      <c r="D1086">
        <v>39</v>
      </c>
      <c r="E1086" t="s">
        <v>6</v>
      </c>
      <c r="F1086" t="s">
        <v>7</v>
      </c>
      <c r="G1086" s="1">
        <f t="shared" si="48"/>
        <v>44972</v>
      </c>
      <c r="H1086">
        <f t="shared" si="49"/>
        <v>1</v>
      </c>
      <c r="I1086">
        <f t="shared" si="50"/>
        <v>0</v>
      </c>
      <c r="J1086">
        <f>IF(Table1[[#This Row],[Active_months]]&gt;=1, 1, 0)</f>
        <v>1</v>
      </c>
    </row>
    <row r="1087" spans="1:10" x14ac:dyDescent="0.3">
      <c r="A1087">
        <v>191896242</v>
      </c>
      <c r="B1087" s="1">
        <v>44956</v>
      </c>
      <c r="D1087">
        <v>39</v>
      </c>
      <c r="E1087" t="s">
        <v>6</v>
      </c>
      <c r="F1087" t="s">
        <v>7</v>
      </c>
      <c r="G1087" s="1">
        <f t="shared" si="48"/>
        <v>45199</v>
      </c>
      <c r="H1087">
        <f t="shared" si="49"/>
        <v>8</v>
      </c>
      <c r="I1087">
        <f t="shared" si="50"/>
        <v>1</v>
      </c>
      <c r="J1087">
        <f>IF(Table1[[#This Row],[Active_months]]&gt;=1, 1, 0)</f>
        <v>1</v>
      </c>
    </row>
    <row r="1088" spans="1:10" x14ac:dyDescent="0.3">
      <c r="A1088">
        <v>136407072</v>
      </c>
      <c r="B1088" s="1">
        <v>44956</v>
      </c>
      <c r="C1088" s="1">
        <v>45138</v>
      </c>
      <c r="D1088">
        <v>39</v>
      </c>
      <c r="E1088" t="s">
        <v>6</v>
      </c>
      <c r="F1088" t="s">
        <v>7</v>
      </c>
      <c r="G1088" s="1">
        <f t="shared" si="48"/>
        <v>45138</v>
      </c>
      <c r="H1088">
        <f t="shared" si="49"/>
        <v>6</v>
      </c>
      <c r="I1088">
        <f t="shared" si="50"/>
        <v>1</v>
      </c>
      <c r="J1088">
        <f>IF(Table1[[#This Row],[Active_months]]&gt;=1, 1, 0)</f>
        <v>1</v>
      </c>
    </row>
    <row r="1089" spans="1:10" x14ac:dyDescent="0.3">
      <c r="A1089">
        <v>199439964</v>
      </c>
      <c r="B1089" s="1">
        <v>44956</v>
      </c>
      <c r="C1089" s="1">
        <v>45083</v>
      </c>
      <c r="D1089">
        <v>39</v>
      </c>
      <c r="E1089" t="s">
        <v>6</v>
      </c>
      <c r="F1089" t="s">
        <v>7</v>
      </c>
      <c r="G1089" s="1">
        <f t="shared" si="48"/>
        <v>45083</v>
      </c>
      <c r="H1089">
        <f t="shared" si="49"/>
        <v>5</v>
      </c>
      <c r="I1089">
        <f t="shared" si="50"/>
        <v>1</v>
      </c>
      <c r="J1089">
        <f>IF(Table1[[#This Row],[Active_months]]&gt;=1, 1, 0)</f>
        <v>1</v>
      </c>
    </row>
    <row r="1090" spans="1:10" x14ac:dyDescent="0.3">
      <c r="A1090">
        <v>199255574</v>
      </c>
      <c r="B1090" s="1">
        <v>44956</v>
      </c>
      <c r="C1090" s="1">
        <v>45098</v>
      </c>
      <c r="D1090">
        <v>39</v>
      </c>
      <c r="E1090" t="s">
        <v>6</v>
      </c>
      <c r="F1090" t="s">
        <v>7</v>
      </c>
      <c r="G1090" s="1">
        <f t="shared" si="48"/>
        <v>45098</v>
      </c>
      <c r="H1090">
        <f t="shared" si="49"/>
        <v>5</v>
      </c>
      <c r="I1090">
        <f t="shared" si="50"/>
        <v>1</v>
      </c>
      <c r="J1090">
        <f>IF(Table1[[#This Row],[Active_months]]&gt;=1, 1, 0)</f>
        <v>1</v>
      </c>
    </row>
    <row r="1091" spans="1:10" x14ac:dyDescent="0.3">
      <c r="A1091">
        <v>167938302</v>
      </c>
      <c r="B1091" s="1">
        <v>44956</v>
      </c>
      <c r="C1091" s="1">
        <v>45022</v>
      </c>
      <c r="D1091">
        <v>39</v>
      </c>
      <c r="E1091" t="s">
        <v>6</v>
      </c>
      <c r="F1091" t="s">
        <v>7</v>
      </c>
      <c r="G1091" s="1">
        <f t="shared" ref="G1091:G1154" si="51">IF(ISBLANK(C1091), DATE(2023,9,30), C1091)</f>
        <v>45022</v>
      </c>
      <c r="H1091">
        <f t="shared" ref="H1091:H1154" si="52">(YEAR(G1091)-YEAR(B1091))*12 + (MONTH(G1091)-MONTH(B1091))</f>
        <v>3</v>
      </c>
      <c r="I1091">
        <f t="shared" ref="I1091:I1154" si="53">IF(H1091 &gt;=5, 1, 0)</f>
        <v>0</v>
      </c>
      <c r="J1091">
        <f>IF(Table1[[#This Row],[Active_months]]&gt;=1, 1, 0)</f>
        <v>1</v>
      </c>
    </row>
    <row r="1092" spans="1:10" x14ac:dyDescent="0.3">
      <c r="A1092">
        <v>154173057</v>
      </c>
      <c r="B1092" s="1">
        <v>44956</v>
      </c>
      <c r="C1092" s="1">
        <v>44961</v>
      </c>
      <c r="D1092">
        <v>39</v>
      </c>
      <c r="E1092" t="s">
        <v>6</v>
      </c>
      <c r="F1092" t="s">
        <v>7</v>
      </c>
      <c r="G1092" s="1">
        <f t="shared" si="51"/>
        <v>44961</v>
      </c>
      <c r="H1092">
        <f t="shared" si="52"/>
        <v>1</v>
      </c>
      <c r="I1092">
        <f t="shared" si="53"/>
        <v>0</v>
      </c>
      <c r="J1092">
        <f>IF(Table1[[#This Row],[Active_months]]&gt;=1, 1, 0)</f>
        <v>1</v>
      </c>
    </row>
    <row r="1093" spans="1:10" x14ac:dyDescent="0.3">
      <c r="A1093">
        <v>153199550</v>
      </c>
      <c r="B1093" s="1">
        <v>44956</v>
      </c>
      <c r="C1093" s="1">
        <v>44959</v>
      </c>
      <c r="D1093">
        <v>39</v>
      </c>
      <c r="E1093" t="s">
        <v>6</v>
      </c>
      <c r="F1093" t="s">
        <v>7</v>
      </c>
      <c r="G1093" s="1">
        <f t="shared" si="51"/>
        <v>44959</v>
      </c>
      <c r="H1093">
        <f t="shared" si="52"/>
        <v>1</v>
      </c>
      <c r="I1093">
        <f t="shared" si="53"/>
        <v>0</v>
      </c>
      <c r="J1093">
        <f>IF(Table1[[#This Row],[Active_months]]&gt;=1, 1, 0)</f>
        <v>1</v>
      </c>
    </row>
    <row r="1094" spans="1:10" x14ac:dyDescent="0.3">
      <c r="A1094">
        <v>199302158</v>
      </c>
      <c r="B1094" s="1">
        <v>44956</v>
      </c>
      <c r="C1094" s="1">
        <v>44959</v>
      </c>
      <c r="D1094">
        <v>39</v>
      </c>
      <c r="E1094" t="s">
        <v>6</v>
      </c>
      <c r="F1094" t="s">
        <v>7</v>
      </c>
      <c r="G1094" s="1">
        <f t="shared" si="51"/>
        <v>44959</v>
      </c>
      <c r="H1094">
        <f t="shared" si="52"/>
        <v>1</v>
      </c>
      <c r="I1094">
        <f t="shared" si="53"/>
        <v>0</v>
      </c>
      <c r="J1094">
        <f>IF(Table1[[#This Row],[Active_months]]&gt;=1, 1, 0)</f>
        <v>1</v>
      </c>
    </row>
    <row r="1095" spans="1:10" x14ac:dyDescent="0.3">
      <c r="A1095">
        <v>187482966</v>
      </c>
      <c r="B1095" s="1">
        <v>44956</v>
      </c>
      <c r="C1095" s="1">
        <v>45147</v>
      </c>
      <c r="D1095">
        <v>39</v>
      </c>
      <c r="E1095" t="s">
        <v>6</v>
      </c>
      <c r="F1095" t="s">
        <v>7</v>
      </c>
      <c r="G1095" s="1">
        <f t="shared" si="51"/>
        <v>45147</v>
      </c>
      <c r="H1095">
        <f t="shared" si="52"/>
        <v>7</v>
      </c>
      <c r="I1095">
        <f t="shared" si="53"/>
        <v>1</v>
      </c>
      <c r="J1095">
        <f>IF(Table1[[#This Row],[Active_months]]&gt;=1, 1, 0)</f>
        <v>1</v>
      </c>
    </row>
    <row r="1096" spans="1:10" x14ac:dyDescent="0.3">
      <c r="A1096">
        <v>168436547</v>
      </c>
      <c r="B1096" s="1">
        <v>44956</v>
      </c>
      <c r="C1096" s="1">
        <v>45127</v>
      </c>
      <c r="D1096">
        <v>39</v>
      </c>
      <c r="E1096" t="s">
        <v>6</v>
      </c>
      <c r="F1096" t="s">
        <v>7</v>
      </c>
      <c r="G1096" s="1">
        <f t="shared" si="51"/>
        <v>45127</v>
      </c>
      <c r="H1096">
        <f t="shared" si="52"/>
        <v>6</v>
      </c>
      <c r="I1096">
        <f t="shared" si="53"/>
        <v>1</v>
      </c>
      <c r="J1096">
        <f>IF(Table1[[#This Row],[Active_months]]&gt;=1, 1, 0)</f>
        <v>1</v>
      </c>
    </row>
    <row r="1097" spans="1:10" x14ac:dyDescent="0.3">
      <c r="A1097">
        <v>195007481</v>
      </c>
      <c r="B1097" s="1">
        <v>44957</v>
      </c>
      <c r="D1097">
        <v>39</v>
      </c>
      <c r="E1097" t="s">
        <v>6</v>
      </c>
      <c r="F1097" t="s">
        <v>7</v>
      </c>
      <c r="G1097" s="1">
        <f t="shared" si="51"/>
        <v>45199</v>
      </c>
      <c r="H1097">
        <f t="shared" si="52"/>
        <v>8</v>
      </c>
      <c r="I1097">
        <f t="shared" si="53"/>
        <v>1</v>
      </c>
      <c r="J1097">
        <f>IF(Table1[[#This Row],[Active_months]]&gt;=1, 1, 0)</f>
        <v>1</v>
      </c>
    </row>
    <row r="1098" spans="1:10" x14ac:dyDescent="0.3">
      <c r="A1098">
        <v>181830574</v>
      </c>
      <c r="B1098" s="1">
        <v>44957</v>
      </c>
      <c r="D1098">
        <v>39</v>
      </c>
      <c r="E1098" t="s">
        <v>6</v>
      </c>
      <c r="F1098" t="s">
        <v>7</v>
      </c>
      <c r="G1098" s="1">
        <f t="shared" si="51"/>
        <v>45199</v>
      </c>
      <c r="H1098">
        <f t="shared" si="52"/>
        <v>8</v>
      </c>
      <c r="I1098">
        <f t="shared" si="53"/>
        <v>1</v>
      </c>
      <c r="J1098">
        <f>IF(Table1[[#This Row],[Active_months]]&gt;=1, 1, 0)</f>
        <v>1</v>
      </c>
    </row>
    <row r="1099" spans="1:10" x14ac:dyDescent="0.3">
      <c r="A1099">
        <v>198691553</v>
      </c>
      <c r="B1099" s="1">
        <v>44957</v>
      </c>
      <c r="D1099">
        <v>39</v>
      </c>
      <c r="E1099" t="s">
        <v>6</v>
      </c>
      <c r="F1099" t="s">
        <v>7</v>
      </c>
      <c r="G1099" s="1">
        <f t="shared" si="51"/>
        <v>45199</v>
      </c>
      <c r="H1099">
        <f t="shared" si="52"/>
        <v>8</v>
      </c>
      <c r="I1099">
        <f t="shared" si="53"/>
        <v>1</v>
      </c>
      <c r="J1099">
        <f>IF(Table1[[#This Row],[Active_months]]&gt;=1, 1, 0)</f>
        <v>1</v>
      </c>
    </row>
    <row r="1100" spans="1:10" x14ac:dyDescent="0.3">
      <c r="A1100">
        <v>200001674</v>
      </c>
      <c r="B1100" s="1">
        <v>44957</v>
      </c>
      <c r="C1100" s="1">
        <v>45074</v>
      </c>
      <c r="D1100">
        <v>39</v>
      </c>
      <c r="E1100" t="s">
        <v>6</v>
      </c>
      <c r="F1100" t="s">
        <v>7</v>
      </c>
      <c r="G1100" s="1">
        <f t="shared" si="51"/>
        <v>45074</v>
      </c>
      <c r="H1100">
        <f t="shared" si="52"/>
        <v>4</v>
      </c>
      <c r="I1100">
        <f t="shared" si="53"/>
        <v>0</v>
      </c>
      <c r="J1100">
        <f>IF(Table1[[#This Row],[Active_months]]&gt;=1, 1, 0)</f>
        <v>1</v>
      </c>
    </row>
    <row r="1101" spans="1:10" x14ac:dyDescent="0.3">
      <c r="A1101">
        <v>200252155</v>
      </c>
      <c r="B1101" s="1">
        <v>44957</v>
      </c>
      <c r="C1101" s="1">
        <v>45084</v>
      </c>
      <c r="D1101">
        <v>39</v>
      </c>
      <c r="E1101" t="s">
        <v>6</v>
      </c>
      <c r="F1101" t="s">
        <v>7</v>
      </c>
      <c r="G1101" s="1">
        <f t="shared" si="51"/>
        <v>45084</v>
      </c>
      <c r="H1101">
        <f t="shared" si="52"/>
        <v>5</v>
      </c>
      <c r="I1101">
        <f t="shared" si="53"/>
        <v>1</v>
      </c>
      <c r="J1101">
        <f>IF(Table1[[#This Row],[Active_months]]&gt;=1, 1, 0)</f>
        <v>1</v>
      </c>
    </row>
    <row r="1102" spans="1:10" x14ac:dyDescent="0.3">
      <c r="A1102">
        <v>188206991</v>
      </c>
      <c r="B1102" s="1">
        <v>44957</v>
      </c>
      <c r="C1102" s="1">
        <v>45033</v>
      </c>
      <c r="D1102">
        <v>39</v>
      </c>
      <c r="E1102" t="s">
        <v>6</v>
      </c>
      <c r="F1102" t="s">
        <v>7</v>
      </c>
      <c r="G1102" s="1">
        <f t="shared" si="51"/>
        <v>45033</v>
      </c>
      <c r="H1102">
        <f t="shared" si="52"/>
        <v>3</v>
      </c>
      <c r="I1102">
        <f t="shared" si="53"/>
        <v>0</v>
      </c>
      <c r="J1102">
        <f>IF(Table1[[#This Row],[Active_months]]&gt;=1, 1, 0)</f>
        <v>1</v>
      </c>
    </row>
    <row r="1103" spans="1:10" x14ac:dyDescent="0.3">
      <c r="A1103">
        <v>184330352</v>
      </c>
      <c r="B1103" s="1">
        <v>44957</v>
      </c>
      <c r="C1103" s="1">
        <v>45046</v>
      </c>
      <c r="D1103">
        <v>39</v>
      </c>
      <c r="E1103" t="s">
        <v>6</v>
      </c>
      <c r="F1103" t="s">
        <v>7</v>
      </c>
      <c r="G1103" s="1">
        <f t="shared" si="51"/>
        <v>45046</v>
      </c>
      <c r="H1103">
        <f t="shared" si="52"/>
        <v>3</v>
      </c>
      <c r="I1103">
        <f t="shared" si="53"/>
        <v>0</v>
      </c>
      <c r="J1103">
        <f>IF(Table1[[#This Row],[Active_months]]&gt;=1, 1, 0)</f>
        <v>1</v>
      </c>
    </row>
    <row r="1104" spans="1:10" x14ac:dyDescent="0.3">
      <c r="A1104">
        <v>198701510</v>
      </c>
      <c r="B1104" s="1">
        <v>44957</v>
      </c>
      <c r="C1104" s="1">
        <v>45031</v>
      </c>
      <c r="D1104">
        <v>39</v>
      </c>
      <c r="E1104" t="s">
        <v>6</v>
      </c>
      <c r="F1104" t="s">
        <v>7</v>
      </c>
      <c r="G1104" s="1">
        <f t="shared" si="51"/>
        <v>45031</v>
      </c>
      <c r="H1104">
        <f t="shared" si="52"/>
        <v>3</v>
      </c>
      <c r="I1104">
        <f t="shared" si="53"/>
        <v>0</v>
      </c>
      <c r="J1104">
        <f>IF(Table1[[#This Row],[Active_months]]&gt;=1, 1, 0)</f>
        <v>1</v>
      </c>
    </row>
    <row r="1105" spans="1:10" x14ac:dyDescent="0.3">
      <c r="A1105">
        <v>164909402</v>
      </c>
      <c r="B1105" s="1">
        <v>44957</v>
      </c>
      <c r="C1105" s="1">
        <v>44984</v>
      </c>
      <c r="D1105">
        <v>39</v>
      </c>
      <c r="E1105" t="s">
        <v>6</v>
      </c>
      <c r="F1105" t="s">
        <v>7</v>
      </c>
      <c r="G1105" s="1">
        <f t="shared" si="51"/>
        <v>44984</v>
      </c>
      <c r="H1105">
        <f t="shared" si="52"/>
        <v>1</v>
      </c>
      <c r="I1105">
        <f t="shared" si="53"/>
        <v>0</v>
      </c>
      <c r="J1105">
        <f>IF(Table1[[#This Row],[Active_months]]&gt;=1, 1, 0)</f>
        <v>1</v>
      </c>
    </row>
    <row r="1106" spans="1:10" x14ac:dyDescent="0.3">
      <c r="A1106">
        <v>126737063</v>
      </c>
      <c r="B1106" s="1">
        <v>44957</v>
      </c>
      <c r="C1106" s="1">
        <v>45156</v>
      </c>
      <c r="D1106">
        <v>39</v>
      </c>
      <c r="E1106" t="s">
        <v>6</v>
      </c>
      <c r="F1106" t="s">
        <v>7</v>
      </c>
      <c r="G1106" s="1">
        <f t="shared" si="51"/>
        <v>45156</v>
      </c>
      <c r="H1106">
        <f t="shared" si="52"/>
        <v>7</v>
      </c>
      <c r="I1106">
        <f t="shared" si="53"/>
        <v>1</v>
      </c>
      <c r="J1106">
        <f>IF(Table1[[#This Row],[Active_months]]&gt;=1, 1, 0)</f>
        <v>1</v>
      </c>
    </row>
    <row r="1107" spans="1:10" x14ac:dyDescent="0.3">
      <c r="A1107">
        <v>194472898</v>
      </c>
      <c r="B1107" s="1">
        <v>44958</v>
      </c>
      <c r="D1107">
        <v>39</v>
      </c>
      <c r="E1107" t="s">
        <v>6</v>
      </c>
      <c r="F1107" t="s">
        <v>7</v>
      </c>
      <c r="G1107" s="1">
        <f t="shared" si="51"/>
        <v>45199</v>
      </c>
      <c r="H1107">
        <f t="shared" si="52"/>
        <v>7</v>
      </c>
      <c r="I1107">
        <f t="shared" si="53"/>
        <v>1</v>
      </c>
      <c r="J1107">
        <f>IF(Table1[[#This Row],[Active_months]]&gt;=1, 1, 0)</f>
        <v>1</v>
      </c>
    </row>
    <row r="1108" spans="1:10" x14ac:dyDescent="0.3">
      <c r="A1108">
        <v>200962065</v>
      </c>
      <c r="B1108" s="1">
        <v>44958</v>
      </c>
      <c r="D1108">
        <v>39</v>
      </c>
      <c r="E1108" t="s">
        <v>6</v>
      </c>
      <c r="F1108" t="s">
        <v>7</v>
      </c>
      <c r="G1108" s="1">
        <f t="shared" si="51"/>
        <v>45199</v>
      </c>
      <c r="H1108">
        <f t="shared" si="52"/>
        <v>7</v>
      </c>
      <c r="I1108">
        <f t="shared" si="53"/>
        <v>1</v>
      </c>
      <c r="J1108">
        <f>IF(Table1[[#This Row],[Active_months]]&gt;=1, 1, 0)</f>
        <v>1</v>
      </c>
    </row>
    <row r="1109" spans="1:10" x14ac:dyDescent="0.3">
      <c r="A1109">
        <v>196821289</v>
      </c>
      <c r="B1109" s="1">
        <v>44958</v>
      </c>
      <c r="D1109">
        <v>39</v>
      </c>
      <c r="E1109" t="s">
        <v>6</v>
      </c>
      <c r="F1109" t="s">
        <v>7</v>
      </c>
      <c r="G1109" s="1">
        <f t="shared" si="51"/>
        <v>45199</v>
      </c>
      <c r="H1109">
        <f t="shared" si="52"/>
        <v>7</v>
      </c>
      <c r="I1109">
        <f t="shared" si="53"/>
        <v>1</v>
      </c>
      <c r="J1109">
        <f>IF(Table1[[#This Row],[Active_months]]&gt;=1, 1, 0)</f>
        <v>1</v>
      </c>
    </row>
    <row r="1110" spans="1:10" x14ac:dyDescent="0.3">
      <c r="A1110">
        <v>200867442</v>
      </c>
      <c r="B1110" s="1">
        <v>44958</v>
      </c>
      <c r="D1110">
        <v>39</v>
      </c>
      <c r="E1110" t="s">
        <v>6</v>
      </c>
      <c r="F1110" t="s">
        <v>7</v>
      </c>
      <c r="G1110" s="1">
        <f t="shared" si="51"/>
        <v>45199</v>
      </c>
      <c r="H1110">
        <f t="shared" si="52"/>
        <v>7</v>
      </c>
      <c r="I1110">
        <f t="shared" si="53"/>
        <v>1</v>
      </c>
      <c r="J1110">
        <f>IF(Table1[[#This Row],[Active_months]]&gt;=1, 1, 0)</f>
        <v>1</v>
      </c>
    </row>
    <row r="1111" spans="1:10" x14ac:dyDescent="0.3">
      <c r="A1111">
        <v>187855576</v>
      </c>
      <c r="B1111" s="1">
        <v>44958</v>
      </c>
      <c r="D1111">
        <v>39</v>
      </c>
      <c r="E1111" t="s">
        <v>6</v>
      </c>
      <c r="F1111" t="s">
        <v>7</v>
      </c>
      <c r="G1111" s="1">
        <f t="shared" si="51"/>
        <v>45199</v>
      </c>
      <c r="H1111">
        <f t="shared" si="52"/>
        <v>7</v>
      </c>
      <c r="I1111">
        <f t="shared" si="53"/>
        <v>1</v>
      </c>
      <c r="J1111">
        <f>IF(Table1[[#This Row],[Active_months]]&gt;=1, 1, 0)</f>
        <v>1</v>
      </c>
    </row>
    <row r="1112" spans="1:10" x14ac:dyDescent="0.3">
      <c r="A1112">
        <v>198475060</v>
      </c>
      <c r="B1112" s="1">
        <v>44958</v>
      </c>
      <c r="C1112" s="1">
        <v>44959</v>
      </c>
      <c r="D1112">
        <v>39</v>
      </c>
      <c r="E1112" t="s">
        <v>6</v>
      </c>
      <c r="F1112" t="s">
        <v>8</v>
      </c>
      <c r="G1112" s="1">
        <f t="shared" si="51"/>
        <v>44959</v>
      </c>
      <c r="H1112">
        <f t="shared" si="52"/>
        <v>0</v>
      </c>
      <c r="I1112">
        <f t="shared" si="53"/>
        <v>0</v>
      </c>
      <c r="J1112">
        <f>IF(Table1[[#This Row],[Active_months]]&gt;=1, 1, 0)</f>
        <v>0</v>
      </c>
    </row>
    <row r="1113" spans="1:10" x14ac:dyDescent="0.3">
      <c r="A1113">
        <v>137201021</v>
      </c>
      <c r="B1113" s="1">
        <v>44958</v>
      </c>
      <c r="C1113" s="1">
        <v>45106</v>
      </c>
      <c r="D1113">
        <v>39</v>
      </c>
      <c r="E1113" t="s">
        <v>6</v>
      </c>
      <c r="F1113" t="s">
        <v>7</v>
      </c>
      <c r="G1113" s="1">
        <f t="shared" si="51"/>
        <v>45106</v>
      </c>
      <c r="H1113">
        <f t="shared" si="52"/>
        <v>4</v>
      </c>
      <c r="I1113">
        <f t="shared" si="53"/>
        <v>0</v>
      </c>
      <c r="J1113">
        <f>IF(Table1[[#This Row],[Active_months]]&gt;=1, 1, 0)</f>
        <v>1</v>
      </c>
    </row>
    <row r="1114" spans="1:10" x14ac:dyDescent="0.3">
      <c r="A1114">
        <v>192942271</v>
      </c>
      <c r="B1114" s="1">
        <v>44958</v>
      </c>
      <c r="C1114" s="1">
        <v>45104</v>
      </c>
      <c r="D1114">
        <v>39</v>
      </c>
      <c r="E1114" t="s">
        <v>6</v>
      </c>
      <c r="F1114" t="s">
        <v>7</v>
      </c>
      <c r="G1114" s="1">
        <f t="shared" si="51"/>
        <v>45104</v>
      </c>
      <c r="H1114">
        <f t="shared" si="52"/>
        <v>4</v>
      </c>
      <c r="I1114">
        <f t="shared" si="53"/>
        <v>0</v>
      </c>
      <c r="J1114">
        <f>IF(Table1[[#This Row],[Active_months]]&gt;=1, 1, 0)</f>
        <v>1</v>
      </c>
    </row>
    <row r="1115" spans="1:10" x14ac:dyDescent="0.3">
      <c r="A1115">
        <v>155088727</v>
      </c>
      <c r="B1115" s="1">
        <v>44958</v>
      </c>
      <c r="C1115" s="1">
        <v>45071</v>
      </c>
      <c r="D1115">
        <v>39</v>
      </c>
      <c r="E1115" t="s">
        <v>6</v>
      </c>
      <c r="F1115" t="s">
        <v>7</v>
      </c>
      <c r="G1115" s="1">
        <f t="shared" si="51"/>
        <v>45071</v>
      </c>
      <c r="H1115">
        <f t="shared" si="52"/>
        <v>3</v>
      </c>
      <c r="I1115">
        <f t="shared" si="53"/>
        <v>0</v>
      </c>
      <c r="J1115">
        <f>IF(Table1[[#This Row],[Active_months]]&gt;=1, 1, 0)</f>
        <v>1</v>
      </c>
    </row>
    <row r="1116" spans="1:10" x14ac:dyDescent="0.3">
      <c r="A1116">
        <v>145416349</v>
      </c>
      <c r="B1116" s="1">
        <v>44958</v>
      </c>
      <c r="C1116" s="1">
        <v>45047</v>
      </c>
      <c r="D1116">
        <v>39</v>
      </c>
      <c r="E1116" t="s">
        <v>6</v>
      </c>
      <c r="F1116" t="s">
        <v>7</v>
      </c>
      <c r="G1116" s="1">
        <f t="shared" si="51"/>
        <v>45047</v>
      </c>
      <c r="H1116">
        <f t="shared" si="52"/>
        <v>3</v>
      </c>
      <c r="I1116">
        <f t="shared" si="53"/>
        <v>0</v>
      </c>
      <c r="J1116">
        <f>IF(Table1[[#This Row],[Active_months]]&gt;=1, 1, 0)</f>
        <v>1</v>
      </c>
    </row>
    <row r="1117" spans="1:10" x14ac:dyDescent="0.3">
      <c r="A1117">
        <v>154064672</v>
      </c>
      <c r="B1117" s="1">
        <v>44958</v>
      </c>
      <c r="C1117" s="1">
        <v>45041</v>
      </c>
      <c r="D1117">
        <v>39</v>
      </c>
      <c r="E1117" t="s">
        <v>6</v>
      </c>
      <c r="F1117" t="s">
        <v>7</v>
      </c>
      <c r="G1117" s="1">
        <f t="shared" si="51"/>
        <v>45041</v>
      </c>
      <c r="H1117">
        <f t="shared" si="52"/>
        <v>2</v>
      </c>
      <c r="I1117">
        <f t="shared" si="53"/>
        <v>0</v>
      </c>
      <c r="J1117">
        <f>IF(Table1[[#This Row],[Active_months]]&gt;=1, 1, 0)</f>
        <v>1</v>
      </c>
    </row>
    <row r="1118" spans="1:10" x14ac:dyDescent="0.3">
      <c r="A1118">
        <v>174670793</v>
      </c>
      <c r="B1118" s="1">
        <v>44958</v>
      </c>
      <c r="C1118" s="1">
        <v>45039</v>
      </c>
      <c r="D1118">
        <v>39</v>
      </c>
      <c r="E1118" t="s">
        <v>6</v>
      </c>
      <c r="F1118" t="s">
        <v>7</v>
      </c>
      <c r="G1118" s="1">
        <f t="shared" si="51"/>
        <v>45039</v>
      </c>
      <c r="H1118">
        <f t="shared" si="52"/>
        <v>2</v>
      </c>
      <c r="I1118">
        <f t="shared" si="53"/>
        <v>0</v>
      </c>
      <c r="J1118">
        <f>IF(Table1[[#This Row],[Active_months]]&gt;=1, 1, 0)</f>
        <v>1</v>
      </c>
    </row>
    <row r="1119" spans="1:10" x14ac:dyDescent="0.3">
      <c r="A1119">
        <v>200600365</v>
      </c>
      <c r="B1119" s="1">
        <v>44958</v>
      </c>
      <c r="C1119" s="1">
        <v>45029</v>
      </c>
      <c r="D1119">
        <v>39</v>
      </c>
      <c r="E1119" t="s">
        <v>6</v>
      </c>
      <c r="F1119" t="s">
        <v>7</v>
      </c>
      <c r="G1119" s="1">
        <f t="shared" si="51"/>
        <v>45029</v>
      </c>
      <c r="H1119">
        <f t="shared" si="52"/>
        <v>2</v>
      </c>
      <c r="I1119">
        <f t="shared" si="53"/>
        <v>0</v>
      </c>
      <c r="J1119">
        <f>IF(Table1[[#This Row],[Active_months]]&gt;=1, 1, 0)</f>
        <v>1</v>
      </c>
    </row>
    <row r="1120" spans="1:10" x14ac:dyDescent="0.3">
      <c r="A1120">
        <v>196253752</v>
      </c>
      <c r="B1120" s="1">
        <v>44958</v>
      </c>
      <c r="C1120" s="1">
        <v>44976</v>
      </c>
      <c r="D1120">
        <v>39</v>
      </c>
      <c r="E1120" t="s">
        <v>6</v>
      </c>
      <c r="F1120" t="s">
        <v>7</v>
      </c>
      <c r="G1120" s="1">
        <f t="shared" si="51"/>
        <v>44976</v>
      </c>
      <c r="H1120">
        <f t="shared" si="52"/>
        <v>0</v>
      </c>
      <c r="I1120">
        <f t="shared" si="53"/>
        <v>0</v>
      </c>
      <c r="J1120">
        <f>IF(Table1[[#This Row],[Active_months]]&gt;=1, 1, 0)</f>
        <v>0</v>
      </c>
    </row>
    <row r="1121" spans="1:10" x14ac:dyDescent="0.3">
      <c r="A1121">
        <v>148710722</v>
      </c>
      <c r="B1121" s="1">
        <v>44958</v>
      </c>
      <c r="C1121" s="1">
        <v>44960</v>
      </c>
      <c r="D1121">
        <v>39</v>
      </c>
      <c r="E1121" t="s">
        <v>6</v>
      </c>
      <c r="F1121" t="s">
        <v>7</v>
      </c>
      <c r="G1121" s="1">
        <f t="shared" si="51"/>
        <v>44960</v>
      </c>
      <c r="H1121">
        <f t="shared" si="52"/>
        <v>0</v>
      </c>
      <c r="I1121">
        <f t="shared" si="53"/>
        <v>0</v>
      </c>
      <c r="J1121">
        <f>IF(Table1[[#This Row],[Active_months]]&gt;=1, 1, 0)</f>
        <v>0</v>
      </c>
    </row>
    <row r="1122" spans="1:10" x14ac:dyDescent="0.3">
      <c r="A1122">
        <v>201015936</v>
      </c>
      <c r="B1122" s="1">
        <v>44958</v>
      </c>
      <c r="C1122" s="1">
        <v>44971</v>
      </c>
      <c r="D1122">
        <v>39</v>
      </c>
      <c r="E1122" t="s">
        <v>6</v>
      </c>
      <c r="F1122" t="s">
        <v>7</v>
      </c>
      <c r="G1122" s="1">
        <f t="shared" si="51"/>
        <v>44971</v>
      </c>
      <c r="H1122">
        <f t="shared" si="52"/>
        <v>0</v>
      </c>
      <c r="I1122">
        <f t="shared" si="53"/>
        <v>0</v>
      </c>
      <c r="J1122">
        <f>IF(Table1[[#This Row],[Active_months]]&gt;=1, 1, 0)</f>
        <v>0</v>
      </c>
    </row>
    <row r="1123" spans="1:10" x14ac:dyDescent="0.3">
      <c r="A1123">
        <v>200766423</v>
      </c>
      <c r="B1123" s="1">
        <v>44958</v>
      </c>
      <c r="C1123" s="1">
        <v>44963</v>
      </c>
      <c r="D1123">
        <v>39</v>
      </c>
      <c r="E1123" t="s">
        <v>6</v>
      </c>
      <c r="F1123" t="s">
        <v>7</v>
      </c>
      <c r="G1123" s="1">
        <f t="shared" si="51"/>
        <v>44963</v>
      </c>
      <c r="H1123">
        <f t="shared" si="52"/>
        <v>0</v>
      </c>
      <c r="I1123">
        <f t="shared" si="53"/>
        <v>0</v>
      </c>
      <c r="J1123">
        <f>IF(Table1[[#This Row],[Active_months]]&gt;=1, 1, 0)</f>
        <v>0</v>
      </c>
    </row>
    <row r="1124" spans="1:10" x14ac:dyDescent="0.3">
      <c r="A1124">
        <v>188152753</v>
      </c>
      <c r="B1124" s="1">
        <v>44958</v>
      </c>
      <c r="C1124" s="1">
        <v>44995</v>
      </c>
      <c r="D1124">
        <v>39</v>
      </c>
      <c r="E1124" t="s">
        <v>6</v>
      </c>
      <c r="F1124" t="s">
        <v>7</v>
      </c>
      <c r="G1124" s="1">
        <f t="shared" si="51"/>
        <v>44995</v>
      </c>
      <c r="H1124">
        <f t="shared" si="52"/>
        <v>1</v>
      </c>
      <c r="I1124">
        <f t="shared" si="53"/>
        <v>0</v>
      </c>
      <c r="J1124">
        <f>IF(Table1[[#This Row],[Active_months]]&gt;=1, 1, 0)</f>
        <v>1</v>
      </c>
    </row>
    <row r="1125" spans="1:10" x14ac:dyDescent="0.3">
      <c r="A1125">
        <v>194406214</v>
      </c>
      <c r="B1125" s="1">
        <v>44958</v>
      </c>
      <c r="C1125" s="1">
        <v>45149</v>
      </c>
      <c r="D1125">
        <v>39</v>
      </c>
      <c r="E1125" t="s">
        <v>6</v>
      </c>
      <c r="F1125" t="s">
        <v>7</v>
      </c>
      <c r="G1125" s="1">
        <f t="shared" si="51"/>
        <v>45149</v>
      </c>
      <c r="H1125">
        <f t="shared" si="52"/>
        <v>6</v>
      </c>
      <c r="I1125">
        <f t="shared" si="53"/>
        <v>1</v>
      </c>
      <c r="J1125">
        <f>IF(Table1[[#This Row],[Active_months]]&gt;=1, 1, 0)</f>
        <v>1</v>
      </c>
    </row>
    <row r="1126" spans="1:10" x14ac:dyDescent="0.3">
      <c r="A1126">
        <v>199388324</v>
      </c>
      <c r="B1126" s="1">
        <v>44959</v>
      </c>
      <c r="D1126">
        <v>39</v>
      </c>
      <c r="E1126" t="s">
        <v>6</v>
      </c>
      <c r="F1126" t="s">
        <v>7</v>
      </c>
      <c r="G1126" s="1">
        <f t="shared" si="51"/>
        <v>45199</v>
      </c>
      <c r="H1126">
        <f t="shared" si="52"/>
        <v>7</v>
      </c>
      <c r="I1126">
        <f t="shared" si="53"/>
        <v>1</v>
      </c>
      <c r="J1126">
        <f>IF(Table1[[#This Row],[Active_months]]&gt;=1, 1, 0)</f>
        <v>1</v>
      </c>
    </row>
    <row r="1127" spans="1:10" x14ac:dyDescent="0.3">
      <c r="A1127">
        <v>202030516</v>
      </c>
      <c r="B1127" s="1">
        <v>44959</v>
      </c>
      <c r="D1127">
        <v>39</v>
      </c>
      <c r="E1127" t="s">
        <v>6</v>
      </c>
      <c r="F1127" t="s">
        <v>7</v>
      </c>
      <c r="G1127" s="1">
        <f t="shared" si="51"/>
        <v>45199</v>
      </c>
      <c r="H1127">
        <f t="shared" si="52"/>
        <v>7</v>
      </c>
      <c r="I1127">
        <f t="shared" si="53"/>
        <v>1</v>
      </c>
      <c r="J1127">
        <f>IF(Table1[[#This Row],[Active_months]]&gt;=1, 1, 0)</f>
        <v>1</v>
      </c>
    </row>
    <row r="1128" spans="1:10" x14ac:dyDescent="0.3">
      <c r="A1128">
        <v>196926212</v>
      </c>
      <c r="B1128" s="1">
        <v>44959</v>
      </c>
      <c r="D1128">
        <v>39</v>
      </c>
      <c r="E1128" t="s">
        <v>6</v>
      </c>
      <c r="F1128" t="s">
        <v>7</v>
      </c>
      <c r="G1128" s="1">
        <f t="shared" si="51"/>
        <v>45199</v>
      </c>
      <c r="H1128">
        <f t="shared" si="52"/>
        <v>7</v>
      </c>
      <c r="I1128">
        <f t="shared" si="53"/>
        <v>1</v>
      </c>
      <c r="J1128">
        <f>IF(Table1[[#This Row],[Active_months]]&gt;=1, 1, 0)</f>
        <v>1</v>
      </c>
    </row>
    <row r="1129" spans="1:10" x14ac:dyDescent="0.3">
      <c r="A1129">
        <v>199374328</v>
      </c>
      <c r="B1129" s="1">
        <v>44959</v>
      </c>
      <c r="C1129" s="1">
        <v>45113</v>
      </c>
      <c r="D1129">
        <v>39</v>
      </c>
      <c r="E1129" t="s">
        <v>6</v>
      </c>
      <c r="F1129" t="s">
        <v>7</v>
      </c>
      <c r="G1129" s="1">
        <f t="shared" si="51"/>
        <v>45113</v>
      </c>
      <c r="H1129">
        <f t="shared" si="52"/>
        <v>5</v>
      </c>
      <c r="I1129">
        <f t="shared" si="53"/>
        <v>1</v>
      </c>
      <c r="J1129">
        <f>IF(Table1[[#This Row],[Active_months]]&gt;=1, 1, 0)</f>
        <v>1</v>
      </c>
    </row>
    <row r="1130" spans="1:10" x14ac:dyDescent="0.3">
      <c r="A1130">
        <v>201313318</v>
      </c>
      <c r="B1130" s="1">
        <v>44959</v>
      </c>
      <c r="C1130" s="1">
        <v>45076</v>
      </c>
      <c r="D1130">
        <v>39</v>
      </c>
      <c r="E1130" t="s">
        <v>6</v>
      </c>
      <c r="F1130" t="s">
        <v>7</v>
      </c>
      <c r="G1130" s="1">
        <f t="shared" si="51"/>
        <v>45076</v>
      </c>
      <c r="H1130">
        <f t="shared" si="52"/>
        <v>3</v>
      </c>
      <c r="I1130">
        <f t="shared" si="53"/>
        <v>0</v>
      </c>
      <c r="J1130">
        <f>IF(Table1[[#This Row],[Active_months]]&gt;=1, 1, 0)</f>
        <v>1</v>
      </c>
    </row>
    <row r="1131" spans="1:10" x14ac:dyDescent="0.3">
      <c r="A1131">
        <v>200960179</v>
      </c>
      <c r="B1131" s="1">
        <v>44959</v>
      </c>
      <c r="C1131" s="1">
        <v>45077</v>
      </c>
      <c r="D1131">
        <v>39</v>
      </c>
      <c r="E1131" t="s">
        <v>6</v>
      </c>
      <c r="F1131" t="s">
        <v>7</v>
      </c>
      <c r="G1131" s="1">
        <f t="shared" si="51"/>
        <v>45077</v>
      </c>
      <c r="H1131">
        <f t="shared" si="52"/>
        <v>3</v>
      </c>
      <c r="I1131">
        <f t="shared" si="53"/>
        <v>0</v>
      </c>
      <c r="J1131">
        <f>IF(Table1[[#This Row],[Active_months]]&gt;=1, 1, 0)</f>
        <v>1</v>
      </c>
    </row>
    <row r="1132" spans="1:10" x14ac:dyDescent="0.3">
      <c r="A1132">
        <v>180890046</v>
      </c>
      <c r="B1132" s="1">
        <v>44959</v>
      </c>
      <c r="C1132" s="1">
        <v>45073</v>
      </c>
      <c r="D1132">
        <v>39</v>
      </c>
      <c r="E1132" t="s">
        <v>6</v>
      </c>
      <c r="F1132" t="s">
        <v>7</v>
      </c>
      <c r="G1132" s="1">
        <f t="shared" si="51"/>
        <v>45073</v>
      </c>
      <c r="H1132">
        <f t="shared" si="52"/>
        <v>3</v>
      </c>
      <c r="I1132">
        <f t="shared" si="53"/>
        <v>0</v>
      </c>
      <c r="J1132">
        <f>IF(Table1[[#This Row],[Active_months]]&gt;=1, 1, 0)</f>
        <v>1</v>
      </c>
    </row>
    <row r="1133" spans="1:10" x14ac:dyDescent="0.3">
      <c r="A1133">
        <v>159227956</v>
      </c>
      <c r="B1133" s="1">
        <v>44959</v>
      </c>
      <c r="C1133" s="1">
        <v>45055</v>
      </c>
      <c r="D1133">
        <v>39</v>
      </c>
      <c r="E1133" t="s">
        <v>6</v>
      </c>
      <c r="F1133" t="s">
        <v>7</v>
      </c>
      <c r="G1133" s="1">
        <f t="shared" si="51"/>
        <v>45055</v>
      </c>
      <c r="H1133">
        <f t="shared" si="52"/>
        <v>3</v>
      </c>
      <c r="I1133">
        <f t="shared" si="53"/>
        <v>0</v>
      </c>
      <c r="J1133">
        <f>IF(Table1[[#This Row],[Active_months]]&gt;=1, 1, 0)</f>
        <v>1</v>
      </c>
    </row>
    <row r="1134" spans="1:10" x14ac:dyDescent="0.3">
      <c r="A1134">
        <v>182325407</v>
      </c>
      <c r="B1134" s="1">
        <v>44959</v>
      </c>
      <c r="C1134" s="1">
        <v>45019</v>
      </c>
      <c r="D1134">
        <v>39</v>
      </c>
      <c r="E1134" t="s">
        <v>6</v>
      </c>
      <c r="F1134" t="s">
        <v>7</v>
      </c>
      <c r="G1134" s="1">
        <f t="shared" si="51"/>
        <v>45019</v>
      </c>
      <c r="H1134">
        <f t="shared" si="52"/>
        <v>2</v>
      </c>
      <c r="I1134">
        <f t="shared" si="53"/>
        <v>0</v>
      </c>
      <c r="J1134">
        <f>IF(Table1[[#This Row],[Active_months]]&gt;=1, 1, 0)</f>
        <v>1</v>
      </c>
    </row>
    <row r="1135" spans="1:10" x14ac:dyDescent="0.3">
      <c r="A1135">
        <v>194828965</v>
      </c>
      <c r="B1135" s="1">
        <v>44959</v>
      </c>
      <c r="C1135" s="1">
        <v>45018</v>
      </c>
      <c r="D1135">
        <v>39</v>
      </c>
      <c r="E1135" t="s">
        <v>6</v>
      </c>
      <c r="F1135" t="s">
        <v>7</v>
      </c>
      <c r="G1135" s="1">
        <f t="shared" si="51"/>
        <v>45018</v>
      </c>
      <c r="H1135">
        <f t="shared" si="52"/>
        <v>2</v>
      </c>
      <c r="I1135">
        <f t="shared" si="53"/>
        <v>0</v>
      </c>
      <c r="J1135">
        <f>IF(Table1[[#This Row],[Active_months]]&gt;=1, 1, 0)</f>
        <v>1</v>
      </c>
    </row>
    <row r="1136" spans="1:10" x14ac:dyDescent="0.3">
      <c r="A1136">
        <v>202139613</v>
      </c>
      <c r="B1136" s="1">
        <v>44959</v>
      </c>
      <c r="C1136" s="1">
        <v>44991</v>
      </c>
      <c r="D1136">
        <v>39</v>
      </c>
      <c r="E1136" t="s">
        <v>6</v>
      </c>
      <c r="F1136" t="s">
        <v>7</v>
      </c>
      <c r="G1136" s="1">
        <f t="shared" si="51"/>
        <v>44991</v>
      </c>
      <c r="H1136">
        <f t="shared" si="52"/>
        <v>1</v>
      </c>
      <c r="I1136">
        <f t="shared" si="53"/>
        <v>0</v>
      </c>
      <c r="J1136">
        <f>IF(Table1[[#This Row],[Active_months]]&gt;=1, 1, 0)</f>
        <v>1</v>
      </c>
    </row>
    <row r="1137" spans="1:10" x14ac:dyDescent="0.3">
      <c r="A1137">
        <v>202137510</v>
      </c>
      <c r="B1137" s="1">
        <v>44959</v>
      </c>
      <c r="C1137" s="1">
        <v>44995</v>
      </c>
      <c r="D1137">
        <v>39</v>
      </c>
      <c r="E1137" t="s">
        <v>6</v>
      </c>
      <c r="F1137" t="s">
        <v>7</v>
      </c>
      <c r="G1137" s="1">
        <f t="shared" si="51"/>
        <v>44995</v>
      </c>
      <c r="H1137">
        <f t="shared" si="52"/>
        <v>1</v>
      </c>
      <c r="I1137">
        <f t="shared" si="53"/>
        <v>0</v>
      </c>
      <c r="J1137">
        <f>IF(Table1[[#This Row],[Active_months]]&gt;=1, 1, 0)</f>
        <v>1</v>
      </c>
    </row>
    <row r="1138" spans="1:10" x14ac:dyDescent="0.3">
      <c r="A1138">
        <v>201182176</v>
      </c>
      <c r="B1138" s="1">
        <v>44959</v>
      </c>
      <c r="C1138" s="1">
        <v>44987</v>
      </c>
      <c r="D1138">
        <v>39</v>
      </c>
      <c r="E1138" t="s">
        <v>6</v>
      </c>
      <c r="F1138" t="s">
        <v>7</v>
      </c>
      <c r="G1138" s="1">
        <f t="shared" si="51"/>
        <v>44987</v>
      </c>
      <c r="H1138">
        <f t="shared" si="52"/>
        <v>1</v>
      </c>
      <c r="I1138">
        <f t="shared" si="53"/>
        <v>0</v>
      </c>
      <c r="J1138">
        <f>IF(Table1[[#This Row],[Active_months]]&gt;=1, 1, 0)</f>
        <v>1</v>
      </c>
    </row>
    <row r="1139" spans="1:10" x14ac:dyDescent="0.3">
      <c r="A1139">
        <v>202010803</v>
      </c>
      <c r="B1139" s="1">
        <v>44959</v>
      </c>
      <c r="C1139" s="1">
        <v>44986</v>
      </c>
      <c r="D1139">
        <v>39</v>
      </c>
      <c r="E1139" t="s">
        <v>6</v>
      </c>
      <c r="F1139" t="s">
        <v>7</v>
      </c>
      <c r="G1139" s="1">
        <f t="shared" si="51"/>
        <v>44986</v>
      </c>
      <c r="H1139">
        <f t="shared" si="52"/>
        <v>1</v>
      </c>
      <c r="I1139">
        <f t="shared" si="53"/>
        <v>0</v>
      </c>
      <c r="J1139">
        <f>IF(Table1[[#This Row],[Active_months]]&gt;=1, 1, 0)</f>
        <v>1</v>
      </c>
    </row>
    <row r="1140" spans="1:10" x14ac:dyDescent="0.3">
      <c r="A1140">
        <v>131734107</v>
      </c>
      <c r="B1140" s="1">
        <v>44960</v>
      </c>
      <c r="C1140" s="1">
        <v>45172</v>
      </c>
      <c r="D1140">
        <v>39</v>
      </c>
      <c r="E1140" t="s">
        <v>6</v>
      </c>
      <c r="F1140" t="s">
        <v>7</v>
      </c>
      <c r="G1140" s="1">
        <f t="shared" si="51"/>
        <v>45172</v>
      </c>
      <c r="H1140">
        <f t="shared" si="52"/>
        <v>7</v>
      </c>
      <c r="I1140">
        <f t="shared" si="53"/>
        <v>1</v>
      </c>
      <c r="J1140">
        <f>IF(Table1[[#This Row],[Active_months]]&gt;=1, 1, 0)</f>
        <v>1</v>
      </c>
    </row>
    <row r="1141" spans="1:10" x14ac:dyDescent="0.3">
      <c r="A1141">
        <v>202277130</v>
      </c>
      <c r="B1141" s="1">
        <v>44960</v>
      </c>
      <c r="C1141" s="1">
        <v>45017</v>
      </c>
      <c r="D1141">
        <v>39</v>
      </c>
      <c r="E1141" t="s">
        <v>6</v>
      </c>
      <c r="F1141" t="s">
        <v>7</v>
      </c>
      <c r="G1141" s="1">
        <f t="shared" si="51"/>
        <v>45017</v>
      </c>
      <c r="H1141">
        <f t="shared" si="52"/>
        <v>2</v>
      </c>
      <c r="I1141">
        <f t="shared" si="53"/>
        <v>0</v>
      </c>
      <c r="J1141">
        <f>IF(Table1[[#This Row],[Active_months]]&gt;=1, 1, 0)</f>
        <v>1</v>
      </c>
    </row>
    <row r="1142" spans="1:10" x14ac:dyDescent="0.3">
      <c r="A1142">
        <v>137196428</v>
      </c>
      <c r="B1142" s="1">
        <v>44960</v>
      </c>
      <c r="C1142" s="1">
        <v>44994</v>
      </c>
      <c r="D1142">
        <v>39</v>
      </c>
      <c r="E1142" t="s">
        <v>6</v>
      </c>
      <c r="F1142" t="s">
        <v>7</v>
      </c>
      <c r="G1142" s="1">
        <f t="shared" si="51"/>
        <v>44994</v>
      </c>
      <c r="H1142">
        <f t="shared" si="52"/>
        <v>1</v>
      </c>
      <c r="I1142">
        <f t="shared" si="53"/>
        <v>0</v>
      </c>
      <c r="J1142">
        <f>IF(Table1[[#This Row],[Active_months]]&gt;=1, 1, 0)</f>
        <v>1</v>
      </c>
    </row>
    <row r="1143" spans="1:10" x14ac:dyDescent="0.3">
      <c r="A1143">
        <v>153568282</v>
      </c>
      <c r="B1143" s="1">
        <v>44960</v>
      </c>
      <c r="C1143" s="1">
        <v>44973</v>
      </c>
      <c r="D1143">
        <v>39</v>
      </c>
      <c r="E1143" t="s">
        <v>6</v>
      </c>
      <c r="F1143" t="s">
        <v>7</v>
      </c>
      <c r="G1143" s="1">
        <f t="shared" si="51"/>
        <v>44973</v>
      </c>
      <c r="H1143">
        <f t="shared" si="52"/>
        <v>0</v>
      </c>
      <c r="I1143">
        <f t="shared" si="53"/>
        <v>0</v>
      </c>
      <c r="J1143">
        <f>IF(Table1[[#This Row],[Active_months]]&gt;=1, 1, 0)</f>
        <v>0</v>
      </c>
    </row>
    <row r="1144" spans="1:10" x14ac:dyDescent="0.3">
      <c r="A1144">
        <v>199895190</v>
      </c>
      <c r="B1144" s="1">
        <v>44960</v>
      </c>
      <c r="C1144" s="1">
        <v>44998</v>
      </c>
      <c r="D1144">
        <v>39</v>
      </c>
      <c r="E1144" t="s">
        <v>6</v>
      </c>
      <c r="F1144" t="s">
        <v>7</v>
      </c>
      <c r="G1144" s="1">
        <f t="shared" si="51"/>
        <v>44998</v>
      </c>
      <c r="H1144">
        <f t="shared" si="52"/>
        <v>1</v>
      </c>
      <c r="I1144">
        <f t="shared" si="53"/>
        <v>0</v>
      </c>
      <c r="J1144">
        <f>IF(Table1[[#This Row],[Active_months]]&gt;=1, 1, 0)</f>
        <v>1</v>
      </c>
    </row>
    <row r="1145" spans="1:10" x14ac:dyDescent="0.3">
      <c r="A1145">
        <v>200894076</v>
      </c>
      <c r="B1145" s="1">
        <v>44960</v>
      </c>
      <c r="C1145" s="1">
        <v>45015</v>
      </c>
      <c r="D1145">
        <v>39</v>
      </c>
      <c r="E1145" t="s">
        <v>6</v>
      </c>
      <c r="F1145" t="s">
        <v>7</v>
      </c>
      <c r="G1145" s="1">
        <f t="shared" si="51"/>
        <v>45015</v>
      </c>
      <c r="H1145">
        <f t="shared" si="52"/>
        <v>1</v>
      </c>
      <c r="I1145">
        <f t="shared" si="53"/>
        <v>0</v>
      </c>
      <c r="J1145">
        <f>IF(Table1[[#This Row],[Active_months]]&gt;=1, 1, 0)</f>
        <v>1</v>
      </c>
    </row>
    <row r="1146" spans="1:10" x14ac:dyDescent="0.3">
      <c r="A1146">
        <v>201162862</v>
      </c>
      <c r="B1146" s="1">
        <v>44960</v>
      </c>
      <c r="C1146" s="1">
        <v>44995</v>
      </c>
      <c r="D1146">
        <v>39</v>
      </c>
      <c r="E1146" t="s">
        <v>6</v>
      </c>
      <c r="F1146" t="s">
        <v>7</v>
      </c>
      <c r="G1146" s="1">
        <f t="shared" si="51"/>
        <v>44995</v>
      </c>
      <c r="H1146">
        <f t="shared" si="52"/>
        <v>1</v>
      </c>
      <c r="I1146">
        <f t="shared" si="53"/>
        <v>0</v>
      </c>
      <c r="J1146">
        <f>IF(Table1[[#This Row],[Active_months]]&gt;=1, 1, 0)</f>
        <v>1</v>
      </c>
    </row>
    <row r="1147" spans="1:10" x14ac:dyDescent="0.3">
      <c r="A1147">
        <v>198748705</v>
      </c>
      <c r="B1147" s="1">
        <v>44960</v>
      </c>
      <c r="C1147" s="1">
        <v>45011</v>
      </c>
      <c r="D1147">
        <v>39</v>
      </c>
      <c r="E1147" t="s">
        <v>6</v>
      </c>
      <c r="F1147" t="s">
        <v>7</v>
      </c>
      <c r="G1147" s="1">
        <f t="shared" si="51"/>
        <v>45011</v>
      </c>
      <c r="H1147">
        <f t="shared" si="52"/>
        <v>1</v>
      </c>
      <c r="I1147">
        <f t="shared" si="53"/>
        <v>0</v>
      </c>
      <c r="J1147">
        <f>IF(Table1[[#This Row],[Active_months]]&gt;=1, 1, 0)</f>
        <v>1</v>
      </c>
    </row>
    <row r="1148" spans="1:10" x14ac:dyDescent="0.3">
      <c r="A1148">
        <v>202308735</v>
      </c>
      <c r="B1148" s="1">
        <v>44960</v>
      </c>
      <c r="C1148" s="1">
        <v>45159</v>
      </c>
      <c r="D1148">
        <v>39</v>
      </c>
      <c r="E1148" t="s">
        <v>6</v>
      </c>
      <c r="F1148" t="s">
        <v>7</v>
      </c>
      <c r="G1148" s="1">
        <f t="shared" si="51"/>
        <v>45159</v>
      </c>
      <c r="H1148">
        <f t="shared" si="52"/>
        <v>6</v>
      </c>
      <c r="I1148">
        <f t="shared" si="53"/>
        <v>1</v>
      </c>
      <c r="J1148">
        <f>IF(Table1[[#This Row],[Active_months]]&gt;=1, 1, 0)</f>
        <v>1</v>
      </c>
    </row>
    <row r="1149" spans="1:10" x14ac:dyDescent="0.3">
      <c r="A1149">
        <v>202276540</v>
      </c>
      <c r="B1149" s="1">
        <v>44960</v>
      </c>
      <c r="C1149" s="1">
        <v>45110</v>
      </c>
      <c r="D1149">
        <v>39</v>
      </c>
      <c r="E1149" t="s">
        <v>6</v>
      </c>
      <c r="F1149" t="s">
        <v>7</v>
      </c>
      <c r="G1149" s="1">
        <f t="shared" si="51"/>
        <v>45110</v>
      </c>
      <c r="H1149">
        <f t="shared" si="52"/>
        <v>5</v>
      </c>
      <c r="I1149">
        <f t="shared" si="53"/>
        <v>1</v>
      </c>
      <c r="J1149">
        <f>IF(Table1[[#This Row],[Active_months]]&gt;=1, 1, 0)</f>
        <v>1</v>
      </c>
    </row>
    <row r="1150" spans="1:10" x14ac:dyDescent="0.3">
      <c r="A1150">
        <v>202401357</v>
      </c>
      <c r="B1150" s="1">
        <v>44961</v>
      </c>
      <c r="D1150">
        <v>39</v>
      </c>
      <c r="E1150" t="s">
        <v>6</v>
      </c>
      <c r="F1150" t="s">
        <v>7</v>
      </c>
      <c r="G1150" s="1">
        <f t="shared" si="51"/>
        <v>45199</v>
      </c>
      <c r="H1150">
        <f t="shared" si="52"/>
        <v>7</v>
      </c>
      <c r="I1150">
        <f t="shared" si="53"/>
        <v>1</v>
      </c>
      <c r="J1150">
        <f>IF(Table1[[#This Row],[Active_months]]&gt;=1, 1, 0)</f>
        <v>1</v>
      </c>
    </row>
    <row r="1151" spans="1:10" x14ac:dyDescent="0.3">
      <c r="A1151">
        <v>184539258</v>
      </c>
      <c r="B1151" s="1">
        <v>44961</v>
      </c>
      <c r="C1151" s="1">
        <v>45048</v>
      </c>
      <c r="D1151">
        <v>39</v>
      </c>
      <c r="E1151" t="s">
        <v>6</v>
      </c>
      <c r="F1151" t="s">
        <v>7</v>
      </c>
      <c r="G1151" s="1">
        <f t="shared" si="51"/>
        <v>45048</v>
      </c>
      <c r="H1151">
        <f t="shared" si="52"/>
        <v>3</v>
      </c>
      <c r="I1151">
        <f t="shared" si="53"/>
        <v>0</v>
      </c>
      <c r="J1151">
        <f>IF(Table1[[#This Row],[Active_months]]&gt;=1, 1, 0)</f>
        <v>1</v>
      </c>
    </row>
    <row r="1152" spans="1:10" x14ac:dyDescent="0.3">
      <c r="A1152">
        <v>202349754</v>
      </c>
      <c r="B1152" s="1">
        <v>44961</v>
      </c>
      <c r="C1152" s="1">
        <v>45054</v>
      </c>
      <c r="D1152">
        <v>39</v>
      </c>
      <c r="E1152" t="s">
        <v>6</v>
      </c>
      <c r="F1152" t="s">
        <v>7</v>
      </c>
      <c r="G1152" s="1">
        <f t="shared" si="51"/>
        <v>45054</v>
      </c>
      <c r="H1152">
        <f t="shared" si="52"/>
        <v>3</v>
      </c>
      <c r="I1152">
        <f t="shared" si="53"/>
        <v>0</v>
      </c>
      <c r="J1152">
        <f>IF(Table1[[#This Row],[Active_months]]&gt;=1, 1, 0)</f>
        <v>1</v>
      </c>
    </row>
    <row r="1153" spans="1:10" x14ac:dyDescent="0.3">
      <c r="A1153">
        <v>202410436</v>
      </c>
      <c r="B1153" s="1">
        <v>44961</v>
      </c>
      <c r="C1153" s="1">
        <v>44982</v>
      </c>
      <c r="D1153">
        <v>39</v>
      </c>
      <c r="E1153" t="s">
        <v>6</v>
      </c>
      <c r="F1153" t="s">
        <v>7</v>
      </c>
      <c r="G1153" s="1">
        <f t="shared" si="51"/>
        <v>44982</v>
      </c>
      <c r="H1153">
        <f t="shared" si="52"/>
        <v>0</v>
      </c>
      <c r="I1153">
        <f t="shared" si="53"/>
        <v>0</v>
      </c>
      <c r="J1153">
        <f>IF(Table1[[#This Row],[Active_months]]&gt;=1, 1, 0)</f>
        <v>0</v>
      </c>
    </row>
    <row r="1154" spans="1:10" x14ac:dyDescent="0.3">
      <c r="A1154">
        <v>197151544</v>
      </c>
      <c r="B1154" s="1">
        <v>44961</v>
      </c>
      <c r="C1154" s="1">
        <v>45006</v>
      </c>
      <c r="D1154">
        <v>39</v>
      </c>
      <c r="E1154" t="s">
        <v>6</v>
      </c>
      <c r="F1154" t="s">
        <v>7</v>
      </c>
      <c r="G1154" s="1">
        <f t="shared" si="51"/>
        <v>45006</v>
      </c>
      <c r="H1154">
        <f t="shared" si="52"/>
        <v>1</v>
      </c>
      <c r="I1154">
        <f t="shared" si="53"/>
        <v>0</v>
      </c>
      <c r="J1154">
        <f>IF(Table1[[#This Row],[Active_months]]&gt;=1, 1, 0)</f>
        <v>1</v>
      </c>
    </row>
    <row r="1155" spans="1:10" x14ac:dyDescent="0.3">
      <c r="A1155">
        <v>202305934</v>
      </c>
      <c r="B1155" s="1">
        <v>44961</v>
      </c>
      <c r="C1155" s="1">
        <v>45004</v>
      </c>
      <c r="D1155">
        <v>39</v>
      </c>
      <c r="E1155" t="s">
        <v>6</v>
      </c>
      <c r="F1155" t="s">
        <v>7</v>
      </c>
      <c r="G1155" s="1">
        <f t="shared" ref="G1155:G1218" si="54">IF(ISBLANK(C1155), DATE(2023,9,30), C1155)</f>
        <v>45004</v>
      </c>
      <c r="H1155">
        <f t="shared" ref="H1155:H1218" si="55">(YEAR(G1155)-YEAR(B1155))*12 + (MONTH(G1155)-MONTH(B1155))</f>
        <v>1</v>
      </c>
      <c r="I1155">
        <f t="shared" ref="I1155:I1218" si="56">IF(H1155 &gt;=5, 1, 0)</f>
        <v>0</v>
      </c>
      <c r="J1155">
        <f>IF(Table1[[#This Row],[Active_months]]&gt;=1, 1, 0)</f>
        <v>1</v>
      </c>
    </row>
    <row r="1156" spans="1:10" x14ac:dyDescent="0.3">
      <c r="A1156">
        <v>202304812</v>
      </c>
      <c r="B1156" s="1">
        <v>44962</v>
      </c>
      <c r="D1156">
        <v>39</v>
      </c>
      <c r="E1156" t="s">
        <v>6</v>
      </c>
      <c r="F1156" t="s">
        <v>7</v>
      </c>
      <c r="G1156" s="1">
        <f t="shared" si="54"/>
        <v>45199</v>
      </c>
      <c r="H1156">
        <f t="shared" si="55"/>
        <v>7</v>
      </c>
      <c r="I1156">
        <f t="shared" si="56"/>
        <v>1</v>
      </c>
      <c r="J1156">
        <f>IF(Table1[[#This Row],[Active_months]]&gt;=1, 1, 0)</f>
        <v>1</v>
      </c>
    </row>
    <row r="1157" spans="1:10" x14ac:dyDescent="0.3">
      <c r="A1157">
        <v>160030890</v>
      </c>
      <c r="B1157" s="1">
        <v>44962</v>
      </c>
      <c r="D1157">
        <v>39</v>
      </c>
      <c r="E1157" t="s">
        <v>6</v>
      </c>
      <c r="F1157" t="s">
        <v>7</v>
      </c>
      <c r="G1157" s="1">
        <f t="shared" si="54"/>
        <v>45199</v>
      </c>
      <c r="H1157">
        <f t="shared" si="55"/>
        <v>7</v>
      </c>
      <c r="I1157">
        <f t="shared" si="56"/>
        <v>1</v>
      </c>
      <c r="J1157">
        <f>IF(Table1[[#This Row],[Active_months]]&gt;=1, 1, 0)</f>
        <v>1</v>
      </c>
    </row>
    <row r="1158" spans="1:10" x14ac:dyDescent="0.3">
      <c r="A1158">
        <v>202524608</v>
      </c>
      <c r="B1158" s="1">
        <v>44962</v>
      </c>
      <c r="D1158">
        <v>39</v>
      </c>
      <c r="E1158" t="s">
        <v>6</v>
      </c>
      <c r="F1158" t="s">
        <v>7</v>
      </c>
      <c r="G1158" s="1">
        <f t="shared" si="54"/>
        <v>45199</v>
      </c>
      <c r="H1158">
        <f t="shared" si="55"/>
        <v>7</v>
      </c>
      <c r="I1158">
        <f t="shared" si="56"/>
        <v>1</v>
      </c>
      <c r="J1158">
        <f>IF(Table1[[#This Row],[Active_months]]&gt;=1, 1, 0)</f>
        <v>1</v>
      </c>
    </row>
    <row r="1159" spans="1:10" x14ac:dyDescent="0.3">
      <c r="A1159">
        <v>198447368</v>
      </c>
      <c r="B1159" s="1">
        <v>44962</v>
      </c>
      <c r="D1159">
        <v>39</v>
      </c>
      <c r="E1159" t="s">
        <v>6</v>
      </c>
      <c r="F1159" t="s">
        <v>7</v>
      </c>
      <c r="G1159" s="1">
        <f t="shared" si="54"/>
        <v>45199</v>
      </c>
      <c r="H1159">
        <f t="shared" si="55"/>
        <v>7</v>
      </c>
      <c r="I1159">
        <f t="shared" si="56"/>
        <v>1</v>
      </c>
      <c r="J1159">
        <f>IF(Table1[[#This Row],[Active_months]]&gt;=1, 1, 0)</f>
        <v>1</v>
      </c>
    </row>
    <row r="1160" spans="1:10" x14ac:dyDescent="0.3">
      <c r="A1160">
        <v>202458624</v>
      </c>
      <c r="B1160" s="1">
        <v>44962</v>
      </c>
      <c r="D1160">
        <v>39</v>
      </c>
      <c r="E1160" t="s">
        <v>6</v>
      </c>
      <c r="F1160" t="s">
        <v>7</v>
      </c>
      <c r="G1160" s="1">
        <f t="shared" si="54"/>
        <v>45199</v>
      </c>
      <c r="H1160">
        <f t="shared" si="55"/>
        <v>7</v>
      </c>
      <c r="I1160">
        <f t="shared" si="56"/>
        <v>1</v>
      </c>
      <c r="J1160">
        <f>IF(Table1[[#This Row],[Active_months]]&gt;=1, 1, 0)</f>
        <v>1</v>
      </c>
    </row>
    <row r="1161" spans="1:10" x14ac:dyDescent="0.3">
      <c r="A1161">
        <v>132256211</v>
      </c>
      <c r="B1161" s="1">
        <v>44962</v>
      </c>
      <c r="C1161" s="1">
        <v>44997</v>
      </c>
      <c r="D1161">
        <v>39</v>
      </c>
      <c r="E1161" t="s">
        <v>6</v>
      </c>
      <c r="F1161" t="s">
        <v>7</v>
      </c>
      <c r="G1161" s="1">
        <f t="shared" si="54"/>
        <v>44997</v>
      </c>
      <c r="H1161">
        <f t="shared" si="55"/>
        <v>1</v>
      </c>
      <c r="I1161">
        <f t="shared" si="56"/>
        <v>0</v>
      </c>
      <c r="J1161">
        <f>IF(Table1[[#This Row],[Active_months]]&gt;=1, 1, 0)</f>
        <v>1</v>
      </c>
    </row>
    <row r="1162" spans="1:10" x14ac:dyDescent="0.3">
      <c r="A1162">
        <v>202504135</v>
      </c>
      <c r="B1162" s="1">
        <v>44962</v>
      </c>
      <c r="C1162" s="1">
        <v>45089</v>
      </c>
      <c r="D1162">
        <v>39</v>
      </c>
      <c r="E1162" t="s">
        <v>6</v>
      </c>
      <c r="F1162" t="s">
        <v>7</v>
      </c>
      <c r="G1162" s="1">
        <f t="shared" si="54"/>
        <v>45089</v>
      </c>
      <c r="H1162">
        <f t="shared" si="55"/>
        <v>4</v>
      </c>
      <c r="I1162">
        <f t="shared" si="56"/>
        <v>0</v>
      </c>
      <c r="J1162">
        <f>IF(Table1[[#This Row],[Active_months]]&gt;=1, 1, 0)</f>
        <v>1</v>
      </c>
    </row>
    <row r="1163" spans="1:10" x14ac:dyDescent="0.3">
      <c r="A1163">
        <v>192182455</v>
      </c>
      <c r="B1163" s="1">
        <v>44962</v>
      </c>
      <c r="C1163" s="1">
        <v>45052</v>
      </c>
      <c r="D1163">
        <v>39</v>
      </c>
      <c r="E1163" t="s">
        <v>6</v>
      </c>
      <c r="F1163" t="s">
        <v>7</v>
      </c>
      <c r="G1163" s="1">
        <f t="shared" si="54"/>
        <v>45052</v>
      </c>
      <c r="H1163">
        <f t="shared" si="55"/>
        <v>3</v>
      </c>
      <c r="I1163">
        <f t="shared" si="56"/>
        <v>0</v>
      </c>
      <c r="J1163">
        <f>IF(Table1[[#This Row],[Active_months]]&gt;=1, 1, 0)</f>
        <v>1</v>
      </c>
    </row>
    <row r="1164" spans="1:10" x14ac:dyDescent="0.3">
      <c r="A1164">
        <v>202505276</v>
      </c>
      <c r="B1164" s="1">
        <v>44962</v>
      </c>
      <c r="C1164" s="1">
        <v>44999</v>
      </c>
      <c r="D1164">
        <v>39</v>
      </c>
      <c r="E1164" t="s">
        <v>6</v>
      </c>
      <c r="F1164" t="s">
        <v>7</v>
      </c>
      <c r="G1164" s="1">
        <f t="shared" si="54"/>
        <v>44999</v>
      </c>
      <c r="H1164">
        <f t="shared" si="55"/>
        <v>1</v>
      </c>
      <c r="I1164">
        <f t="shared" si="56"/>
        <v>0</v>
      </c>
      <c r="J1164">
        <f>IF(Table1[[#This Row],[Active_months]]&gt;=1, 1, 0)</f>
        <v>1</v>
      </c>
    </row>
    <row r="1165" spans="1:10" x14ac:dyDescent="0.3">
      <c r="A1165">
        <v>152050632</v>
      </c>
      <c r="B1165" s="1">
        <v>44963</v>
      </c>
      <c r="D1165">
        <v>39</v>
      </c>
      <c r="E1165" t="s">
        <v>6</v>
      </c>
      <c r="F1165" t="s">
        <v>7</v>
      </c>
      <c r="G1165" s="1">
        <f t="shared" si="54"/>
        <v>45199</v>
      </c>
      <c r="H1165">
        <f t="shared" si="55"/>
        <v>7</v>
      </c>
      <c r="I1165">
        <f t="shared" si="56"/>
        <v>1</v>
      </c>
      <c r="J1165">
        <f>IF(Table1[[#This Row],[Active_months]]&gt;=1, 1, 0)</f>
        <v>1</v>
      </c>
    </row>
    <row r="1166" spans="1:10" x14ac:dyDescent="0.3">
      <c r="A1166">
        <v>201313284</v>
      </c>
      <c r="B1166" s="1">
        <v>44963</v>
      </c>
      <c r="D1166">
        <v>39</v>
      </c>
      <c r="E1166" t="s">
        <v>6</v>
      </c>
      <c r="F1166" t="s">
        <v>7</v>
      </c>
      <c r="G1166" s="1">
        <f t="shared" si="54"/>
        <v>45199</v>
      </c>
      <c r="H1166">
        <f t="shared" si="55"/>
        <v>7</v>
      </c>
      <c r="I1166">
        <f t="shared" si="56"/>
        <v>1</v>
      </c>
      <c r="J1166">
        <f>IF(Table1[[#This Row],[Active_months]]&gt;=1, 1, 0)</f>
        <v>1</v>
      </c>
    </row>
    <row r="1167" spans="1:10" x14ac:dyDescent="0.3">
      <c r="A1167">
        <v>202118292</v>
      </c>
      <c r="B1167" s="1">
        <v>44963</v>
      </c>
      <c r="D1167">
        <v>39</v>
      </c>
      <c r="E1167" t="s">
        <v>6</v>
      </c>
      <c r="F1167" t="s">
        <v>7</v>
      </c>
      <c r="G1167" s="1">
        <f t="shared" si="54"/>
        <v>45199</v>
      </c>
      <c r="H1167">
        <f t="shared" si="55"/>
        <v>7</v>
      </c>
      <c r="I1167">
        <f t="shared" si="56"/>
        <v>1</v>
      </c>
      <c r="J1167">
        <f>IF(Table1[[#This Row],[Active_months]]&gt;=1, 1, 0)</f>
        <v>1</v>
      </c>
    </row>
    <row r="1168" spans="1:10" x14ac:dyDescent="0.3">
      <c r="A1168">
        <v>202298964</v>
      </c>
      <c r="B1168" s="1">
        <v>44963</v>
      </c>
      <c r="D1168">
        <v>39</v>
      </c>
      <c r="E1168" t="s">
        <v>6</v>
      </c>
      <c r="F1168" t="s">
        <v>7</v>
      </c>
      <c r="G1168" s="1">
        <f t="shared" si="54"/>
        <v>45199</v>
      </c>
      <c r="H1168">
        <f t="shared" si="55"/>
        <v>7</v>
      </c>
      <c r="I1168">
        <f t="shared" si="56"/>
        <v>1</v>
      </c>
      <c r="J1168">
        <f>IF(Table1[[#This Row],[Active_months]]&gt;=1, 1, 0)</f>
        <v>1</v>
      </c>
    </row>
    <row r="1169" spans="1:10" x14ac:dyDescent="0.3">
      <c r="A1169">
        <v>202496216</v>
      </c>
      <c r="B1169" s="1">
        <v>44963</v>
      </c>
      <c r="D1169">
        <v>39</v>
      </c>
      <c r="E1169" t="s">
        <v>6</v>
      </c>
      <c r="F1169" t="s">
        <v>7</v>
      </c>
      <c r="G1169" s="1">
        <f t="shared" si="54"/>
        <v>45199</v>
      </c>
      <c r="H1169">
        <f t="shared" si="55"/>
        <v>7</v>
      </c>
      <c r="I1169">
        <f t="shared" si="56"/>
        <v>1</v>
      </c>
      <c r="J1169">
        <f>IF(Table1[[#This Row],[Active_months]]&gt;=1, 1, 0)</f>
        <v>1</v>
      </c>
    </row>
    <row r="1170" spans="1:10" x14ac:dyDescent="0.3">
      <c r="A1170">
        <v>152354478</v>
      </c>
      <c r="B1170" s="1">
        <v>44963</v>
      </c>
      <c r="D1170">
        <v>39</v>
      </c>
      <c r="E1170" t="s">
        <v>6</v>
      </c>
      <c r="F1170" t="s">
        <v>7</v>
      </c>
      <c r="G1170" s="1">
        <f t="shared" si="54"/>
        <v>45199</v>
      </c>
      <c r="H1170">
        <f t="shared" si="55"/>
        <v>7</v>
      </c>
      <c r="I1170">
        <f t="shared" si="56"/>
        <v>1</v>
      </c>
      <c r="J1170">
        <f>IF(Table1[[#This Row],[Active_months]]&gt;=1, 1, 0)</f>
        <v>1</v>
      </c>
    </row>
    <row r="1171" spans="1:10" x14ac:dyDescent="0.3">
      <c r="A1171">
        <v>200490112</v>
      </c>
      <c r="B1171" s="1">
        <v>44963</v>
      </c>
      <c r="C1171" s="1">
        <v>44964</v>
      </c>
      <c r="D1171">
        <v>39</v>
      </c>
      <c r="E1171" t="s">
        <v>6</v>
      </c>
      <c r="F1171" t="s">
        <v>8</v>
      </c>
      <c r="G1171" s="1">
        <f t="shared" si="54"/>
        <v>44964</v>
      </c>
      <c r="H1171">
        <f t="shared" si="55"/>
        <v>0</v>
      </c>
      <c r="I1171">
        <f t="shared" si="56"/>
        <v>0</v>
      </c>
      <c r="J1171">
        <f>IF(Table1[[#This Row],[Active_months]]&gt;=1, 1, 0)</f>
        <v>0</v>
      </c>
    </row>
    <row r="1172" spans="1:10" x14ac:dyDescent="0.3">
      <c r="A1172">
        <v>131310280</v>
      </c>
      <c r="B1172" s="1">
        <v>44963</v>
      </c>
      <c r="C1172" s="1">
        <v>44974</v>
      </c>
      <c r="D1172">
        <v>39</v>
      </c>
      <c r="E1172" t="s">
        <v>6</v>
      </c>
      <c r="F1172" t="s">
        <v>7</v>
      </c>
      <c r="G1172" s="1">
        <f t="shared" si="54"/>
        <v>44974</v>
      </c>
      <c r="H1172">
        <f t="shared" si="55"/>
        <v>0</v>
      </c>
      <c r="I1172">
        <f t="shared" si="56"/>
        <v>0</v>
      </c>
      <c r="J1172">
        <f>IF(Table1[[#This Row],[Active_months]]&gt;=1, 1, 0)</f>
        <v>0</v>
      </c>
    </row>
    <row r="1173" spans="1:10" x14ac:dyDescent="0.3">
      <c r="A1173">
        <v>154161250</v>
      </c>
      <c r="B1173" s="1">
        <v>44963</v>
      </c>
      <c r="C1173" s="1">
        <v>45006</v>
      </c>
      <c r="D1173">
        <v>39</v>
      </c>
      <c r="E1173" t="s">
        <v>6</v>
      </c>
      <c r="F1173" t="s">
        <v>7</v>
      </c>
      <c r="G1173" s="1">
        <f t="shared" si="54"/>
        <v>45006</v>
      </c>
      <c r="H1173">
        <f t="shared" si="55"/>
        <v>1</v>
      </c>
      <c r="I1173">
        <f t="shared" si="56"/>
        <v>0</v>
      </c>
      <c r="J1173">
        <f>IF(Table1[[#This Row],[Active_months]]&gt;=1, 1, 0)</f>
        <v>1</v>
      </c>
    </row>
    <row r="1174" spans="1:10" x14ac:dyDescent="0.3">
      <c r="A1174">
        <v>150521180</v>
      </c>
      <c r="B1174" s="1">
        <v>44963</v>
      </c>
      <c r="C1174" s="1">
        <v>45082</v>
      </c>
      <c r="D1174">
        <v>39</v>
      </c>
      <c r="E1174" t="s">
        <v>6</v>
      </c>
      <c r="F1174" t="s">
        <v>7</v>
      </c>
      <c r="G1174" s="1">
        <f t="shared" si="54"/>
        <v>45082</v>
      </c>
      <c r="H1174">
        <f t="shared" si="55"/>
        <v>4</v>
      </c>
      <c r="I1174">
        <f t="shared" si="56"/>
        <v>0</v>
      </c>
      <c r="J1174">
        <f>IF(Table1[[#This Row],[Active_months]]&gt;=1, 1, 0)</f>
        <v>1</v>
      </c>
    </row>
    <row r="1175" spans="1:10" x14ac:dyDescent="0.3">
      <c r="A1175">
        <v>195280988</v>
      </c>
      <c r="B1175" s="1">
        <v>44963</v>
      </c>
      <c r="C1175" s="1">
        <v>45098</v>
      </c>
      <c r="D1175">
        <v>39</v>
      </c>
      <c r="E1175" t="s">
        <v>6</v>
      </c>
      <c r="F1175" t="s">
        <v>7</v>
      </c>
      <c r="G1175" s="1">
        <f t="shared" si="54"/>
        <v>45098</v>
      </c>
      <c r="H1175">
        <f t="shared" si="55"/>
        <v>4</v>
      </c>
      <c r="I1175">
        <f t="shared" si="56"/>
        <v>0</v>
      </c>
      <c r="J1175">
        <f>IF(Table1[[#This Row],[Active_months]]&gt;=1, 1, 0)</f>
        <v>1</v>
      </c>
    </row>
    <row r="1176" spans="1:10" x14ac:dyDescent="0.3">
      <c r="A1176">
        <v>201231494</v>
      </c>
      <c r="B1176" s="1">
        <v>44963</v>
      </c>
      <c r="C1176" s="1">
        <v>45055</v>
      </c>
      <c r="D1176">
        <v>39</v>
      </c>
      <c r="E1176" t="s">
        <v>6</v>
      </c>
      <c r="F1176" t="s">
        <v>7</v>
      </c>
      <c r="G1176" s="1">
        <f t="shared" si="54"/>
        <v>45055</v>
      </c>
      <c r="H1176">
        <f t="shared" si="55"/>
        <v>3</v>
      </c>
      <c r="I1176">
        <f t="shared" si="56"/>
        <v>0</v>
      </c>
      <c r="J1176">
        <f>IF(Table1[[#This Row],[Active_months]]&gt;=1, 1, 0)</f>
        <v>1</v>
      </c>
    </row>
    <row r="1177" spans="1:10" x14ac:dyDescent="0.3">
      <c r="A1177">
        <v>199554496</v>
      </c>
      <c r="B1177" s="1">
        <v>44963</v>
      </c>
      <c r="C1177" s="1">
        <v>44965</v>
      </c>
      <c r="D1177">
        <v>39</v>
      </c>
      <c r="E1177" t="s">
        <v>6</v>
      </c>
      <c r="F1177" t="s">
        <v>7</v>
      </c>
      <c r="G1177" s="1">
        <f t="shared" si="54"/>
        <v>44965</v>
      </c>
      <c r="H1177">
        <f t="shared" si="55"/>
        <v>0</v>
      </c>
      <c r="I1177">
        <f t="shared" si="56"/>
        <v>0</v>
      </c>
      <c r="J1177">
        <f>IF(Table1[[#This Row],[Active_months]]&gt;=1, 1, 0)</f>
        <v>0</v>
      </c>
    </row>
    <row r="1178" spans="1:10" x14ac:dyDescent="0.3">
      <c r="A1178">
        <v>125747106</v>
      </c>
      <c r="B1178" s="1">
        <v>44963</v>
      </c>
      <c r="C1178" s="1">
        <v>44989</v>
      </c>
      <c r="D1178">
        <v>39</v>
      </c>
      <c r="E1178" t="s">
        <v>6</v>
      </c>
      <c r="F1178" t="s">
        <v>7</v>
      </c>
      <c r="G1178" s="1">
        <f t="shared" si="54"/>
        <v>44989</v>
      </c>
      <c r="H1178">
        <f t="shared" si="55"/>
        <v>1</v>
      </c>
      <c r="I1178">
        <f t="shared" si="56"/>
        <v>0</v>
      </c>
      <c r="J1178">
        <f>IF(Table1[[#This Row],[Active_months]]&gt;=1, 1, 0)</f>
        <v>1</v>
      </c>
    </row>
    <row r="1179" spans="1:10" x14ac:dyDescent="0.3">
      <c r="A1179">
        <v>195345030</v>
      </c>
      <c r="B1179" s="1">
        <v>44963</v>
      </c>
      <c r="C1179" s="1">
        <v>44989</v>
      </c>
      <c r="D1179">
        <v>39</v>
      </c>
      <c r="E1179" t="s">
        <v>6</v>
      </c>
      <c r="F1179" t="s">
        <v>7</v>
      </c>
      <c r="G1179" s="1">
        <f t="shared" si="54"/>
        <v>44989</v>
      </c>
      <c r="H1179">
        <f t="shared" si="55"/>
        <v>1</v>
      </c>
      <c r="I1179">
        <f t="shared" si="56"/>
        <v>0</v>
      </c>
      <c r="J1179">
        <f>IF(Table1[[#This Row],[Active_months]]&gt;=1, 1, 0)</f>
        <v>1</v>
      </c>
    </row>
    <row r="1180" spans="1:10" x14ac:dyDescent="0.3">
      <c r="A1180">
        <v>202269874</v>
      </c>
      <c r="B1180" s="1">
        <v>44963</v>
      </c>
      <c r="C1180" s="1">
        <v>45010</v>
      </c>
      <c r="D1180">
        <v>39</v>
      </c>
      <c r="E1180" t="s">
        <v>6</v>
      </c>
      <c r="F1180" t="s">
        <v>7</v>
      </c>
      <c r="G1180" s="1">
        <f t="shared" si="54"/>
        <v>45010</v>
      </c>
      <c r="H1180">
        <f t="shared" si="55"/>
        <v>1</v>
      </c>
      <c r="I1180">
        <f t="shared" si="56"/>
        <v>0</v>
      </c>
      <c r="J1180">
        <f>IF(Table1[[#This Row],[Active_months]]&gt;=1, 1, 0)</f>
        <v>1</v>
      </c>
    </row>
    <row r="1181" spans="1:10" x14ac:dyDescent="0.3">
      <c r="A1181">
        <v>191036527</v>
      </c>
      <c r="B1181" s="1">
        <v>44963</v>
      </c>
      <c r="C1181" s="1">
        <v>44992</v>
      </c>
      <c r="D1181">
        <v>39</v>
      </c>
      <c r="E1181" t="s">
        <v>6</v>
      </c>
      <c r="F1181" t="s">
        <v>7</v>
      </c>
      <c r="G1181" s="1">
        <f t="shared" si="54"/>
        <v>44992</v>
      </c>
      <c r="H1181">
        <f t="shared" si="55"/>
        <v>1</v>
      </c>
      <c r="I1181">
        <f t="shared" si="56"/>
        <v>0</v>
      </c>
      <c r="J1181">
        <f>IF(Table1[[#This Row],[Active_months]]&gt;=1, 1, 0)</f>
        <v>1</v>
      </c>
    </row>
    <row r="1182" spans="1:10" x14ac:dyDescent="0.3">
      <c r="A1182">
        <v>202633556</v>
      </c>
      <c r="B1182" s="1">
        <v>44963</v>
      </c>
      <c r="C1182" s="1">
        <v>44979</v>
      </c>
      <c r="D1182">
        <v>39</v>
      </c>
      <c r="E1182" t="s">
        <v>6</v>
      </c>
      <c r="F1182" t="s">
        <v>7</v>
      </c>
      <c r="G1182" s="1">
        <f t="shared" si="54"/>
        <v>44979</v>
      </c>
      <c r="H1182">
        <f t="shared" si="55"/>
        <v>0</v>
      </c>
      <c r="I1182">
        <f t="shared" si="56"/>
        <v>0</v>
      </c>
      <c r="J1182">
        <f>IF(Table1[[#This Row],[Active_months]]&gt;=1, 1, 0)</f>
        <v>0</v>
      </c>
    </row>
    <row r="1183" spans="1:10" x14ac:dyDescent="0.3">
      <c r="A1183">
        <v>202750328</v>
      </c>
      <c r="B1183" s="1">
        <v>44963</v>
      </c>
      <c r="C1183" s="1">
        <v>45140</v>
      </c>
      <c r="D1183">
        <v>39</v>
      </c>
      <c r="E1183" t="s">
        <v>6</v>
      </c>
      <c r="F1183" t="s">
        <v>7</v>
      </c>
      <c r="G1183" s="1">
        <f t="shared" si="54"/>
        <v>45140</v>
      </c>
      <c r="H1183">
        <f t="shared" si="55"/>
        <v>6</v>
      </c>
      <c r="I1183">
        <f t="shared" si="56"/>
        <v>1</v>
      </c>
      <c r="J1183">
        <f>IF(Table1[[#This Row],[Active_months]]&gt;=1, 1, 0)</f>
        <v>1</v>
      </c>
    </row>
    <row r="1184" spans="1:10" x14ac:dyDescent="0.3">
      <c r="A1184">
        <v>192781688</v>
      </c>
      <c r="B1184" s="1">
        <v>44964</v>
      </c>
      <c r="D1184">
        <v>39</v>
      </c>
      <c r="E1184" t="s">
        <v>6</v>
      </c>
      <c r="F1184" t="s">
        <v>7</v>
      </c>
      <c r="G1184" s="1">
        <f t="shared" si="54"/>
        <v>45199</v>
      </c>
      <c r="H1184">
        <f t="shared" si="55"/>
        <v>7</v>
      </c>
      <c r="I1184">
        <f t="shared" si="56"/>
        <v>1</v>
      </c>
      <c r="J1184">
        <f>IF(Table1[[#This Row],[Active_months]]&gt;=1, 1, 0)</f>
        <v>1</v>
      </c>
    </row>
    <row r="1185" spans="1:10" x14ac:dyDescent="0.3">
      <c r="A1185">
        <v>196859472</v>
      </c>
      <c r="B1185" s="1">
        <v>44964</v>
      </c>
      <c r="D1185">
        <v>39</v>
      </c>
      <c r="E1185" t="s">
        <v>6</v>
      </c>
      <c r="F1185" t="s">
        <v>7</v>
      </c>
      <c r="G1185" s="1">
        <f t="shared" si="54"/>
        <v>45199</v>
      </c>
      <c r="H1185">
        <f t="shared" si="55"/>
        <v>7</v>
      </c>
      <c r="I1185">
        <f t="shared" si="56"/>
        <v>1</v>
      </c>
      <c r="J1185">
        <f>IF(Table1[[#This Row],[Active_months]]&gt;=1, 1, 0)</f>
        <v>1</v>
      </c>
    </row>
    <row r="1186" spans="1:10" x14ac:dyDescent="0.3">
      <c r="A1186">
        <v>200333728</v>
      </c>
      <c r="B1186" s="1">
        <v>44964</v>
      </c>
      <c r="D1186">
        <v>39</v>
      </c>
      <c r="E1186" t="s">
        <v>6</v>
      </c>
      <c r="F1186" t="s">
        <v>7</v>
      </c>
      <c r="G1186" s="1">
        <f t="shared" si="54"/>
        <v>45199</v>
      </c>
      <c r="H1186">
        <f t="shared" si="55"/>
        <v>7</v>
      </c>
      <c r="I1186">
        <f t="shared" si="56"/>
        <v>1</v>
      </c>
      <c r="J1186">
        <f>IF(Table1[[#This Row],[Active_months]]&gt;=1, 1, 0)</f>
        <v>1</v>
      </c>
    </row>
    <row r="1187" spans="1:10" x14ac:dyDescent="0.3">
      <c r="A1187">
        <v>129896329</v>
      </c>
      <c r="B1187" s="1">
        <v>44964</v>
      </c>
      <c r="D1187">
        <v>39</v>
      </c>
      <c r="E1187" t="s">
        <v>6</v>
      </c>
      <c r="F1187" t="s">
        <v>7</v>
      </c>
      <c r="G1187" s="1">
        <f t="shared" si="54"/>
        <v>45199</v>
      </c>
      <c r="H1187">
        <f t="shared" si="55"/>
        <v>7</v>
      </c>
      <c r="I1187">
        <f t="shared" si="56"/>
        <v>1</v>
      </c>
      <c r="J1187">
        <f>IF(Table1[[#This Row],[Active_months]]&gt;=1, 1, 0)</f>
        <v>1</v>
      </c>
    </row>
    <row r="1188" spans="1:10" x14ac:dyDescent="0.3">
      <c r="A1188">
        <v>168202891</v>
      </c>
      <c r="B1188" s="1">
        <v>44964</v>
      </c>
      <c r="C1188" s="1">
        <v>44964</v>
      </c>
      <c r="D1188">
        <v>39</v>
      </c>
      <c r="E1188" t="s">
        <v>6</v>
      </c>
      <c r="F1188" t="s">
        <v>8</v>
      </c>
      <c r="G1188" s="1">
        <f t="shared" si="54"/>
        <v>44964</v>
      </c>
      <c r="H1188">
        <f t="shared" si="55"/>
        <v>0</v>
      </c>
      <c r="I1188">
        <f t="shared" si="56"/>
        <v>0</v>
      </c>
      <c r="J1188">
        <f>IF(Table1[[#This Row],[Active_months]]&gt;=1, 1, 0)</f>
        <v>0</v>
      </c>
    </row>
    <row r="1189" spans="1:10" x14ac:dyDescent="0.3">
      <c r="A1189">
        <v>202924219</v>
      </c>
      <c r="B1189" s="1">
        <v>44964</v>
      </c>
      <c r="C1189" s="1">
        <v>45097</v>
      </c>
      <c r="D1189">
        <v>39</v>
      </c>
      <c r="E1189" t="s">
        <v>6</v>
      </c>
      <c r="F1189" t="s">
        <v>7</v>
      </c>
      <c r="G1189" s="1">
        <f t="shared" si="54"/>
        <v>45097</v>
      </c>
      <c r="H1189">
        <f t="shared" si="55"/>
        <v>4</v>
      </c>
      <c r="I1189">
        <f t="shared" si="56"/>
        <v>0</v>
      </c>
      <c r="J1189">
        <f>IF(Table1[[#This Row],[Active_months]]&gt;=1, 1, 0)</f>
        <v>1</v>
      </c>
    </row>
    <row r="1190" spans="1:10" x14ac:dyDescent="0.3">
      <c r="A1190">
        <v>202863670</v>
      </c>
      <c r="B1190" s="1">
        <v>44964</v>
      </c>
      <c r="C1190" s="1">
        <v>45030</v>
      </c>
      <c r="D1190">
        <v>39</v>
      </c>
      <c r="E1190" t="s">
        <v>6</v>
      </c>
      <c r="F1190" t="s">
        <v>7</v>
      </c>
      <c r="G1190" s="1">
        <f t="shared" si="54"/>
        <v>45030</v>
      </c>
      <c r="H1190">
        <f t="shared" si="55"/>
        <v>2</v>
      </c>
      <c r="I1190">
        <f t="shared" si="56"/>
        <v>0</v>
      </c>
      <c r="J1190">
        <f>IF(Table1[[#This Row],[Active_months]]&gt;=1, 1, 0)</f>
        <v>1</v>
      </c>
    </row>
    <row r="1191" spans="1:10" x14ac:dyDescent="0.3">
      <c r="A1191">
        <v>202398629</v>
      </c>
      <c r="B1191" s="1">
        <v>44964</v>
      </c>
      <c r="C1191" s="1">
        <v>44991</v>
      </c>
      <c r="D1191">
        <v>39</v>
      </c>
      <c r="E1191" t="s">
        <v>6</v>
      </c>
      <c r="F1191" t="s">
        <v>7</v>
      </c>
      <c r="G1191" s="1">
        <f t="shared" si="54"/>
        <v>44991</v>
      </c>
      <c r="H1191">
        <f t="shared" si="55"/>
        <v>1</v>
      </c>
      <c r="I1191">
        <f t="shared" si="56"/>
        <v>0</v>
      </c>
      <c r="J1191">
        <f>IF(Table1[[#This Row],[Active_months]]&gt;=1, 1, 0)</f>
        <v>1</v>
      </c>
    </row>
    <row r="1192" spans="1:10" x14ac:dyDescent="0.3">
      <c r="A1192">
        <v>188448878</v>
      </c>
      <c r="B1192" s="1">
        <v>44964</v>
      </c>
      <c r="C1192" s="1">
        <v>44964</v>
      </c>
      <c r="D1192">
        <v>39</v>
      </c>
      <c r="E1192" t="s">
        <v>6</v>
      </c>
      <c r="F1192" t="s">
        <v>7</v>
      </c>
      <c r="G1192" s="1">
        <f t="shared" si="54"/>
        <v>44964</v>
      </c>
      <c r="H1192">
        <f t="shared" si="55"/>
        <v>0</v>
      </c>
      <c r="I1192">
        <f t="shared" si="56"/>
        <v>0</v>
      </c>
      <c r="J1192">
        <f>IF(Table1[[#This Row],[Active_months]]&gt;=1, 1, 0)</f>
        <v>0</v>
      </c>
    </row>
    <row r="1193" spans="1:10" x14ac:dyDescent="0.3">
      <c r="A1193">
        <v>203254948</v>
      </c>
      <c r="B1193" s="1">
        <v>44965</v>
      </c>
      <c r="D1193">
        <v>39</v>
      </c>
      <c r="E1193" t="s">
        <v>6</v>
      </c>
      <c r="F1193" t="s">
        <v>7</v>
      </c>
      <c r="G1193" s="1">
        <f t="shared" si="54"/>
        <v>45199</v>
      </c>
      <c r="H1193">
        <f t="shared" si="55"/>
        <v>7</v>
      </c>
      <c r="I1193">
        <f t="shared" si="56"/>
        <v>1</v>
      </c>
      <c r="J1193">
        <f>IF(Table1[[#This Row],[Active_months]]&gt;=1, 1, 0)</f>
        <v>1</v>
      </c>
    </row>
    <row r="1194" spans="1:10" x14ac:dyDescent="0.3">
      <c r="A1194">
        <v>203120229</v>
      </c>
      <c r="B1194" s="1">
        <v>44965</v>
      </c>
      <c r="C1194" s="1">
        <v>45094</v>
      </c>
      <c r="D1194">
        <v>39</v>
      </c>
      <c r="E1194" t="s">
        <v>6</v>
      </c>
      <c r="F1194" t="s">
        <v>7</v>
      </c>
      <c r="G1194" s="1">
        <f t="shared" si="54"/>
        <v>45094</v>
      </c>
      <c r="H1194">
        <f t="shared" si="55"/>
        <v>4</v>
      </c>
      <c r="I1194">
        <f t="shared" si="56"/>
        <v>0</v>
      </c>
      <c r="J1194">
        <f>IF(Table1[[#This Row],[Active_months]]&gt;=1, 1, 0)</f>
        <v>1</v>
      </c>
    </row>
    <row r="1195" spans="1:10" x14ac:dyDescent="0.3">
      <c r="A1195">
        <v>203225874</v>
      </c>
      <c r="B1195" s="1">
        <v>44965</v>
      </c>
      <c r="C1195" s="1">
        <v>45050</v>
      </c>
      <c r="D1195">
        <v>39</v>
      </c>
      <c r="E1195" t="s">
        <v>6</v>
      </c>
      <c r="F1195" t="s">
        <v>7</v>
      </c>
      <c r="G1195" s="1">
        <f t="shared" si="54"/>
        <v>45050</v>
      </c>
      <c r="H1195">
        <f t="shared" si="55"/>
        <v>3</v>
      </c>
      <c r="I1195">
        <f t="shared" si="56"/>
        <v>0</v>
      </c>
      <c r="J1195">
        <f>IF(Table1[[#This Row],[Active_months]]&gt;=1, 1, 0)</f>
        <v>1</v>
      </c>
    </row>
    <row r="1196" spans="1:10" x14ac:dyDescent="0.3">
      <c r="A1196">
        <v>203107308</v>
      </c>
      <c r="B1196" s="1">
        <v>44965</v>
      </c>
      <c r="C1196" s="1">
        <v>45062</v>
      </c>
      <c r="D1196">
        <v>39</v>
      </c>
      <c r="E1196" t="s">
        <v>6</v>
      </c>
      <c r="F1196" t="s">
        <v>7</v>
      </c>
      <c r="G1196" s="1">
        <f t="shared" si="54"/>
        <v>45062</v>
      </c>
      <c r="H1196">
        <f t="shared" si="55"/>
        <v>3</v>
      </c>
      <c r="I1196">
        <f t="shared" si="56"/>
        <v>0</v>
      </c>
      <c r="J1196">
        <f>IF(Table1[[#This Row],[Active_months]]&gt;=1, 1, 0)</f>
        <v>1</v>
      </c>
    </row>
    <row r="1197" spans="1:10" x14ac:dyDescent="0.3">
      <c r="A1197">
        <v>156558244</v>
      </c>
      <c r="B1197" s="1">
        <v>44965</v>
      </c>
      <c r="C1197" s="1">
        <v>45138</v>
      </c>
      <c r="D1197">
        <v>39</v>
      </c>
      <c r="E1197" t="s">
        <v>6</v>
      </c>
      <c r="F1197" t="s">
        <v>7</v>
      </c>
      <c r="G1197" s="1">
        <f t="shared" si="54"/>
        <v>45138</v>
      </c>
      <c r="H1197">
        <f t="shared" si="55"/>
        <v>5</v>
      </c>
      <c r="I1197">
        <f t="shared" si="56"/>
        <v>1</v>
      </c>
      <c r="J1197">
        <f>IF(Table1[[#This Row],[Active_months]]&gt;=1, 1, 0)</f>
        <v>1</v>
      </c>
    </row>
    <row r="1198" spans="1:10" x14ac:dyDescent="0.3">
      <c r="A1198">
        <v>194306726</v>
      </c>
      <c r="B1198" s="1">
        <v>44965</v>
      </c>
      <c r="C1198" s="1">
        <v>44986</v>
      </c>
      <c r="D1198">
        <v>39</v>
      </c>
      <c r="E1198" t="s">
        <v>6</v>
      </c>
      <c r="F1198" t="s">
        <v>7</v>
      </c>
      <c r="G1198" s="1">
        <f t="shared" si="54"/>
        <v>44986</v>
      </c>
      <c r="H1198">
        <f t="shared" si="55"/>
        <v>1</v>
      </c>
      <c r="I1198">
        <f t="shared" si="56"/>
        <v>0</v>
      </c>
      <c r="J1198">
        <f>IF(Table1[[#This Row],[Active_months]]&gt;=1, 1, 0)</f>
        <v>1</v>
      </c>
    </row>
    <row r="1199" spans="1:10" x14ac:dyDescent="0.3">
      <c r="A1199">
        <v>202410948</v>
      </c>
      <c r="B1199" s="1">
        <v>44965</v>
      </c>
      <c r="C1199" s="1">
        <v>45000</v>
      </c>
      <c r="D1199">
        <v>39</v>
      </c>
      <c r="E1199" t="s">
        <v>6</v>
      </c>
      <c r="F1199" t="s">
        <v>7</v>
      </c>
      <c r="G1199" s="1">
        <f t="shared" si="54"/>
        <v>45000</v>
      </c>
      <c r="H1199">
        <f t="shared" si="55"/>
        <v>1</v>
      </c>
      <c r="I1199">
        <f t="shared" si="56"/>
        <v>0</v>
      </c>
      <c r="J1199">
        <f>IF(Table1[[#This Row],[Active_months]]&gt;=1, 1, 0)</f>
        <v>1</v>
      </c>
    </row>
    <row r="1200" spans="1:10" x14ac:dyDescent="0.3">
      <c r="A1200">
        <v>203166018</v>
      </c>
      <c r="B1200" s="1">
        <v>44965</v>
      </c>
      <c r="C1200" s="1">
        <v>44993</v>
      </c>
      <c r="D1200">
        <v>39</v>
      </c>
      <c r="E1200" t="s">
        <v>6</v>
      </c>
      <c r="F1200" t="s">
        <v>7</v>
      </c>
      <c r="G1200" s="1">
        <f t="shared" si="54"/>
        <v>44993</v>
      </c>
      <c r="H1200">
        <f t="shared" si="55"/>
        <v>1</v>
      </c>
      <c r="I1200">
        <f t="shared" si="56"/>
        <v>0</v>
      </c>
      <c r="J1200">
        <f>IF(Table1[[#This Row],[Active_months]]&gt;=1, 1, 0)</f>
        <v>1</v>
      </c>
    </row>
    <row r="1201" spans="1:10" x14ac:dyDescent="0.3">
      <c r="A1201">
        <v>203116697</v>
      </c>
      <c r="B1201" s="1">
        <v>44965</v>
      </c>
      <c r="C1201" s="1">
        <v>45008</v>
      </c>
      <c r="D1201">
        <v>39</v>
      </c>
      <c r="E1201" t="s">
        <v>6</v>
      </c>
      <c r="F1201" t="s">
        <v>7</v>
      </c>
      <c r="G1201" s="1">
        <f t="shared" si="54"/>
        <v>45008</v>
      </c>
      <c r="H1201">
        <f t="shared" si="55"/>
        <v>1</v>
      </c>
      <c r="I1201">
        <f t="shared" si="56"/>
        <v>0</v>
      </c>
      <c r="J1201">
        <f>IF(Table1[[#This Row],[Active_months]]&gt;=1, 1, 0)</f>
        <v>1</v>
      </c>
    </row>
    <row r="1202" spans="1:10" x14ac:dyDescent="0.3">
      <c r="A1202">
        <v>202982608</v>
      </c>
      <c r="B1202" s="1">
        <v>44965</v>
      </c>
      <c r="C1202" s="1">
        <v>44987</v>
      </c>
      <c r="D1202">
        <v>39</v>
      </c>
      <c r="E1202" t="s">
        <v>6</v>
      </c>
      <c r="F1202" t="s">
        <v>7</v>
      </c>
      <c r="G1202" s="1">
        <f t="shared" si="54"/>
        <v>44987</v>
      </c>
      <c r="H1202">
        <f t="shared" si="55"/>
        <v>1</v>
      </c>
      <c r="I1202">
        <f t="shared" si="56"/>
        <v>0</v>
      </c>
      <c r="J1202">
        <f>IF(Table1[[#This Row],[Active_months]]&gt;=1, 1, 0)</f>
        <v>1</v>
      </c>
    </row>
    <row r="1203" spans="1:10" x14ac:dyDescent="0.3">
      <c r="A1203">
        <v>198167700</v>
      </c>
      <c r="B1203" s="1">
        <v>44965</v>
      </c>
      <c r="C1203" s="1">
        <v>44968</v>
      </c>
      <c r="D1203">
        <v>39</v>
      </c>
      <c r="E1203" t="s">
        <v>6</v>
      </c>
      <c r="F1203" t="s">
        <v>7</v>
      </c>
      <c r="G1203" s="1">
        <f t="shared" si="54"/>
        <v>44968</v>
      </c>
      <c r="H1203">
        <f t="shared" si="55"/>
        <v>0</v>
      </c>
      <c r="I1203">
        <f t="shared" si="56"/>
        <v>0</v>
      </c>
      <c r="J1203">
        <f>IF(Table1[[#This Row],[Active_months]]&gt;=1, 1, 0)</f>
        <v>0</v>
      </c>
    </row>
    <row r="1204" spans="1:10" x14ac:dyDescent="0.3">
      <c r="A1204">
        <v>190567582</v>
      </c>
      <c r="B1204" s="1">
        <v>44965</v>
      </c>
      <c r="C1204" s="1">
        <v>44979</v>
      </c>
      <c r="D1204">
        <v>39</v>
      </c>
      <c r="E1204" t="s">
        <v>6</v>
      </c>
      <c r="F1204" t="s">
        <v>7</v>
      </c>
      <c r="G1204" s="1">
        <f t="shared" si="54"/>
        <v>44979</v>
      </c>
      <c r="H1204">
        <f t="shared" si="55"/>
        <v>0</v>
      </c>
      <c r="I1204">
        <f t="shared" si="56"/>
        <v>0</v>
      </c>
      <c r="J1204">
        <f>IF(Table1[[#This Row],[Active_months]]&gt;=1, 1, 0)</f>
        <v>0</v>
      </c>
    </row>
    <row r="1205" spans="1:10" x14ac:dyDescent="0.3">
      <c r="A1205">
        <v>202699972</v>
      </c>
      <c r="B1205" s="1">
        <v>44965</v>
      </c>
      <c r="C1205" s="1">
        <v>45145</v>
      </c>
      <c r="D1205">
        <v>39</v>
      </c>
      <c r="E1205" t="s">
        <v>6</v>
      </c>
      <c r="F1205" t="s">
        <v>7</v>
      </c>
      <c r="G1205" s="1">
        <f t="shared" si="54"/>
        <v>45145</v>
      </c>
      <c r="H1205">
        <f t="shared" si="55"/>
        <v>6</v>
      </c>
      <c r="I1205">
        <f t="shared" si="56"/>
        <v>1</v>
      </c>
      <c r="J1205">
        <f>IF(Table1[[#This Row],[Active_months]]&gt;=1, 1, 0)</f>
        <v>1</v>
      </c>
    </row>
    <row r="1206" spans="1:10" x14ac:dyDescent="0.3">
      <c r="A1206">
        <v>203242766</v>
      </c>
      <c r="B1206" s="1">
        <v>44966</v>
      </c>
      <c r="D1206">
        <v>39</v>
      </c>
      <c r="E1206" t="s">
        <v>6</v>
      </c>
      <c r="F1206" t="s">
        <v>7</v>
      </c>
      <c r="G1206" s="1">
        <f t="shared" si="54"/>
        <v>45199</v>
      </c>
      <c r="H1206">
        <f t="shared" si="55"/>
        <v>7</v>
      </c>
      <c r="I1206">
        <f t="shared" si="56"/>
        <v>1</v>
      </c>
      <c r="J1206">
        <f>IF(Table1[[#This Row],[Active_months]]&gt;=1, 1, 0)</f>
        <v>1</v>
      </c>
    </row>
    <row r="1207" spans="1:10" x14ac:dyDescent="0.3">
      <c r="A1207">
        <v>203398103</v>
      </c>
      <c r="B1207" s="1">
        <v>44966</v>
      </c>
      <c r="D1207">
        <v>39</v>
      </c>
      <c r="E1207" t="s">
        <v>6</v>
      </c>
      <c r="F1207" t="s">
        <v>7</v>
      </c>
      <c r="G1207" s="1">
        <f t="shared" si="54"/>
        <v>45199</v>
      </c>
      <c r="H1207">
        <f t="shared" si="55"/>
        <v>7</v>
      </c>
      <c r="I1207">
        <f t="shared" si="56"/>
        <v>1</v>
      </c>
      <c r="J1207">
        <f>IF(Table1[[#This Row],[Active_months]]&gt;=1, 1, 0)</f>
        <v>1</v>
      </c>
    </row>
    <row r="1208" spans="1:10" x14ac:dyDescent="0.3">
      <c r="A1208">
        <v>203243685</v>
      </c>
      <c r="B1208" s="1">
        <v>44966</v>
      </c>
      <c r="D1208">
        <v>39</v>
      </c>
      <c r="E1208" t="s">
        <v>6</v>
      </c>
      <c r="F1208" t="s">
        <v>7</v>
      </c>
      <c r="G1208" s="1">
        <f t="shared" si="54"/>
        <v>45199</v>
      </c>
      <c r="H1208">
        <f t="shared" si="55"/>
        <v>7</v>
      </c>
      <c r="I1208">
        <f t="shared" si="56"/>
        <v>1</v>
      </c>
      <c r="J1208">
        <f>IF(Table1[[#This Row],[Active_months]]&gt;=1, 1, 0)</f>
        <v>1</v>
      </c>
    </row>
    <row r="1209" spans="1:10" x14ac:dyDescent="0.3">
      <c r="A1209">
        <v>203370322</v>
      </c>
      <c r="B1209" s="1">
        <v>44966</v>
      </c>
      <c r="D1209">
        <v>39</v>
      </c>
      <c r="E1209" t="s">
        <v>6</v>
      </c>
      <c r="F1209" t="s">
        <v>7</v>
      </c>
      <c r="G1209" s="1">
        <f t="shared" si="54"/>
        <v>45199</v>
      </c>
      <c r="H1209">
        <f t="shared" si="55"/>
        <v>7</v>
      </c>
      <c r="I1209">
        <f t="shared" si="56"/>
        <v>1</v>
      </c>
      <c r="J1209">
        <f>IF(Table1[[#This Row],[Active_months]]&gt;=1, 1, 0)</f>
        <v>1</v>
      </c>
    </row>
    <row r="1210" spans="1:10" x14ac:dyDescent="0.3">
      <c r="A1210">
        <v>138689458</v>
      </c>
      <c r="B1210" s="1">
        <v>44966</v>
      </c>
      <c r="D1210">
        <v>39</v>
      </c>
      <c r="E1210" t="s">
        <v>6</v>
      </c>
      <c r="F1210" t="s">
        <v>7</v>
      </c>
      <c r="G1210" s="1">
        <f t="shared" si="54"/>
        <v>45199</v>
      </c>
      <c r="H1210">
        <f t="shared" si="55"/>
        <v>7</v>
      </c>
      <c r="I1210">
        <f t="shared" si="56"/>
        <v>1</v>
      </c>
      <c r="J1210">
        <f>IF(Table1[[#This Row],[Active_months]]&gt;=1, 1, 0)</f>
        <v>1</v>
      </c>
    </row>
    <row r="1211" spans="1:10" x14ac:dyDescent="0.3">
      <c r="A1211">
        <v>203315186</v>
      </c>
      <c r="B1211" s="1">
        <v>44966</v>
      </c>
      <c r="D1211">
        <v>39</v>
      </c>
      <c r="E1211" t="s">
        <v>6</v>
      </c>
      <c r="F1211" t="s">
        <v>7</v>
      </c>
      <c r="G1211" s="1">
        <f t="shared" si="54"/>
        <v>45199</v>
      </c>
      <c r="H1211">
        <f t="shared" si="55"/>
        <v>7</v>
      </c>
      <c r="I1211">
        <f t="shared" si="56"/>
        <v>1</v>
      </c>
      <c r="J1211">
        <f>IF(Table1[[#This Row],[Active_months]]&gt;=1, 1, 0)</f>
        <v>1</v>
      </c>
    </row>
    <row r="1212" spans="1:10" x14ac:dyDescent="0.3">
      <c r="A1212">
        <v>203292575</v>
      </c>
      <c r="B1212" s="1">
        <v>44966</v>
      </c>
      <c r="D1212">
        <v>39</v>
      </c>
      <c r="E1212" t="s">
        <v>6</v>
      </c>
      <c r="F1212" t="s">
        <v>7</v>
      </c>
      <c r="G1212" s="1">
        <f t="shared" si="54"/>
        <v>45199</v>
      </c>
      <c r="H1212">
        <f t="shared" si="55"/>
        <v>7</v>
      </c>
      <c r="I1212">
        <f t="shared" si="56"/>
        <v>1</v>
      </c>
      <c r="J1212">
        <f>IF(Table1[[#This Row],[Active_months]]&gt;=1, 1, 0)</f>
        <v>1</v>
      </c>
    </row>
    <row r="1213" spans="1:10" x14ac:dyDescent="0.3">
      <c r="A1213">
        <v>144830936</v>
      </c>
      <c r="B1213" s="1">
        <v>44966</v>
      </c>
      <c r="C1213" s="1">
        <v>44967</v>
      </c>
      <c r="D1213">
        <v>39</v>
      </c>
      <c r="E1213" t="s">
        <v>6</v>
      </c>
      <c r="F1213" t="s">
        <v>7</v>
      </c>
      <c r="G1213" s="1">
        <f t="shared" si="54"/>
        <v>44967</v>
      </c>
      <c r="H1213">
        <f t="shared" si="55"/>
        <v>0</v>
      </c>
      <c r="I1213">
        <f t="shared" si="56"/>
        <v>0</v>
      </c>
      <c r="J1213">
        <f>IF(Table1[[#This Row],[Active_months]]&gt;=1, 1, 0)</f>
        <v>0</v>
      </c>
    </row>
    <row r="1214" spans="1:10" x14ac:dyDescent="0.3">
      <c r="A1214">
        <v>168980588</v>
      </c>
      <c r="B1214" s="1">
        <v>44966</v>
      </c>
      <c r="C1214" s="1">
        <v>44966</v>
      </c>
      <c r="D1214">
        <v>39</v>
      </c>
      <c r="E1214" t="s">
        <v>6</v>
      </c>
      <c r="F1214" t="s">
        <v>8</v>
      </c>
      <c r="G1214" s="1">
        <f t="shared" si="54"/>
        <v>44966</v>
      </c>
      <c r="H1214">
        <f t="shared" si="55"/>
        <v>0</v>
      </c>
      <c r="I1214">
        <f t="shared" si="56"/>
        <v>0</v>
      </c>
      <c r="J1214">
        <f>IF(Table1[[#This Row],[Active_months]]&gt;=1, 1, 0)</f>
        <v>0</v>
      </c>
    </row>
    <row r="1215" spans="1:10" x14ac:dyDescent="0.3">
      <c r="A1215">
        <v>136832520</v>
      </c>
      <c r="B1215" s="1">
        <v>44966</v>
      </c>
      <c r="C1215" s="1">
        <v>44995</v>
      </c>
      <c r="D1215">
        <v>39</v>
      </c>
      <c r="E1215" t="s">
        <v>6</v>
      </c>
      <c r="F1215" t="s">
        <v>7</v>
      </c>
      <c r="G1215" s="1">
        <f t="shared" si="54"/>
        <v>44995</v>
      </c>
      <c r="H1215">
        <f t="shared" si="55"/>
        <v>1</v>
      </c>
      <c r="I1215">
        <f t="shared" si="56"/>
        <v>0</v>
      </c>
      <c r="J1215">
        <f>IF(Table1[[#This Row],[Active_months]]&gt;=1, 1, 0)</f>
        <v>1</v>
      </c>
    </row>
    <row r="1216" spans="1:10" x14ac:dyDescent="0.3">
      <c r="A1216">
        <v>202103959</v>
      </c>
      <c r="B1216" s="1">
        <v>44966</v>
      </c>
      <c r="C1216" s="1">
        <v>45073</v>
      </c>
      <c r="D1216">
        <v>39</v>
      </c>
      <c r="E1216" t="s">
        <v>6</v>
      </c>
      <c r="F1216" t="s">
        <v>7</v>
      </c>
      <c r="G1216" s="1">
        <f t="shared" si="54"/>
        <v>45073</v>
      </c>
      <c r="H1216">
        <f t="shared" si="55"/>
        <v>3</v>
      </c>
      <c r="I1216">
        <f t="shared" si="56"/>
        <v>0</v>
      </c>
      <c r="J1216">
        <f>IF(Table1[[#This Row],[Active_months]]&gt;=1, 1, 0)</f>
        <v>1</v>
      </c>
    </row>
    <row r="1217" spans="1:10" x14ac:dyDescent="0.3">
      <c r="A1217">
        <v>148764147</v>
      </c>
      <c r="B1217" s="1">
        <v>44966</v>
      </c>
      <c r="C1217" s="1">
        <v>45024</v>
      </c>
      <c r="D1217">
        <v>39</v>
      </c>
      <c r="E1217" t="s">
        <v>6</v>
      </c>
      <c r="F1217" t="s">
        <v>7</v>
      </c>
      <c r="G1217" s="1">
        <f t="shared" si="54"/>
        <v>45024</v>
      </c>
      <c r="H1217">
        <f t="shared" si="55"/>
        <v>2</v>
      </c>
      <c r="I1217">
        <f t="shared" si="56"/>
        <v>0</v>
      </c>
      <c r="J1217">
        <f>IF(Table1[[#This Row],[Active_months]]&gt;=1, 1, 0)</f>
        <v>1</v>
      </c>
    </row>
    <row r="1218" spans="1:10" x14ac:dyDescent="0.3">
      <c r="A1218">
        <v>182748610</v>
      </c>
      <c r="B1218" s="1">
        <v>44966</v>
      </c>
      <c r="C1218" s="1">
        <v>45027</v>
      </c>
      <c r="D1218">
        <v>39</v>
      </c>
      <c r="E1218" t="s">
        <v>6</v>
      </c>
      <c r="F1218" t="s">
        <v>7</v>
      </c>
      <c r="G1218" s="1">
        <f t="shared" si="54"/>
        <v>45027</v>
      </c>
      <c r="H1218">
        <f t="shared" si="55"/>
        <v>2</v>
      </c>
      <c r="I1218">
        <f t="shared" si="56"/>
        <v>0</v>
      </c>
      <c r="J1218">
        <f>IF(Table1[[#This Row],[Active_months]]&gt;=1, 1, 0)</f>
        <v>1</v>
      </c>
    </row>
    <row r="1219" spans="1:10" x14ac:dyDescent="0.3">
      <c r="A1219">
        <v>197883626</v>
      </c>
      <c r="B1219" s="1">
        <v>44966</v>
      </c>
      <c r="C1219" s="1">
        <v>45001</v>
      </c>
      <c r="D1219">
        <v>39</v>
      </c>
      <c r="E1219" t="s">
        <v>6</v>
      </c>
      <c r="F1219" t="s">
        <v>7</v>
      </c>
      <c r="G1219" s="1">
        <f t="shared" ref="G1219:G1282" si="57">IF(ISBLANK(C1219), DATE(2023,9,30), C1219)</f>
        <v>45001</v>
      </c>
      <c r="H1219">
        <f t="shared" ref="H1219:H1282" si="58">(YEAR(G1219)-YEAR(B1219))*12 + (MONTH(G1219)-MONTH(B1219))</f>
        <v>1</v>
      </c>
      <c r="I1219">
        <f t="shared" ref="I1219:I1282" si="59">IF(H1219 &gt;=5, 1, 0)</f>
        <v>0</v>
      </c>
      <c r="J1219">
        <f>IF(Table1[[#This Row],[Active_months]]&gt;=1, 1, 0)</f>
        <v>1</v>
      </c>
    </row>
    <row r="1220" spans="1:10" x14ac:dyDescent="0.3">
      <c r="A1220">
        <v>195893842</v>
      </c>
      <c r="B1220" s="1">
        <v>44966</v>
      </c>
      <c r="C1220" s="1">
        <v>44985</v>
      </c>
      <c r="D1220">
        <v>39</v>
      </c>
      <c r="E1220" t="s">
        <v>6</v>
      </c>
      <c r="F1220" t="s">
        <v>7</v>
      </c>
      <c r="G1220" s="1">
        <f t="shared" si="57"/>
        <v>44985</v>
      </c>
      <c r="H1220">
        <f t="shared" si="58"/>
        <v>0</v>
      </c>
      <c r="I1220">
        <f t="shared" si="59"/>
        <v>0</v>
      </c>
      <c r="J1220">
        <f>IF(Table1[[#This Row],[Active_months]]&gt;=1, 1, 0)</f>
        <v>0</v>
      </c>
    </row>
    <row r="1221" spans="1:10" x14ac:dyDescent="0.3">
      <c r="A1221">
        <v>169081778</v>
      </c>
      <c r="B1221" s="1">
        <v>44966</v>
      </c>
      <c r="C1221" s="1">
        <v>45154</v>
      </c>
      <c r="D1221">
        <v>39</v>
      </c>
      <c r="E1221" t="s">
        <v>6</v>
      </c>
      <c r="F1221" t="s">
        <v>7</v>
      </c>
      <c r="G1221" s="1">
        <f t="shared" si="57"/>
        <v>45154</v>
      </c>
      <c r="H1221">
        <f t="shared" si="58"/>
        <v>6</v>
      </c>
      <c r="I1221">
        <f t="shared" si="59"/>
        <v>1</v>
      </c>
      <c r="J1221">
        <f>IF(Table1[[#This Row],[Active_months]]&gt;=1, 1, 0)</f>
        <v>1</v>
      </c>
    </row>
    <row r="1222" spans="1:10" x14ac:dyDescent="0.3">
      <c r="A1222">
        <v>150422738</v>
      </c>
      <c r="B1222" s="1">
        <v>44967</v>
      </c>
      <c r="C1222" s="1">
        <v>44968</v>
      </c>
      <c r="D1222">
        <v>39</v>
      </c>
      <c r="E1222" t="s">
        <v>6</v>
      </c>
      <c r="F1222" t="s">
        <v>7</v>
      </c>
      <c r="G1222" s="1">
        <f t="shared" si="57"/>
        <v>44968</v>
      </c>
      <c r="H1222">
        <f t="shared" si="58"/>
        <v>0</v>
      </c>
      <c r="I1222">
        <f t="shared" si="59"/>
        <v>0</v>
      </c>
      <c r="J1222">
        <f>IF(Table1[[#This Row],[Active_months]]&gt;=1, 1, 0)</f>
        <v>0</v>
      </c>
    </row>
    <row r="1223" spans="1:10" x14ac:dyDescent="0.3">
      <c r="A1223">
        <v>190839721</v>
      </c>
      <c r="B1223" s="1">
        <v>44967</v>
      </c>
      <c r="C1223" s="1">
        <v>45002</v>
      </c>
      <c r="D1223">
        <v>39</v>
      </c>
      <c r="E1223" t="s">
        <v>6</v>
      </c>
      <c r="F1223" t="s">
        <v>7</v>
      </c>
      <c r="G1223" s="1">
        <f t="shared" si="57"/>
        <v>45002</v>
      </c>
      <c r="H1223">
        <f t="shared" si="58"/>
        <v>1</v>
      </c>
      <c r="I1223">
        <f t="shared" si="59"/>
        <v>0</v>
      </c>
      <c r="J1223">
        <f>IF(Table1[[#This Row],[Active_months]]&gt;=1, 1, 0)</f>
        <v>1</v>
      </c>
    </row>
    <row r="1224" spans="1:10" x14ac:dyDescent="0.3">
      <c r="A1224">
        <v>152193617</v>
      </c>
      <c r="B1224" s="1">
        <v>44968</v>
      </c>
      <c r="D1224">
        <v>39</v>
      </c>
      <c r="E1224" t="s">
        <v>6</v>
      </c>
      <c r="F1224" t="s">
        <v>7</v>
      </c>
      <c r="G1224" s="1">
        <f t="shared" si="57"/>
        <v>45199</v>
      </c>
      <c r="H1224">
        <f t="shared" si="58"/>
        <v>7</v>
      </c>
      <c r="I1224">
        <f t="shared" si="59"/>
        <v>1</v>
      </c>
      <c r="J1224">
        <f>IF(Table1[[#This Row],[Active_months]]&gt;=1, 1, 0)</f>
        <v>1</v>
      </c>
    </row>
    <row r="1225" spans="1:10" x14ac:dyDescent="0.3">
      <c r="A1225">
        <v>133869989</v>
      </c>
      <c r="B1225" s="1">
        <v>44968</v>
      </c>
      <c r="C1225" s="1">
        <v>44969</v>
      </c>
      <c r="D1225">
        <v>39</v>
      </c>
      <c r="E1225" t="s">
        <v>6</v>
      </c>
      <c r="F1225" t="s">
        <v>7</v>
      </c>
      <c r="G1225" s="1">
        <f t="shared" si="57"/>
        <v>44969</v>
      </c>
      <c r="H1225">
        <f t="shared" si="58"/>
        <v>0</v>
      </c>
      <c r="I1225">
        <f t="shared" si="59"/>
        <v>0</v>
      </c>
      <c r="J1225">
        <f>IF(Table1[[#This Row],[Active_months]]&gt;=1, 1, 0)</f>
        <v>0</v>
      </c>
    </row>
    <row r="1226" spans="1:10" x14ac:dyDescent="0.3">
      <c r="A1226">
        <v>186843516</v>
      </c>
      <c r="B1226" s="1">
        <v>44968</v>
      </c>
      <c r="C1226" s="1">
        <v>45035</v>
      </c>
      <c r="D1226">
        <v>39</v>
      </c>
      <c r="E1226" t="s">
        <v>6</v>
      </c>
      <c r="F1226" t="s">
        <v>7</v>
      </c>
      <c r="G1226" s="1">
        <f t="shared" si="57"/>
        <v>45035</v>
      </c>
      <c r="H1226">
        <f t="shared" si="58"/>
        <v>2</v>
      </c>
      <c r="I1226">
        <f t="shared" si="59"/>
        <v>0</v>
      </c>
      <c r="J1226">
        <f>IF(Table1[[#This Row],[Active_months]]&gt;=1, 1, 0)</f>
        <v>1</v>
      </c>
    </row>
    <row r="1227" spans="1:10" x14ac:dyDescent="0.3">
      <c r="A1227">
        <v>138913080</v>
      </c>
      <c r="B1227" s="1">
        <v>44968</v>
      </c>
      <c r="C1227" s="1">
        <v>45038</v>
      </c>
      <c r="D1227">
        <v>39</v>
      </c>
      <c r="E1227" t="s">
        <v>6</v>
      </c>
      <c r="F1227" t="s">
        <v>7</v>
      </c>
      <c r="G1227" s="1">
        <f t="shared" si="57"/>
        <v>45038</v>
      </c>
      <c r="H1227">
        <f t="shared" si="58"/>
        <v>2</v>
      </c>
      <c r="I1227">
        <f t="shared" si="59"/>
        <v>0</v>
      </c>
      <c r="J1227">
        <f>IF(Table1[[#This Row],[Active_months]]&gt;=1, 1, 0)</f>
        <v>1</v>
      </c>
    </row>
    <row r="1228" spans="1:10" x14ac:dyDescent="0.3">
      <c r="A1228">
        <v>134879280</v>
      </c>
      <c r="B1228" s="1">
        <v>44968</v>
      </c>
      <c r="C1228" s="1">
        <v>44992</v>
      </c>
      <c r="D1228">
        <v>39</v>
      </c>
      <c r="E1228" t="s">
        <v>6</v>
      </c>
      <c r="F1228" t="s">
        <v>7</v>
      </c>
      <c r="G1228" s="1">
        <f t="shared" si="57"/>
        <v>44992</v>
      </c>
      <c r="H1228">
        <f t="shared" si="58"/>
        <v>1</v>
      </c>
      <c r="I1228">
        <f t="shared" si="59"/>
        <v>0</v>
      </c>
      <c r="J1228">
        <f>IF(Table1[[#This Row],[Active_months]]&gt;=1, 1, 0)</f>
        <v>1</v>
      </c>
    </row>
    <row r="1229" spans="1:10" x14ac:dyDescent="0.3">
      <c r="A1229">
        <v>160878134</v>
      </c>
      <c r="B1229" s="1">
        <v>44970</v>
      </c>
      <c r="D1229">
        <v>39</v>
      </c>
      <c r="E1229" t="s">
        <v>6</v>
      </c>
      <c r="F1229" t="s">
        <v>7</v>
      </c>
      <c r="G1229" s="1">
        <f t="shared" si="57"/>
        <v>45199</v>
      </c>
      <c r="H1229">
        <f t="shared" si="58"/>
        <v>7</v>
      </c>
      <c r="I1229">
        <f t="shared" si="59"/>
        <v>1</v>
      </c>
      <c r="J1229">
        <f>IF(Table1[[#This Row],[Active_months]]&gt;=1, 1, 0)</f>
        <v>1</v>
      </c>
    </row>
    <row r="1230" spans="1:10" x14ac:dyDescent="0.3">
      <c r="A1230">
        <v>144423338</v>
      </c>
      <c r="B1230" s="1">
        <v>44970</v>
      </c>
      <c r="C1230" s="1">
        <v>45159</v>
      </c>
      <c r="D1230">
        <v>39</v>
      </c>
      <c r="E1230" t="s">
        <v>6</v>
      </c>
      <c r="F1230" t="s">
        <v>7</v>
      </c>
      <c r="G1230" s="1">
        <f t="shared" si="57"/>
        <v>45159</v>
      </c>
      <c r="H1230">
        <f t="shared" si="58"/>
        <v>6</v>
      </c>
      <c r="I1230">
        <f t="shared" si="59"/>
        <v>1</v>
      </c>
      <c r="J1230">
        <f>IF(Table1[[#This Row],[Active_months]]&gt;=1, 1, 0)</f>
        <v>1</v>
      </c>
    </row>
    <row r="1231" spans="1:10" x14ac:dyDescent="0.3">
      <c r="A1231">
        <v>136218542</v>
      </c>
      <c r="B1231" s="1">
        <v>44970</v>
      </c>
      <c r="C1231" s="1">
        <v>45059</v>
      </c>
      <c r="D1231">
        <v>39</v>
      </c>
      <c r="E1231" t="s">
        <v>6</v>
      </c>
      <c r="F1231" t="s">
        <v>7</v>
      </c>
      <c r="G1231" s="1">
        <f t="shared" si="57"/>
        <v>45059</v>
      </c>
      <c r="H1231">
        <f t="shared" si="58"/>
        <v>3</v>
      </c>
      <c r="I1231">
        <f t="shared" si="59"/>
        <v>0</v>
      </c>
      <c r="J1231">
        <f>IF(Table1[[#This Row],[Active_months]]&gt;=1, 1, 0)</f>
        <v>1</v>
      </c>
    </row>
    <row r="1232" spans="1:10" x14ac:dyDescent="0.3">
      <c r="A1232">
        <v>204121686</v>
      </c>
      <c r="B1232" s="1">
        <v>44970</v>
      </c>
      <c r="C1232" s="1">
        <v>45089</v>
      </c>
      <c r="D1232">
        <v>39</v>
      </c>
      <c r="E1232" t="s">
        <v>6</v>
      </c>
      <c r="F1232" t="s">
        <v>7</v>
      </c>
      <c r="G1232" s="1">
        <f t="shared" si="57"/>
        <v>45089</v>
      </c>
      <c r="H1232">
        <f t="shared" si="58"/>
        <v>4</v>
      </c>
      <c r="I1232">
        <f t="shared" si="59"/>
        <v>0</v>
      </c>
      <c r="J1232">
        <f>IF(Table1[[#This Row],[Active_months]]&gt;=1, 1, 0)</f>
        <v>1</v>
      </c>
    </row>
    <row r="1233" spans="1:10" x14ac:dyDescent="0.3">
      <c r="A1233">
        <v>204114138</v>
      </c>
      <c r="B1233" s="1">
        <v>44970</v>
      </c>
      <c r="C1233" s="1">
        <v>45056</v>
      </c>
      <c r="D1233">
        <v>39</v>
      </c>
      <c r="E1233" t="s">
        <v>6</v>
      </c>
      <c r="F1233" t="s">
        <v>7</v>
      </c>
      <c r="G1233" s="1">
        <f t="shared" si="57"/>
        <v>45056</v>
      </c>
      <c r="H1233">
        <f t="shared" si="58"/>
        <v>3</v>
      </c>
      <c r="I1233">
        <f t="shared" si="59"/>
        <v>0</v>
      </c>
      <c r="J1233">
        <f>IF(Table1[[#This Row],[Active_months]]&gt;=1, 1, 0)</f>
        <v>1</v>
      </c>
    </row>
    <row r="1234" spans="1:10" x14ac:dyDescent="0.3">
      <c r="A1234">
        <v>152197442</v>
      </c>
      <c r="B1234" s="1">
        <v>44970</v>
      </c>
      <c r="C1234" s="1">
        <v>44998</v>
      </c>
      <c r="D1234">
        <v>39</v>
      </c>
      <c r="E1234" t="s">
        <v>6</v>
      </c>
      <c r="F1234" t="s">
        <v>7</v>
      </c>
      <c r="G1234" s="1">
        <f t="shared" si="57"/>
        <v>44998</v>
      </c>
      <c r="H1234">
        <f t="shared" si="58"/>
        <v>1</v>
      </c>
      <c r="I1234">
        <f t="shared" si="59"/>
        <v>0</v>
      </c>
      <c r="J1234">
        <f>IF(Table1[[#This Row],[Active_months]]&gt;=1, 1, 0)</f>
        <v>1</v>
      </c>
    </row>
    <row r="1235" spans="1:10" x14ac:dyDescent="0.3">
      <c r="A1235">
        <v>151695881</v>
      </c>
      <c r="B1235" s="1">
        <v>44970</v>
      </c>
      <c r="C1235" s="1">
        <v>45012</v>
      </c>
      <c r="D1235">
        <v>39</v>
      </c>
      <c r="E1235" t="s">
        <v>6</v>
      </c>
      <c r="F1235" t="s">
        <v>7</v>
      </c>
      <c r="G1235" s="1">
        <f t="shared" si="57"/>
        <v>45012</v>
      </c>
      <c r="H1235">
        <f t="shared" si="58"/>
        <v>1</v>
      </c>
      <c r="I1235">
        <f t="shared" si="59"/>
        <v>0</v>
      </c>
      <c r="J1235">
        <f>IF(Table1[[#This Row],[Active_months]]&gt;=1, 1, 0)</f>
        <v>1</v>
      </c>
    </row>
    <row r="1236" spans="1:10" x14ac:dyDescent="0.3">
      <c r="A1236">
        <v>204378294</v>
      </c>
      <c r="B1236" s="1">
        <v>44971</v>
      </c>
      <c r="D1236">
        <v>39</v>
      </c>
      <c r="E1236" t="s">
        <v>6</v>
      </c>
      <c r="F1236" t="s">
        <v>7</v>
      </c>
      <c r="G1236" s="1">
        <f t="shared" si="57"/>
        <v>45199</v>
      </c>
      <c r="H1236">
        <f t="shared" si="58"/>
        <v>7</v>
      </c>
      <c r="I1236">
        <f t="shared" si="59"/>
        <v>1</v>
      </c>
      <c r="J1236">
        <f>IF(Table1[[#This Row],[Active_months]]&gt;=1, 1, 0)</f>
        <v>1</v>
      </c>
    </row>
    <row r="1237" spans="1:10" x14ac:dyDescent="0.3">
      <c r="A1237">
        <v>204376665</v>
      </c>
      <c r="B1237" s="1">
        <v>44971</v>
      </c>
      <c r="D1237">
        <v>39</v>
      </c>
      <c r="E1237" t="s">
        <v>6</v>
      </c>
      <c r="F1237" t="s">
        <v>7</v>
      </c>
      <c r="G1237" s="1">
        <f t="shared" si="57"/>
        <v>45199</v>
      </c>
      <c r="H1237">
        <f t="shared" si="58"/>
        <v>7</v>
      </c>
      <c r="I1237">
        <f t="shared" si="59"/>
        <v>1</v>
      </c>
      <c r="J1237">
        <f>IF(Table1[[#This Row],[Active_months]]&gt;=1, 1, 0)</f>
        <v>1</v>
      </c>
    </row>
    <row r="1238" spans="1:10" x14ac:dyDescent="0.3">
      <c r="A1238">
        <v>204270637</v>
      </c>
      <c r="B1238" s="1">
        <v>44971</v>
      </c>
      <c r="D1238">
        <v>39</v>
      </c>
      <c r="E1238" t="s">
        <v>6</v>
      </c>
      <c r="F1238" t="s">
        <v>7</v>
      </c>
      <c r="G1238" s="1">
        <f t="shared" si="57"/>
        <v>45199</v>
      </c>
      <c r="H1238">
        <f t="shared" si="58"/>
        <v>7</v>
      </c>
      <c r="I1238">
        <f t="shared" si="59"/>
        <v>1</v>
      </c>
      <c r="J1238">
        <f>IF(Table1[[#This Row],[Active_months]]&gt;=1, 1, 0)</f>
        <v>1</v>
      </c>
    </row>
    <row r="1239" spans="1:10" x14ac:dyDescent="0.3">
      <c r="A1239">
        <v>204380751</v>
      </c>
      <c r="B1239" s="1">
        <v>44971</v>
      </c>
      <c r="C1239" s="1">
        <v>44971</v>
      </c>
      <c r="D1239">
        <v>39</v>
      </c>
      <c r="E1239" t="s">
        <v>6</v>
      </c>
      <c r="F1239" t="s">
        <v>7</v>
      </c>
      <c r="G1239" s="1">
        <f t="shared" si="57"/>
        <v>44971</v>
      </c>
      <c r="H1239">
        <f t="shared" si="58"/>
        <v>0</v>
      </c>
      <c r="I1239">
        <f t="shared" si="59"/>
        <v>0</v>
      </c>
      <c r="J1239">
        <f>IF(Table1[[#This Row],[Active_months]]&gt;=1, 1, 0)</f>
        <v>0</v>
      </c>
    </row>
    <row r="1240" spans="1:10" x14ac:dyDescent="0.3">
      <c r="A1240">
        <v>204402989</v>
      </c>
      <c r="B1240" s="1">
        <v>44971</v>
      </c>
      <c r="C1240" s="1">
        <v>45085</v>
      </c>
      <c r="D1240">
        <v>39</v>
      </c>
      <c r="E1240" t="s">
        <v>6</v>
      </c>
      <c r="F1240" t="s">
        <v>7</v>
      </c>
      <c r="G1240" s="1">
        <f t="shared" si="57"/>
        <v>45085</v>
      </c>
      <c r="H1240">
        <f t="shared" si="58"/>
        <v>4</v>
      </c>
      <c r="I1240">
        <f t="shared" si="59"/>
        <v>0</v>
      </c>
      <c r="J1240">
        <f>IF(Table1[[#This Row],[Active_months]]&gt;=1, 1, 0)</f>
        <v>1</v>
      </c>
    </row>
    <row r="1241" spans="1:10" x14ac:dyDescent="0.3">
      <c r="A1241">
        <v>203403136</v>
      </c>
      <c r="B1241" s="1">
        <v>44971</v>
      </c>
      <c r="C1241" s="1">
        <v>45089</v>
      </c>
      <c r="D1241">
        <v>39</v>
      </c>
      <c r="E1241" t="s">
        <v>6</v>
      </c>
      <c r="F1241" t="s">
        <v>7</v>
      </c>
      <c r="G1241" s="1">
        <f t="shared" si="57"/>
        <v>45089</v>
      </c>
      <c r="H1241">
        <f t="shared" si="58"/>
        <v>4</v>
      </c>
      <c r="I1241">
        <f t="shared" si="59"/>
        <v>0</v>
      </c>
      <c r="J1241">
        <f>IF(Table1[[#This Row],[Active_months]]&gt;=1, 1, 0)</f>
        <v>1</v>
      </c>
    </row>
    <row r="1242" spans="1:10" x14ac:dyDescent="0.3">
      <c r="A1242">
        <v>198453918</v>
      </c>
      <c r="B1242" s="1">
        <v>44971</v>
      </c>
      <c r="C1242" s="1">
        <v>45061</v>
      </c>
      <c r="D1242">
        <v>39</v>
      </c>
      <c r="E1242" t="s">
        <v>6</v>
      </c>
      <c r="F1242" t="s">
        <v>7</v>
      </c>
      <c r="G1242" s="1">
        <f t="shared" si="57"/>
        <v>45061</v>
      </c>
      <c r="H1242">
        <f t="shared" si="58"/>
        <v>3</v>
      </c>
      <c r="I1242">
        <f t="shared" si="59"/>
        <v>0</v>
      </c>
      <c r="J1242">
        <f>IF(Table1[[#This Row],[Active_months]]&gt;=1, 1, 0)</f>
        <v>1</v>
      </c>
    </row>
    <row r="1243" spans="1:10" x14ac:dyDescent="0.3">
      <c r="A1243">
        <v>133514912</v>
      </c>
      <c r="B1243" s="1">
        <v>44971</v>
      </c>
      <c r="C1243" s="1">
        <v>44992</v>
      </c>
      <c r="D1243">
        <v>39</v>
      </c>
      <c r="E1243" t="s">
        <v>6</v>
      </c>
      <c r="F1243" t="s">
        <v>7</v>
      </c>
      <c r="G1243" s="1">
        <f t="shared" si="57"/>
        <v>44992</v>
      </c>
      <c r="H1243">
        <f t="shared" si="58"/>
        <v>1</v>
      </c>
      <c r="I1243">
        <f t="shared" si="59"/>
        <v>0</v>
      </c>
      <c r="J1243">
        <f>IF(Table1[[#This Row],[Active_months]]&gt;=1, 1, 0)</f>
        <v>1</v>
      </c>
    </row>
    <row r="1244" spans="1:10" x14ac:dyDescent="0.3">
      <c r="A1244">
        <v>203414698</v>
      </c>
      <c r="B1244" s="1">
        <v>44971</v>
      </c>
      <c r="C1244" s="1">
        <v>45011</v>
      </c>
      <c r="D1244">
        <v>39</v>
      </c>
      <c r="E1244" t="s">
        <v>6</v>
      </c>
      <c r="F1244" t="s">
        <v>7</v>
      </c>
      <c r="G1244" s="1">
        <f t="shared" si="57"/>
        <v>45011</v>
      </c>
      <c r="H1244">
        <f t="shared" si="58"/>
        <v>1</v>
      </c>
      <c r="I1244">
        <f t="shared" si="59"/>
        <v>0</v>
      </c>
      <c r="J1244">
        <f>IF(Table1[[#This Row],[Active_months]]&gt;=1, 1, 0)</f>
        <v>1</v>
      </c>
    </row>
    <row r="1245" spans="1:10" x14ac:dyDescent="0.3">
      <c r="A1245">
        <v>190400854</v>
      </c>
      <c r="B1245" s="1">
        <v>44971</v>
      </c>
      <c r="C1245" s="1">
        <v>45127</v>
      </c>
      <c r="D1245">
        <v>39</v>
      </c>
      <c r="E1245" t="s">
        <v>6</v>
      </c>
      <c r="F1245" t="s">
        <v>7</v>
      </c>
      <c r="G1245" s="1">
        <f t="shared" si="57"/>
        <v>45127</v>
      </c>
      <c r="H1245">
        <f t="shared" si="58"/>
        <v>5</v>
      </c>
      <c r="I1245">
        <f t="shared" si="59"/>
        <v>1</v>
      </c>
      <c r="J1245">
        <f>IF(Table1[[#This Row],[Active_months]]&gt;=1, 1, 0)</f>
        <v>1</v>
      </c>
    </row>
    <row r="1246" spans="1:10" x14ac:dyDescent="0.3">
      <c r="A1246">
        <v>204114797</v>
      </c>
      <c r="B1246" s="1">
        <v>44971</v>
      </c>
      <c r="C1246" s="1">
        <v>45095</v>
      </c>
      <c r="D1246">
        <v>39</v>
      </c>
      <c r="E1246" t="s">
        <v>6</v>
      </c>
      <c r="F1246" t="s">
        <v>7</v>
      </c>
      <c r="G1246" s="1">
        <f t="shared" si="57"/>
        <v>45095</v>
      </c>
      <c r="H1246">
        <f t="shared" si="58"/>
        <v>4</v>
      </c>
      <c r="I1246">
        <f t="shared" si="59"/>
        <v>0</v>
      </c>
      <c r="J1246">
        <f>IF(Table1[[#This Row],[Active_months]]&gt;=1, 1, 0)</f>
        <v>1</v>
      </c>
    </row>
    <row r="1247" spans="1:10" x14ac:dyDescent="0.3">
      <c r="A1247">
        <v>202377942</v>
      </c>
      <c r="B1247" s="1">
        <v>44972</v>
      </c>
      <c r="D1247">
        <v>39</v>
      </c>
      <c r="E1247" t="s">
        <v>6</v>
      </c>
      <c r="F1247" t="s">
        <v>7</v>
      </c>
      <c r="G1247" s="1">
        <f t="shared" si="57"/>
        <v>45199</v>
      </c>
      <c r="H1247">
        <f t="shared" si="58"/>
        <v>7</v>
      </c>
      <c r="I1247">
        <f t="shared" si="59"/>
        <v>1</v>
      </c>
      <c r="J1247">
        <f>IF(Table1[[#This Row],[Active_months]]&gt;=1, 1, 0)</f>
        <v>1</v>
      </c>
    </row>
    <row r="1248" spans="1:10" x14ac:dyDescent="0.3">
      <c r="A1248">
        <v>204555612</v>
      </c>
      <c r="B1248" s="1">
        <v>44972</v>
      </c>
      <c r="C1248" s="1">
        <v>44972</v>
      </c>
      <c r="D1248">
        <v>39</v>
      </c>
      <c r="E1248" t="s">
        <v>6</v>
      </c>
      <c r="F1248" t="s">
        <v>8</v>
      </c>
      <c r="G1248" s="1">
        <f t="shared" si="57"/>
        <v>44972</v>
      </c>
      <c r="H1248">
        <f t="shared" si="58"/>
        <v>0</v>
      </c>
      <c r="I1248">
        <f t="shared" si="59"/>
        <v>0</v>
      </c>
      <c r="J1248">
        <f>IF(Table1[[#This Row],[Active_months]]&gt;=1, 1, 0)</f>
        <v>0</v>
      </c>
    </row>
    <row r="1249" spans="1:10" x14ac:dyDescent="0.3">
      <c r="A1249">
        <v>204556376</v>
      </c>
      <c r="B1249" s="1">
        <v>44972</v>
      </c>
      <c r="C1249" s="1">
        <v>44972</v>
      </c>
      <c r="D1249">
        <v>39</v>
      </c>
      <c r="E1249" t="s">
        <v>6</v>
      </c>
      <c r="F1249" t="s">
        <v>8</v>
      </c>
      <c r="G1249" s="1">
        <f t="shared" si="57"/>
        <v>44972</v>
      </c>
      <c r="H1249">
        <f t="shared" si="58"/>
        <v>0</v>
      </c>
      <c r="I1249">
        <f t="shared" si="59"/>
        <v>0</v>
      </c>
      <c r="J1249">
        <f>IF(Table1[[#This Row],[Active_months]]&gt;=1, 1, 0)</f>
        <v>0</v>
      </c>
    </row>
    <row r="1250" spans="1:10" x14ac:dyDescent="0.3">
      <c r="A1250">
        <v>204515997</v>
      </c>
      <c r="B1250" s="1">
        <v>44972</v>
      </c>
      <c r="C1250" s="1">
        <v>45091</v>
      </c>
      <c r="D1250">
        <v>39</v>
      </c>
      <c r="E1250" t="s">
        <v>6</v>
      </c>
      <c r="F1250" t="s">
        <v>7</v>
      </c>
      <c r="G1250" s="1">
        <f t="shared" si="57"/>
        <v>45091</v>
      </c>
      <c r="H1250">
        <f t="shared" si="58"/>
        <v>4</v>
      </c>
      <c r="I1250">
        <f t="shared" si="59"/>
        <v>0</v>
      </c>
      <c r="J1250">
        <f>IF(Table1[[#This Row],[Active_months]]&gt;=1, 1, 0)</f>
        <v>1</v>
      </c>
    </row>
    <row r="1251" spans="1:10" x14ac:dyDescent="0.3">
      <c r="A1251">
        <v>153342734</v>
      </c>
      <c r="B1251" s="1">
        <v>44972</v>
      </c>
      <c r="C1251" s="1">
        <v>45007</v>
      </c>
      <c r="D1251">
        <v>39</v>
      </c>
      <c r="E1251" t="s">
        <v>6</v>
      </c>
      <c r="F1251" t="s">
        <v>7</v>
      </c>
      <c r="G1251" s="1">
        <f t="shared" si="57"/>
        <v>45007</v>
      </c>
      <c r="H1251">
        <f t="shared" si="58"/>
        <v>1</v>
      </c>
      <c r="I1251">
        <f t="shared" si="59"/>
        <v>0</v>
      </c>
      <c r="J1251">
        <f>IF(Table1[[#This Row],[Active_months]]&gt;=1, 1, 0)</f>
        <v>1</v>
      </c>
    </row>
    <row r="1252" spans="1:10" x14ac:dyDescent="0.3">
      <c r="A1252">
        <v>204650391</v>
      </c>
      <c r="B1252" s="1">
        <v>44973</v>
      </c>
      <c r="D1252">
        <v>39</v>
      </c>
      <c r="E1252" t="s">
        <v>6</v>
      </c>
      <c r="F1252" t="s">
        <v>7</v>
      </c>
      <c r="G1252" s="1">
        <f t="shared" si="57"/>
        <v>45199</v>
      </c>
      <c r="H1252">
        <f t="shared" si="58"/>
        <v>7</v>
      </c>
      <c r="I1252">
        <f t="shared" si="59"/>
        <v>1</v>
      </c>
      <c r="J1252">
        <f>IF(Table1[[#This Row],[Active_months]]&gt;=1, 1, 0)</f>
        <v>1</v>
      </c>
    </row>
    <row r="1253" spans="1:10" x14ac:dyDescent="0.3">
      <c r="A1253">
        <v>150906486</v>
      </c>
      <c r="B1253" s="1">
        <v>44973</v>
      </c>
      <c r="C1253" s="1">
        <v>45002</v>
      </c>
      <c r="D1253">
        <v>39</v>
      </c>
      <c r="E1253" t="s">
        <v>6</v>
      </c>
      <c r="F1253" t="s">
        <v>7</v>
      </c>
      <c r="G1253" s="1">
        <f t="shared" si="57"/>
        <v>45002</v>
      </c>
      <c r="H1253">
        <f t="shared" si="58"/>
        <v>1</v>
      </c>
      <c r="I1253">
        <f t="shared" si="59"/>
        <v>0</v>
      </c>
      <c r="J1253">
        <f>IF(Table1[[#This Row],[Active_months]]&gt;=1, 1, 0)</f>
        <v>1</v>
      </c>
    </row>
    <row r="1254" spans="1:10" x14ac:dyDescent="0.3">
      <c r="A1254">
        <v>153961940</v>
      </c>
      <c r="B1254" s="1">
        <v>44973</v>
      </c>
      <c r="C1254" s="1">
        <v>44973</v>
      </c>
      <c r="D1254">
        <v>39</v>
      </c>
      <c r="E1254" t="s">
        <v>6</v>
      </c>
      <c r="F1254" t="s">
        <v>7</v>
      </c>
      <c r="G1254" s="1">
        <f t="shared" si="57"/>
        <v>44973</v>
      </c>
      <c r="H1254">
        <f t="shared" si="58"/>
        <v>0</v>
      </c>
      <c r="I1254">
        <f t="shared" si="59"/>
        <v>0</v>
      </c>
      <c r="J1254">
        <f>IF(Table1[[#This Row],[Active_months]]&gt;=1, 1, 0)</f>
        <v>0</v>
      </c>
    </row>
    <row r="1255" spans="1:10" x14ac:dyDescent="0.3">
      <c r="A1255">
        <v>154175766</v>
      </c>
      <c r="B1255" s="1">
        <v>44973</v>
      </c>
      <c r="C1255" s="1">
        <v>45000</v>
      </c>
      <c r="D1255">
        <v>39</v>
      </c>
      <c r="E1255" t="s">
        <v>6</v>
      </c>
      <c r="F1255" t="s">
        <v>7</v>
      </c>
      <c r="G1255" s="1">
        <f t="shared" si="57"/>
        <v>45000</v>
      </c>
      <c r="H1255">
        <f t="shared" si="58"/>
        <v>1</v>
      </c>
      <c r="I1255">
        <f t="shared" si="59"/>
        <v>0</v>
      </c>
      <c r="J1255">
        <f>IF(Table1[[#This Row],[Active_months]]&gt;=1, 1, 0)</f>
        <v>1</v>
      </c>
    </row>
    <row r="1256" spans="1:10" x14ac:dyDescent="0.3">
      <c r="A1256">
        <v>204631298</v>
      </c>
      <c r="B1256" s="1">
        <v>44973</v>
      </c>
      <c r="C1256" s="1">
        <v>45033</v>
      </c>
      <c r="D1256">
        <v>39</v>
      </c>
      <c r="E1256" t="s">
        <v>6</v>
      </c>
      <c r="F1256" t="s">
        <v>7</v>
      </c>
      <c r="G1256" s="1">
        <f t="shared" si="57"/>
        <v>45033</v>
      </c>
      <c r="H1256">
        <f t="shared" si="58"/>
        <v>2</v>
      </c>
      <c r="I1256">
        <f t="shared" si="59"/>
        <v>0</v>
      </c>
      <c r="J1256">
        <f>IF(Table1[[#This Row],[Active_months]]&gt;=1, 1, 0)</f>
        <v>1</v>
      </c>
    </row>
    <row r="1257" spans="1:10" x14ac:dyDescent="0.3">
      <c r="A1257">
        <v>195534585</v>
      </c>
      <c r="B1257" s="1">
        <v>44973</v>
      </c>
      <c r="C1257" s="1">
        <v>45030</v>
      </c>
      <c r="D1257">
        <v>39</v>
      </c>
      <c r="E1257" t="s">
        <v>6</v>
      </c>
      <c r="F1257" t="s">
        <v>7</v>
      </c>
      <c r="G1257" s="1">
        <f t="shared" si="57"/>
        <v>45030</v>
      </c>
      <c r="H1257">
        <f t="shared" si="58"/>
        <v>2</v>
      </c>
      <c r="I1257">
        <f t="shared" si="59"/>
        <v>0</v>
      </c>
      <c r="J1257">
        <f>IF(Table1[[#This Row],[Active_months]]&gt;=1, 1, 0)</f>
        <v>1</v>
      </c>
    </row>
    <row r="1258" spans="1:10" x14ac:dyDescent="0.3">
      <c r="A1258">
        <v>176421166</v>
      </c>
      <c r="B1258" s="1">
        <v>44973</v>
      </c>
      <c r="C1258" s="1">
        <v>45030</v>
      </c>
      <c r="D1258">
        <v>39</v>
      </c>
      <c r="E1258" t="s">
        <v>6</v>
      </c>
      <c r="F1258" t="s">
        <v>7</v>
      </c>
      <c r="G1258" s="1">
        <f t="shared" si="57"/>
        <v>45030</v>
      </c>
      <c r="H1258">
        <f t="shared" si="58"/>
        <v>2</v>
      </c>
      <c r="I1258">
        <f t="shared" si="59"/>
        <v>0</v>
      </c>
      <c r="J1258">
        <f>IF(Table1[[#This Row],[Active_months]]&gt;=1, 1, 0)</f>
        <v>1</v>
      </c>
    </row>
    <row r="1259" spans="1:10" x14ac:dyDescent="0.3">
      <c r="A1259">
        <v>204679416</v>
      </c>
      <c r="B1259" s="1">
        <v>44973</v>
      </c>
      <c r="C1259" s="1">
        <v>45002</v>
      </c>
      <c r="D1259">
        <v>39</v>
      </c>
      <c r="E1259" t="s">
        <v>6</v>
      </c>
      <c r="F1259" t="s">
        <v>7</v>
      </c>
      <c r="G1259" s="1">
        <f t="shared" si="57"/>
        <v>45002</v>
      </c>
      <c r="H1259">
        <f t="shared" si="58"/>
        <v>1</v>
      </c>
      <c r="I1259">
        <f t="shared" si="59"/>
        <v>0</v>
      </c>
      <c r="J1259">
        <f>IF(Table1[[#This Row],[Active_months]]&gt;=1, 1, 0)</f>
        <v>1</v>
      </c>
    </row>
    <row r="1260" spans="1:10" x14ac:dyDescent="0.3">
      <c r="A1260">
        <v>204448721</v>
      </c>
      <c r="B1260" s="1">
        <v>44973</v>
      </c>
      <c r="C1260" s="1">
        <v>44975</v>
      </c>
      <c r="D1260">
        <v>39</v>
      </c>
      <c r="E1260" t="s">
        <v>6</v>
      </c>
      <c r="F1260" t="s">
        <v>7</v>
      </c>
      <c r="G1260" s="1">
        <f t="shared" si="57"/>
        <v>44975</v>
      </c>
      <c r="H1260">
        <f t="shared" si="58"/>
        <v>0</v>
      </c>
      <c r="I1260">
        <f t="shared" si="59"/>
        <v>0</v>
      </c>
      <c r="J1260">
        <f>IF(Table1[[#This Row],[Active_months]]&gt;=1, 1, 0)</f>
        <v>0</v>
      </c>
    </row>
    <row r="1261" spans="1:10" x14ac:dyDescent="0.3">
      <c r="A1261">
        <v>151908347</v>
      </c>
      <c r="B1261" s="1">
        <v>44973</v>
      </c>
      <c r="C1261" s="1">
        <v>45095</v>
      </c>
      <c r="D1261">
        <v>39</v>
      </c>
      <c r="E1261" t="s">
        <v>6</v>
      </c>
      <c r="F1261" t="s">
        <v>7</v>
      </c>
      <c r="G1261" s="1">
        <f t="shared" si="57"/>
        <v>45095</v>
      </c>
      <c r="H1261">
        <f t="shared" si="58"/>
        <v>4</v>
      </c>
      <c r="I1261">
        <f t="shared" si="59"/>
        <v>0</v>
      </c>
      <c r="J1261">
        <f>IF(Table1[[#This Row],[Active_months]]&gt;=1, 1, 0)</f>
        <v>1</v>
      </c>
    </row>
    <row r="1262" spans="1:10" x14ac:dyDescent="0.3">
      <c r="A1262">
        <v>150652956</v>
      </c>
      <c r="B1262" s="1">
        <v>44974</v>
      </c>
      <c r="C1262" s="1">
        <v>44975</v>
      </c>
      <c r="D1262">
        <v>39</v>
      </c>
      <c r="E1262" t="s">
        <v>6</v>
      </c>
      <c r="F1262" t="s">
        <v>7</v>
      </c>
      <c r="G1262" s="1">
        <f t="shared" si="57"/>
        <v>44975</v>
      </c>
      <c r="H1262">
        <f t="shared" si="58"/>
        <v>0</v>
      </c>
      <c r="I1262">
        <f t="shared" si="59"/>
        <v>0</v>
      </c>
      <c r="J1262">
        <f>IF(Table1[[#This Row],[Active_months]]&gt;=1, 1, 0)</f>
        <v>0</v>
      </c>
    </row>
    <row r="1263" spans="1:10" x14ac:dyDescent="0.3">
      <c r="A1263">
        <v>183321644</v>
      </c>
      <c r="B1263" s="1">
        <v>44974</v>
      </c>
      <c r="C1263" s="1">
        <v>44974</v>
      </c>
      <c r="D1263">
        <v>39</v>
      </c>
      <c r="E1263" t="s">
        <v>6</v>
      </c>
      <c r="F1263" t="s">
        <v>8</v>
      </c>
      <c r="G1263" s="1">
        <f t="shared" si="57"/>
        <v>44974</v>
      </c>
      <c r="H1263">
        <f t="shared" si="58"/>
        <v>0</v>
      </c>
      <c r="I1263">
        <f t="shared" si="59"/>
        <v>0</v>
      </c>
      <c r="J1263">
        <f>IF(Table1[[#This Row],[Active_months]]&gt;=1, 1, 0)</f>
        <v>0</v>
      </c>
    </row>
    <row r="1264" spans="1:10" x14ac:dyDescent="0.3">
      <c r="A1264">
        <v>204740476</v>
      </c>
      <c r="B1264" s="1">
        <v>44974</v>
      </c>
      <c r="C1264" s="1">
        <v>44999</v>
      </c>
      <c r="D1264">
        <v>39</v>
      </c>
      <c r="E1264" t="s">
        <v>6</v>
      </c>
      <c r="F1264" t="s">
        <v>8</v>
      </c>
      <c r="G1264" s="1">
        <f t="shared" si="57"/>
        <v>44999</v>
      </c>
      <c r="H1264">
        <f t="shared" si="58"/>
        <v>1</v>
      </c>
      <c r="I1264">
        <f t="shared" si="59"/>
        <v>0</v>
      </c>
      <c r="J1264">
        <f>IF(Table1[[#This Row],[Active_months]]&gt;=1, 1, 0)</f>
        <v>1</v>
      </c>
    </row>
    <row r="1265" spans="1:10" x14ac:dyDescent="0.3">
      <c r="A1265">
        <v>204439086</v>
      </c>
      <c r="B1265" s="1">
        <v>44974</v>
      </c>
      <c r="C1265" s="1">
        <v>45093</v>
      </c>
      <c r="D1265">
        <v>39</v>
      </c>
      <c r="E1265" t="s">
        <v>6</v>
      </c>
      <c r="F1265" t="s">
        <v>7</v>
      </c>
      <c r="G1265" s="1">
        <f t="shared" si="57"/>
        <v>45093</v>
      </c>
      <c r="H1265">
        <f t="shared" si="58"/>
        <v>4</v>
      </c>
      <c r="I1265">
        <f t="shared" si="59"/>
        <v>0</v>
      </c>
      <c r="J1265">
        <f>IF(Table1[[#This Row],[Active_months]]&gt;=1, 1, 0)</f>
        <v>1</v>
      </c>
    </row>
    <row r="1266" spans="1:10" x14ac:dyDescent="0.3">
      <c r="A1266">
        <v>204685109</v>
      </c>
      <c r="B1266" s="1">
        <v>44974</v>
      </c>
      <c r="C1266" s="1">
        <v>45069</v>
      </c>
      <c r="D1266">
        <v>39</v>
      </c>
      <c r="E1266" t="s">
        <v>6</v>
      </c>
      <c r="F1266" t="s">
        <v>7</v>
      </c>
      <c r="G1266" s="1">
        <f t="shared" si="57"/>
        <v>45069</v>
      </c>
      <c r="H1266">
        <f t="shared" si="58"/>
        <v>3</v>
      </c>
      <c r="I1266">
        <f t="shared" si="59"/>
        <v>0</v>
      </c>
      <c r="J1266">
        <f>IF(Table1[[#This Row],[Active_months]]&gt;=1, 1, 0)</f>
        <v>1</v>
      </c>
    </row>
    <row r="1267" spans="1:10" x14ac:dyDescent="0.3">
      <c r="A1267">
        <v>175211528</v>
      </c>
      <c r="B1267" s="1">
        <v>44974</v>
      </c>
      <c r="C1267" s="1">
        <v>44980</v>
      </c>
      <c r="D1267">
        <v>39</v>
      </c>
      <c r="E1267" t="s">
        <v>6</v>
      </c>
      <c r="F1267" t="s">
        <v>7</v>
      </c>
      <c r="G1267" s="1">
        <f t="shared" si="57"/>
        <v>44980</v>
      </c>
      <c r="H1267">
        <f t="shared" si="58"/>
        <v>0</v>
      </c>
      <c r="I1267">
        <f t="shared" si="59"/>
        <v>0</v>
      </c>
      <c r="J1267">
        <f>IF(Table1[[#This Row],[Active_months]]&gt;=1, 1, 0)</f>
        <v>0</v>
      </c>
    </row>
    <row r="1268" spans="1:10" x14ac:dyDescent="0.3">
      <c r="A1268">
        <v>204646698</v>
      </c>
      <c r="B1268" s="1">
        <v>44974</v>
      </c>
      <c r="C1268" s="1">
        <v>44974</v>
      </c>
      <c r="D1268">
        <v>39</v>
      </c>
      <c r="E1268" t="s">
        <v>6</v>
      </c>
      <c r="F1268" t="s">
        <v>7</v>
      </c>
      <c r="G1268" s="1">
        <f t="shared" si="57"/>
        <v>44974</v>
      </c>
      <c r="H1268">
        <f t="shared" si="58"/>
        <v>0</v>
      </c>
      <c r="I1268">
        <f t="shared" si="59"/>
        <v>0</v>
      </c>
      <c r="J1268">
        <f>IF(Table1[[#This Row],[Active_months]]&gt;=1, 1, 0)</f>
        <v>0</v>
      </c>
    </row>
    <row r="1269" spans="1:10" x14ac:dyDescent="0.3">
      <c r="A1269">
        <v>204728203</v>
      </c>
      <c r="B1269" s="1">
        <v>44974</v>
      </c>
      <c r="C1269" s="1">
        <v>45144</v>
      </c>
      <c r="D1269">
        <v>39</v>
      </c>
      <c r="E1269" t="s">
        <v>6</v>
      </c>
      <c r="F1269" t="s">
        <v>7</v>
      </c>
      <c r="G1269" s="1">
        <f t="shared" si="57"/>
        <v>45144</v>
      </c>
      <c r="H1269">
        <f t="shared" si="58"/>
        <v>6</v>
      </c>
      <c r="I1269">
        <f t="shared" si="59"/>
        <v>1</v>
      </c>
      <c r="J1269">
        <f>IF(Table1[[#This Row],[Active_months]]&gt;=1, 1, 0)</f>
        <v>1</v>
      </c>
    </row>
    <row r="1270" spans="1:10" x14ac:dyDescent="0.3">
      <c r="A1270">
        <v>166674547</v>
      </c>
      <c r="B1270" s="1">
        <v>44974</v>
      </c>
      <c r="C1270" s="1">
        <v>45099</v>
      </c>
      <c r="D1270">
        <v>39</v>
      </c>
      <c r="E1270" t="s">
        <v>6</v>
      </c>
      <c r="F1270" t="s">
        <v>7</v>
      </c>
      <c r="G1270" s="1">
        <f t="shared" si="57"/>
        <v>45099</v>
      </c>
      <c r="H1270">
        <f t="shared" si="58"/>
        <v>4</v>
      </c>
      <c r="I1270">
        <f t="shared" si="59"/>
        <v>0</v>
      </c>
      <c r="J1270">
        <f>IF(Table1[[#This Row],[Active_months]]&gt;=1, 1, 0)</f>
        <v>1</v>
      </c>
    </row>
    <row r="1271" spans="1:10" x14ac:dyDescent="0.3">
      <c r="A1271">
        <v>202459470</v>
      </c>
      <c r="B1271" s="1">
        <v>44975</v>
      </c>
      <c r="D1271">
        <v>39</v>
      </c>
      <c r="E1271" t="s">
        <v>6</v>
      </c>
      <c r="F1271" t="s">
        <v>7</v>
      </c>
      <c r="G1271" s="1">
        <f t="shared" si="57"/>
        <v>45199</v>
      </c>
      <c r="H1271">
        <f t="shared" si="58"/>
        <v>7</v>
      </c>
      <c r="I1271">
        <f t="shared" si="59"/>
        <v>1</v>
      </c>
      <c r="J1271">
        <f>IF(Table1[[#This Row],[Active_months]]&gt;=1, 1, 0)</f>
        <v>1</v>
      </c>
    </row>
    <row r="1272" spans="1:10" x14ac:dyDescent="0.3">
      <c r="A1272">
        <v>155508761</v>
      </c>
      <c r="B1272" s="1">
        <v>44975</v>
      </c>
      <c r="D1272">
        <v>39</v>
      </c>
      <c r="E1272" t="s">
        <v>6</v>
      </c>
      <c r="F1272" t="s">
        <v>7</v>
      </c>
      <c r="G1272" s="1">
        <f t="shared" si="57"/>
        <v>45199</v>
      </c>
      <c r="H1272">
        <f t="shared" si="58"/>
        <v>7</v>
      </c>
      <c r="I1272">
        <f t="shared" si="59"/>
        <v>1</v>
      </c>
      <c r="J1272">
        <f>IF(Table1[[#This Row],[Active_months]]&gt;=1, 1, 0)</f>
        <v>1</v>
      </c>
    </row>
    <row r="1273" spans="1:10" x14ac:dyDescent="0.3">
      <c r="A1273">
        <v>168484421</v>
      </c>
      <c r="B1273" s="1">
        <v>44975</v>
      </c>
      <c r="C1273" s="1">
        <v>44975</v>
      </c>
      <c r="D1273">
        <v>39</v>
      </c>
      <c r="E1273" t="s">
        <v>6</v>
      </c>
      <c r="F1273" t="s">
        <v>8</v>
      </c>
      <c r="G1273" s="1">
        <f t="shared" si="57"/>
        <v>44975</v>
      </c>
      <c r="H1273">
        <f t="shared" si="58"/>
        <v>0</v>
      </c>
      <c r="I1273">
        <f t="shared" si="59"/>
        <v>0</v>
      </c>
      <c r="J1273">
        <f>IF(Table1[[#This Row],[Active_months]]&gt;=1, 1, 0)</f>
        <v>0</v>
      </c>
    </row>
    <row r="1274" spans="1:10" x14ac:dyDescent="0.3">
      <c r="A1274">
        <v>130864124</v>
      </c>
      <c r="B1274" s="1">
        <v>44975</v>
      </c>
      <c r="C1274" s="1">
        <v>44976</v>
      </c>
      <c r="D1274">
        <v>39</v>
      </c>
      <c r="E1274" t="s">
        <v>6</v>
      </c>
      <c r="F1274" t="s">
        <v>7</v>
      </c>
      <c r="G1274" s="1">
        <f t="shared" si="57"/>
        <v>44976</v>
      </c>
      <c r="H1274">
        <f t="shared" si="58"/>
        <v>0</v>
      </c>
      <c r="I1274">
        <f t="shared" si="59"/>
        <v>0</v>
      </c>
      <c r="J1274">
        <f>IF(Table1[[#This Row],[Active_months]]&gt;=1, 1, 0)</f>
        <v>0</v>
      </c>
    </row>
    <row r="1275" spans="1:10" x14ac:dyDescent="0.3">
      <c r="A1275">
        <v>204752959</v>
      </c>
      <c r="B1275" s="1">
        <v>44975</v>
      </c>
      <c r="C1275" s="1">
        <v>45102</v>
      </c>
      <c r="D1275">
        <v>39</v>
      </c>
      <c r="E1275" t="s">
        <v>6</v>
      </c>
      <c r="F1275" t="s">
        <v>7</v>
      </c>
      <c r="G1275" s="1">
        <f t="shared" si="57"/>
        <v>45102</v>
      </c>
      <c r="H1275">
        <f t="shared" si="58"/>
        <v>4</v>
      </c>
      <c r="I1275">
        <f t="shared" si="59"/>
        <v>0</v>
      </c>
      <c r="J1275">
        <f>IF(Table1[[#This Row],[Active_months]]&gt;=1, 1, 0)</f>
        <v>1</v>
      </c>
    </row>
    <row r="1276" spans="1:10" x14ac:dyDescent="0.3">
      <c r="A1276">
        <v>204761235</v>
      </c>
      <c r="B1276" s="1">
        <v>44975</v>
      </c>
      <c r="C1276" s="1">
        <v>45063</v>
      </c>
      <c r="D1276">
        <v>39</v>
      </c>
      <c r="E1276" t="s">
        <v>6</v>
      </c>
      <c r="F1276" t="s">
        <v>7</v>
      </c>
      <c r="G1276" s="1">
        <f t="shared" si="57"/>
        <v>45063</v>
      </c>
      <c r="H1276">
        <f t="shared" si="58"/>
        <v>3</v>
      </c>
      <c r="I1276">
        <f t="shared" si="59"/>
        <v>0</v>
      </c>
      <c r="J1276">
        <f>IF(Table1[[#This Row],[Active_months]]&gt;=1, 1, 0)</f>
        <v>1</v>
      </c>
    </row>
    <row r="1277" spans="1:10" x14ac:dyDescent="0.3">
      <c r="A1277">
        <v>159142615</v>
      </c>
      <c r="B1277" s="1">
        <v>44975</v>
      </c>
      <c r="C1277" s="1">
        <v>45074</v>
      </c>
      <c r="D1277">
        <v>39</v>
      </c>
      <c r="E1277" t="s">
        <v>6</v>
      </c>
      <c r="F1277" t="s">
        <v>7</v>
      </c>
      <c r="G1277" s="1">
        <f t="shared" si="57"/>
        <v>45074</v>
      </c>
      <c r="H1277">
        <f t="shared" si="58"/>
        <v>3</v>
      </c>
      <c r="I1277">
        <f t="shared" si="59"/>
        <v>0</v>
      </c>
      <c r="J1277">
        <f>IF(Table1[[#This Row],[Active_months]]&gt;=1, 1, 0)</f>
        <v>1</v>
      </c>
    </row>
    <row r="1278" spans="1:10" x14ac:dyDescent="0.3">
      <c r="A1278">
        <v>204753316</v>
      </c>
      <c r="B1278" s="1">
        <v>44975</v>
      </c>
      <c r="C1278" s="1">
        <v>45010</v>
      </c>
      <c r="D1278">
        <v>39</v>
      </c>
      <c r="E1278" t="s">
        <v>6</v>
      </c>
      <c r="F1278" t="s">
        <v>7</v>
      </c>
      <c r="G1278" s="1">
        <f t="shared" si="57"/>
        <v>45010</v>
      </c>
      <c r="H1278">
        <f t="shared" si="58"/>
        <v>1</v>
      </c>
      <c r="I1278">
        <f t="shared" si="59"/>
        <v>0</v>
      </c>
      <c r="J1278">
        <f>IF(Table1[[#This Row],[Active_months]]&gt;=1, 1, 0)</f>
        <v>1</v>
      </c>
    </row>
    <row r="1279" spans="1:10" x14ac:dyDescent="0.3">
      <c r="A1279">
        <v>195188483</v>
      </c>
      <c r="B1279" s="1">
        <v>44976</v>
      </c>
      <c r="D1279">
        <v>39</v>
      </c>
      <c r="E1279" t="s">
        <v>6</v>
      </c>
      <c r="F1279" t="s">
        <v>7</v>
      </c>
      <c r="G1279" s="1">
        <f t="shared" si="57"/>
        <v>45199</v>
      </c>
      <c r="H1279">
        <f t="shared" si="58"/>
        <v>7</v>
      </c>
      <c r="I1279">
        <f t="shared" si="59"/>
        <v>1</v>
      </c>
      <c r="J1279">
        <f>IF(Table1[[#This Row],[Active_months]]&gt;=1, 1, 0)</f>
        <v>1</v>
      </c>
    </row>
    <row r="1280" spans="1:10" x14ac:dyDescent="0.3">
      <c r="A1280">
        <v>204773056</v>
      </c>
      <c r="B1280" s="1">
        <v>44976</v>
      </c>
      <c r="D1280">
        <v>39</v>
      </c>
      <c r="E1280" t="s">
        <v>6</v>
      </c>
      <c r="F1280" t="s">
        <v>7</v>
      </c>
      <c r="G1280" s="1">
        <f t="shared" si="57"/>
        <v>45199</v>
      </c>
      <c r="H1280">
        <f t="shared" si="58"/>
        <v>7</v>
      </c>
      <c r="I1280">
        <f t="shared" si="59"/>
        <v>1</v>
      </c>
      <c r="J1280">
        <f>IF(Table1[[#This Row],[Active_months]]&gt;=1, 1, 0)</f>
        <v>1</v>
      </c>
    </row>
    <row r="1281" spans="1:10" x14ac:dyDescent="0.3">
      <c r="A1281">
        <v>204814698</v>
      </c>
      <c r="B1281" s="1">
        <v>44976</v>
      </c>
      <c r="C1281" s="1">
        <v>45160</v>
      </c>
      <c r="D1281">
        <v>39</v>
      </c>
      <c r="E1281" t="s">
        <v>6</v>
      </c>
      <c r="F1281" t="s">
        <v>7</v>
      </c>
      <c r="G1281" s="1">
        <f t="shared" si="57"/>
        <v>45160</v>
      </c>
      <c r="H1281">
        <f t="shared" si="58"/>
        <v>6</v>
      </c>
      <c r="I1281">
        <f t="shared" si="59"/>
        <v>1</v>
      </c>
      <c r="J1281">
        <f>IF(Table1[[#This Row],[Active_months]]&gt;=1, 1, 0)</f>
        <v>1</v>
      </c>
    </row>
    <row r="1282" spans="1:10" x14ac:dyDescent="0.3">
      <c r="A1282">
        <v>204732463</v>
      </c>
      <c r="B1282" s="1">
        <v>44976</v>
      </c>
      <c r="C1282" s="1">
        <v>45089</v>
      </c>
      <c r="D1282">
        <v>39</v>
      </c>
      <c r="E1282" t="s">
        <v>6</v>
      </c>
      <c r="F1282" t="s">
        <v>7</v>
      </c>
      <c r="G1282" s="1">
        <f t="shared" si="57"/>
        <v>45089</v>
      </c>
      <c r="H1282">
        <f t="shared" si="58"/>
        <v>4</v>
      </c>
      <c r="I1282">
        <f t="shared" si="59"/>
        <v>0</v>
      </c>
      <c r="J1282">
        <f>IF(Table1[[#This Row],[Active_months]]&gt;=1, 1, 0)</f>
        <v>1</v>
      </c>
    </row>
    <row r="1283" spans="1:10" x14ac:dyDescent="0.3">
      <c r="A1283">
        <v>204772360</v>
      </c>
      <c r="B1283" s="1">
        <v>44976</v>
      </c>
      <c r="C1283" s="1">
        <v>45034</v>
      </c>
      <c r="D1283">
        <v>39</v>
      </c>
      <c r="E1283" t="s">
        <v>6</v>
      </c>
      <c r="F1283" t="s">
        <v>7</v>
      </c>
      <c r="G1283" s="1">
        <f t="shared" ref="G1283:G1346" si="60">IF(ISBLANK(C1283), DATE(2023,9,30), C1283)</f>
        <v>45034</v>
      </c>
      <c r="H1283">
        <f t="shared" ref="H1283:H1346" si="61">(YEAR(G1283)-YEAR(B1283))*12 + (MONTH(G1283)-MONTH(B1283))</f>
        <v>2</v>
      </c>
      <c r="I1283">
        <f t="shared" ref="I1283:I1346" si="62">IF(H1283 &gt;=5, 1, 0)</f>
        <v>0</v>
      </c>
      <c r="J1283">
        <f>IF(Table1[[#This Row],[Active_months]]&gt;=1, 1, 0)</f>
        <v>1</v>
      </c>
    </row>
    <row r="1284" spans="1:10" x14ac:dyDescent="0.3">
      <c r="A1284">
        <v>204812582</v>
      </c>
      <c r="B1284" s="1">
        <v>44976</v>
      </c>
      <c r="C1284" s="1">
        <v>45023</v>
      </c>
      <c r="D1284">
        <v>39</v>
      </c>
      <c r="E1284" t="s">
        <v>6</v>
      </c>
      <c r="F1284" t="s">
        <v>7</v>
      </c>
      <c r="G1284" s="1">
        <f t="shared" si="60"/>
        <v>45023</v>
      </c>
      <c r="H1284">
        <f t="shared" si="61"/>
        <v>2</v>
      </c>
      <c r="I1284">
        <f t="shared" si="62"/>
        <v>0</v>
      </c>
      <c r="J1284">
        <f>IF(Table1[[#This Row],[Active_months]]&gt;=1, 1, 0)</f>
        <v>1</v>
      </c>
    </row>
    <row r="1285" spans="1:10" x14ac:dyDescent="0.3">
      <c r="A1285">
        <v>204662556</v>
      </c>
      <c r="B1285" s="1">
        <v>44976</v>
      </c>
      <c r="C1285" s="1">
        <v>45018</v>
      </c>
      <c r="D1285">
        <v>39</v>
      </c>
      <c r="E1285" t="s">
        <v>6</v>
      </c>
      <c r="F1285" t="s">
        <v>7</v>
      </c>
      <c r="G1285" s="1">
        <f t="shared" si="60"/>
        <v>45018</v>
      </c>
      <c r="H1285">
        <f t="shared" si="61"/>
        <v>2</v>
      </c>
      <c r="I1285">
        <f t="shared" si="62"/>
        <v>0</v>
      </c>
      <c r="J1285">
        <f>IF(Table1[[#This Row],[Active_months]]&gt;=1, 1, 0)</f>
        <v>1</v>
      </c>
    </row>
    <row r="1286" spans="1:10" x14ac:dyDescent="0.3">
      <c r="A1286">
        <v>163781430</v>
      </c>
      <c r="B1286" s="1">
        <v>44976</v>
      </c>
      <c r="C1286" s="1">
        <v>45042</v>
      </c>
      <c r="D1286">
        <v>39</v>
      </c>
      <c r="E1286" t="s">
        <v>6</v>
      </c>
      <c r="F1286" t="s">
        <v>7</v>
      </c>
      <c r="G1286" s="1">
        <f t="shared" si="60"/>
        <v>45042</v>
      </c>
      <c r="H1286">
        <f t="shared" si="61"/>
        <v>2</v>
      </c>
      <c r="I1286">
        <f t="shared" si="62"/>
        <v>0</v>
      </c>
      <c r="J1286">
        <f>IF(Table1[[#This Row],[Active_months]]&gt;=1, 1, 0)</f>
        <v>1</v>
      </c>
    </row>
    <row r="1287" spans="1:10" x14ac:dyDescent="0.3">
      <c r="A1287">
        <v>143963064</v>
      </c>
      <c r="B1287" s="1">
        <v>44976</v>
      </c>
      <c r="C1287" s="1">
        <v>45125</v>
      </c>
      <c r="D1287">
        <v>39</v>
      </c>
      <c r="E1287" t="s">
        <v>6</v>
      </c>
      <c r="F1287" t="s">
        <v>7</v>
      </c>
      <c r="G1287" s="1">
        <f t="shared" si="60"/>
        <v>45125</v>
      </c>
      <c r="H1287">
        <f t="shared" si="61"/>
        <v>5</v>
      </c>
      <c r="I1287">
        <f t="shared" si="62"/>
        <v>1</v>
      </c>
      <c r="J1287">
        <f>IF(Table1[[#This Row],[Active_months]]&gt;=1, 1, 0)</f>
        <v>1</v>
      </c>
    </row>
    <row r="1288" spans="1:10" x14ac:dyDescent="0.3">
      <c r="A1288">
        <v>204797166</v>
      </c>
      <c r="B1288" s="1">
        <v>44976</v>
      </c>
      <c r="C1288" s="1">
        <v>44991</v>
      </c>
      <c r="D1288">
        <v>39</v>
      </c>
      <c r="E1288" t="s">
        <v>6</v>
      </c>
      <c r="F1288" t="s">
        <v>7</v>
      </c>
      <c r="G1288" s="1">
        <f t="shared" si="60"/>
        <v>44991</v>
      </c>
      <c r="H1288">
        <f t="shared" si="61"/>
        <v>1</v>
      </c>
      <c r="I1288">
        <f t="shared" si="62"/>
        <v>0</v>
      </c>
      <c r="J1288">
        <f>IF(Table1[[#This Row],[Active_months]]&gt;=1, 1, 0)</f>
        <v>1</v>
      </c>
    </row>
    <row r="1289" spans="1:10" x14ac:dyDescent="0.3">
      <c r="A1289">
        <v>204774421</v>
      </c>
      <c r="B1289" s="1">
        <v>44976</v>
      </c>
      <c r="C1289" s="1">
        <v>44999</v>
      </c>
      <c r="D1289">
        <v>39</v>
      </c>
      <c r="E1289" t="s">
        <v>6</v>
      </c>
      <c r="F1289" t="s">
        <v>7</v>
      </c>
      <c r="G1289" s="1">
        <f t="shared" si="60"/>
        <v>44999</v>
      </c>
      <c r="H1289">
        <f t="shared" si="61"/>
        <v>1</v>
      </c>
      <c r="I1289">
        <f t="shared" si="62"/>
        <v>0</v>
      </c>
      <c r="J1289">
        <f>IF(Table1[[#This Row],[Active_months]]&gt;=1, 1, 0)</f>
        <v>1</v>
      </c>
    </row>
    <row r="1290" spans="1:10" x14ac:dyDescent="0.3">
      <c r="A1290">
        <v>204801675</v>
      </c>
      <c r="B1290" s="1">
        <v>44976</v>
      </c>
      <c r="C1290" s="1">
        <v>45007</v>
      </c>
      <c r="D1290">
        <v>39</v>
      </c>
      <c r="E1290" t="s">
        <v>6</v>
      </c>
      <c r="F1290" t="s">
        <v>7</v>
      </c>
      <c r="G1290" s="1">
        <f t="shared" si="60"/>
        <v>45007</v>
      </c>
      <c r="H1290">
        <f t="shared" si="61"/>
        <v>1</v>
      </c>
      <c r="I1290">
        <f t="shared" si="62"/>
        <v>0</v>
      </c>
      <c r="J1290">
        <f>IF(Table1[[#This Row],[Active_months]]&gt;=1, 1, 0)</f>
        <v>1</v>
      </c>
    </row>
    <row r="1291" spans="1:10" x14ac:dyDescent="0.3">
      <c r="A1291">
        <v>204518099</v>
      </c>
      <c r="B1291" s="1">
        <v>44976</v>
      </c>
      <c r="C1291" s="1">
        <v>44981</v>
      </c>
      <c r="D1291">
        <v>39</v>
      </c>
      <c r="E1291" t="s">
        <v>6</v>
      </c>
      <c r="F1291" t="s">
        <v>7</v>
      </c>
      <c r="G1291" s="1">
        <f t="shared" si="60"/>
        <v>44981</v>
      </c>
      <c r="H1291">
        <f t="shared" si="61"/>
        <v>0</v>
      </c>
      <c r="I1291">
        <f t="shared" si="62"/>
        <v>0</v>
      </c>
      <c r="J1291">
        <f>IF(Table1[[#This Row],[Active_months]]&gt;=1, 1, 0)</f>
        <v>0</v>
      </c>
    </row>
    <row r="1292" spans="1:10" x14ac:dyDescent="0.3">
      <c r="A1292">
        <v>204814320</v>
      </c>
      <c r="B1292" s="1">
        <v>44977</v>
      </c>
      <c r="D1292">
        <v>39</v>
      </c>
      <c r="E1292" t="s">
        <v>6</v>
      </c>
      <c r="F1292" t="s">
        <v>7</v>
      </c>
      <c r="G1292" s="1">
        <f t="shared" si="60"/>
        <v>45199</v>
      </c>
      <c r="H1292">
        <f t="shared" si="61"/>
        <v>7</v>
      </c>
      <c r="I1292">
        <f t="shared" si="62"/>
        <v>1</v>
      </c>
      <c r="J1292">
        <f>IF(Table1[[#This Row],[Active_months]]&gt;=1, 1, 0)</f>
        <v>1</v>
      </c>
    </row>
    <row r="1293" spans="1:10" x14ac:dyDescent="0.3">
      <c r="A1293">
        <v>126851221</v>
      </c>
      <c r="B1293" s="1">
        <v>44977</v>
      </c>
      <c r="D1293">
        <v>39</v>
      </c>
      <c r="E1293" t="s">
        <v>6</v>
      </c>
      <c r="F1293" t="s">
        <v>7</v>
      </c>
      <c r="G1293" s="1">
        <f t="shared" si="60"/>
        <v>45199</v>
      </c>
      <c r="H1293">
        <f t="shared" si="61"/>
        <v>7</v>
      </c>
      <c r="I1293">
        <f t="shared" si="62"/>
        <v>1</v>
      </c>
      <c r="J1293">
        <f>IF(Table1[[#This Row],[Active_months]]&gt;=1, 1, 0)</f>
        <v>1</v>
      </c>
    </row>
    <row r="1294" spans="1:10" x14ac:dyDescent="0.3">
      <c r="A1294">
        <v>204845935</v>
      </c>
      <c r="B1294" s="1">
        <v>44977</v>
      </c>
      <c r="D1294">
        <v>39</v>
      </c>
      <c r="E1294" t="s">
        <v>6</v>
      </c>
      <c r="F1294" t="s">
        <v>7</v>
      </c>
      <c r="G1294" s="1">
        <f t="shared" si="60"/>
        <v>45199</v>
      </c>
      <c r="H1294">
        <f t="shared" si="61"/>
        <v>7</v>
      </c>
      <c r="I1294">
        <f t="shared" si="62"/>
        <v>1</v>
      </c>
      <c r="J1294">
        <f>IF(Table1[[#This Row],[Active_months]]&gt;=1, 1, 0)</f>
        <v>1</v>
      </c>
    </row>
    <row r="1295" spans="1:10" x14ac:dyDescent="0.3">
      <c r="A1295">
        <v>122215146</v>
      </c>
      <c r="B1295" s="1">
        <v>44977</v>
      </c>
      <c r="C1295" s="1">
        <v>44978</v>
      </c>
      <c r="D1295">
        <v>39</v>
      </c>
      <c r="E1295" t="s">
        <v>6</v>
      </c>
      <c r="F1295" t="s">
        <v>7</v>
      </c>
      <c r="G1295" s="1">
        <f t="shared" si="60"/>
        <v>44978</v>
      </c>
      <c r="H1295">
        <f t="shared" si="61"/>
        <v>0</v>
      </c>
      <c r="I1295">
        <f t="shared" si="62"/>
        <v>0</v>
      </c>
      <c r="J1295">
        <f>IF(Table1[[#This Row],[Active_months]]&gt;=1, 1, 0)</f>
        <v>0</v>
      </c>
    </row>
    <row r="1296" spans="1:10" x14ac:dyDescent="0.3">
      <c r="A1296">
        <v>147300748</v>
      </c>
      <c r="B1296" s="1">
        <v>44977</v>
      </c>
      <c r="C1296" s="1">
        <v>45119</v>
      </c>
      <c r="D1296">
        <v>39</v>
      </c>
      <c r="E1296" t="s">
        <v>6</v>
      </c>
      <c r="F1296" t="s">
        <v>7</v>
      </c>
      <c r="G1296" s="1">
        <f t="shared" si="60"/>
        <v>45119</v>
      </c>
      <c r="H1296">
        <f t="shared" si="61"/>
        <v>5</v>
      </c>
      <c r="I1296">
        <f t="shared" si="62"/>
        <v>1</v>
      </c>
      <c r="J1296">
        <f>IF(Table1[[#This Row],[Active_months]]&gt;=1, 1, 0)</f>
        <v>1</v>
      </c>
    </row>
    <row r="1297" spans="1:10" x14ac:dyDescent="0.3">
      <c r="A1297">
        <v>162596645</v>
      </c>
      <c r="B1297" s="1">
        <v>44977</v>
      </c>
      <c r="C1297" s="1">
        <v>45105</v>
      </c>
      <c r="D1297">
        <v>39</v>
      </c>
      <c r="E1297" t="s">
        <v>6</v>
      </c>
      <c r="F1297" t="s">
        <v>7</v>
      </c>
      <c r="G1297" s="1">
        <f t="shared" si="60"/>
        <v>45105</v>
      </c>
      <c r="H1297">
        <f t="shared" si="61"/>
        <v>4</v>
      </c>
      <c r="I1297">
        <f t="shared" si="62"/>
        <v>0</v>
      </c>
      <c r="J1297">
        <f>IF(Table1[[#This Row],[Active_months]]&gt;=1, 1, 0)</f>
        <v>1</v>
      </c>
    </row>
    <row r="1298" spans="1:10" x14ac:dyDescent="0.3">
      <c r="A1298">
        <v>177666771</v>
      </c>
      <c r="B1298" s="1">
        <v>44977</v>
      </c>
      <c r="C1298" s="1">
        <v>45089</v>
      </c>
      <c r="D1298">
        <v>39</v>
      </c>
      <c r="E1298" t="s">
        <v>6</v>
      </c>
      <c r="F1298" t="s">
        <v>7</v>
      </c>
      <c r="G1298" s="1">
        <f t="shared" si="60"/>
        <v>45089</v>
      </c>
      <c r="H1298">
        <f t="shared" si="61"/>
        <v>4</v>
      </c>
      <c r="I1298">
        <f t="shared" si="62"/>
        <v>0</v>
      </c>
      <c r="J1298">
        <f>IF(Table1[[#This Row],[Active_months]]&gt;=1, 1, 0)</f>
        <v>1</v>
      </c>
    </row>
    <row r="1299" spans="1:10" x14ac:dyDescent="0.3">
      <c r="A1299">
        <v>204884248</v>
      </c>
      <c r="B1299" s="1">
        <v>44977</v>
      </c>
      <c r="C1299" s="1">
        <v>45048</v>
      </c>
      <c r="D1299">
        <v>39</v>
      </c>
      <c r="E1299" t="s">
        <v>6</v>
      </c>
      <c r="F1299" t="s">
        <v>7</v>
      </c>
      <c r="G1299" s="1">
        <f t="shared" si="60"/>
        <v>45048</v>
      </c>
      <c r="H1299">
        <f t="shared" si="61"/>
        <v>3</v>
      </c>
      <c r="I1299">
        <f t="shared" si="62"/>
        <v>0</v>
      </c>
      <c r="J1299">
        <f>IF(Table1[[#This Row],[Active_months]]&gt;=1, 1, 0)</f>
        <v>1</v>
      </c>
    </row>
    <row r="1300" spans="1:10" x14ac:dyDescent="0.3">
      <c r="A1300">
        <v>204826054</v>
      </c>
      <c r="B1300" s="1">
        <v>44977</v>
      </c>
      <c r="C1300" s="1">
        <v>45077</v>
      </c>
      <c r="D1300">
        <v>39</v>
      </c>
      <c r="E1300" t="s">
        <v>6</v>
      </c>
      <c r="F1300" t="s">
        <v>7</v>
      </c>
      <c r="G1300" s="1">
        <f t="shared" si="60"/>
        <v>45077</v>
      </c>
      <c r="H1300">
        <f t="shared" si="61"/>
        <v>3</v>
      </c>
      <c r="I1300">
        <f t="shared" si="62"/>
        <v>0</v>
      </c>
      <c r="J1300">
        <f>IF(Table1[[#This Row],[Active_months]]&gt;=1, 1, 0)</f>
        <v>1</v>
      </c>
    </row>
    <row r="1301" spans="1:10" x14ac:dyDescent="0.3">
      <c r="A1301">
        <v>145096572</v>
      </c>
      <c r="B1301" s="1">
        <v>44977</v>
      </c>
      <c r="C1301" s="1">
        <v>44999</v>
      </c>
      <c r="D1301">
        <v>39</v>
      </c>
      <c r="E1301" t="s">
        <v>6</v>
      </c>
      <c r="F1301" t="s">
        <v>7</v>
      </c>
      <c r="G1301" s="1">
        <f t="shared" si="60"/>
        <v>44999</v>
      </c>
      <c r="H1301">
        <f t="shared" si="61"/>
        <v>1</v>
      </c>
      <c r="I1301">
        <f t="shared" si="62"/>
        <v>0</v>
      </c>
      <c r="J1301">
        <f>IF(Table1[[#This Row],[Active_months]]&gt;=1, 1, 0)</f>
        <v>1</v>
      </c>
    </row>
    <row r="1302" spans="1:10" x14ac:dyDescent="0.3">
      <c r="A1302">
        <v>158472404</v>
      </c>
      <c r="B1302" s="1">
        <v>44977</v>
      </c>
      <c r="C1302" s="1">
        <v>44995</v>
      </c>
      <c r="D1302">
        <v>39</v>
      </c>
      <c r="E1302" t="s">
        <v>6</v>
      </c>
      <c r="F1302" t="s">
        <v>7</v>
      </c>
      <c r="G1302" s="1">
        <f t="shared" si="60"/>
        <v>44995</v>
      </c>
      <c r="H1302">
        <f t="shared" si="61"/>
        <v>1</v>
      </c>
      <c r="I1302">
        <f t="shared" si="62"/>
        <v>0</v>
      </c>
      <c r="J1302">
        <f>IF(Table1[[#This Row],[Active_months]]&gt;=1, 1, 0)</f>
        <v>1</v>
      </c>
    </row>
    <row r="1303" spans="1:10" x14ac:dyDescent="0.3">
      <c r="A1303">
        <v>204907118</v>
      </c>
      <c r="B1303" s="1">
        <v>44977</v>
      </c>
      <c r="C1303" s="1">
        <v>45026</v>
      </c>
      <c r="D1303">
        <v>39</v>
      </c>
      <c r="E1303" t="s">
        <v>6</v>
      </c>
      <c r="F1303" t="s">
        <v>7</v>
      </c>
      <c r="G1303" s="1">
        <f t="shared" si="60"/>
        <v>45026</v>
      </c>
      <c r="H1303">
        <f t="shared" si="61"/>
        <v>2</v>
      </c>
      <c r="I1303">
        <f t="shared" si="62"/>
        <v>0</v>
      </c>
      <c r="J1303">
        <f>IF(Table1[[#This Row],[Active_months]]&gt;=1, 1, 0)</f>
        <v>1</v>
      </c>
    </row>
    <row r="1304" spans="1:10" x14ac:dyDescent="0.3">
      <c r="A1304">
        <v>204602410</v>
      </c>
      <c r="B1304" s="1">
        <v>44977</v>
      </c>
      <c r="C1304" s="1">
        <v>45005</v>
      </c>
      <c r="D1304">
        <v>39</v>
      </c>
      <c r="E1304" t="s">
        <v>6</v>
      </c>
      <c r="F1304" t="s">
        <v>7</v>
      </c>
      <c r="G1304" s="1">
        <f t="shared" si="60"/>
        <v>45005</v>
      </c>
      <c r="H1304">
        <f t="shared" si="61"/>
        <v>1</v>
      </c>
      <c r="I1304">
        <f t="shared" si="62"/>
        <v>0</v>
      </c>
      <c r="J1304">
        <f>IF(Table1[[#This Row],[Active_months]]&gt;=1, 1, 0)</f>
        <v>1</v>
      </c>
    </row>
    <row r="1305" spans="1:10" x14ac:dyDescent="0.3">
      <c r="A1305">
        <v>204853460</v>
      </c>
      <c r="B1305" s="1">
        <v>44977</v>
      </c>
      <c r="C1305" s="1">
        <v>45126</v>
      </c>
      <c r="D1305">
        <v>39</v>
      </c>
      <c r="E1305" t="s">
        <v>6</v>
      </c>
      <c r="F1305" t="s">
        <v>7</v>
      </c>
      <c r="G1305" s="1">
        <f t="shared" si="60"/>
        <v>45126</v>
      </c>
      <c r="H1305">
        <f t="shared" si="61"/>
        <v>5</v>
      </c>
      <c r="I1305">
        <f t="shared" si="62"/>
        <v>1</v>
      </c>
      <c r="J1305">
        <f>IF(Table1[[#This Row],[Active_months]]&gt;=1, 1, 0)</f>
        <v>1</v>
      </c>
    </row>
    <row r="1306" spans="1:10" x14ac:dyDescent="0.3">
      <c r="A1306">
        <v>194310997</v>
      </c>
      <c r="B1306" s="1">
        <v>44977</v>
      </c>
      <c r="C1306" s="1">
        <v>45124</v>
      </c>
      <c r="D1306">
        <v>39</v>
      </c>
      <c r="E1306" t="s">
        <v>6</v>
      </c>
      <c r="F1306" t="s">
        <v>7</v>
      </c>
      <c r="G1306" s="1">
        <f t="shared" si="60"/>
        <v>45124</v>
      </c>
      <c r="H1306">
        <f t="shared" si="61"/>
        <v>5</v>
      </c>
      <c r="I1306">
        <f t="shared" si="62"/>
        <v>1</v>
      </c>
      <c r="J1306">
        <f>IF(Table1[[#This Row],[Active_months]]&gt;=1, 1, 0)</f>
        <v>1</v>
      </c>
    </row>
    <row r="1307" spans="1:10" x14ac:dyDescent="0.3">
      <c r="A1307">
        <v>204902258</v>
      </c>
      <c r="B1307" s="1">
        <v>44978</v>
      </c>
      <c r="D1307">
        <v>39</v>
      </c>
      <c r="E1307" t="s">
        <v>6</v>
      </c>
      <c r="F1307" t="s">
        <v>7</v>
      </c>
      <c r="G1307" s="1">
        <f t="shared" si="60"/>
        <v>45199</v>
      </c>
      <c r="H1307">
        <f t="shared" si="61"/>
        <v>7</v>
      </c>
      <c r="I1307">
        <f t="shared" si="62"/>
        <v>1</v>
      </c>
      <c r="J1307">
        <f>IF(Table1[[#This Row],[Active_months]]&gt;=1, 1, 0)</f>
        <v>1</v>
      </c>
    </row>
    <row r="1308" spans="1:10" x14ac:dyDescent="0.3">
      <c r="A1308">
        <v>162865034</v>
      </c>
      <c r="B1308" s="1">
        <v>44978</v>
      </c>
      <c r="C1308" s="1">
        <v>45013</v>
      </c>
      <c r="D1308">
        <v>39</v>
      </c>
      <c r="E1308" t="s">
        <v>6</v>
      </c>
      <c r="F1308" t="s">
        <v>7</v>
      </c>
      <c r="G1308" s="1">
        <f t="shared" si="60"/>
        <v>45013</v>
      </c>
      <c r="H1308">
        <f t="shared" si="61"/>
        <v>1</v>
      </c>
      <c r="I1308">
        <f t="shared" si="62"/>
        <v>0</v>
      </c>
      <c r="J1308">
        <f>IF(Table1[[#This Row],[Active_months]]&gt;=1, 1, 0)</f>
        <v>1</v>
      </c>
    </row>
    <row r="1309" spans="1:10" x14ac:dyDescent="0.3">
      <c r="A1309">
        <v>204467695</v>
      </c>
      <c r="B1309" s="1">
        <v>44978</v>
      </c>
      <c r="C1309" s="1">
        <v>45055</v>
      </c>
      <c r="D1309">
        <v>39</v>
      </c>
      <c r="E1309" t="s">
        <v>6</v>
      </c>
      <c r="F1309" t="s">
        <v>7</v>
      </c>
      <c r="G1309" s="1">
        <f t="shared" si="60"/>
        <v>45055</v>
      </c>
      <c r="H1309">
        <f t="shared" si="61"/>
        <v>3</v>
      </c>
      <c r="I1309">
        <f t="shared" si="62"/>
        <v>0</v>
      </c>
      <c r="J1309">
        <f>IF(Table1[[#This Row],[Active_months]]&gt;=1, 1, 0)</f>
        <v>1</v>
      </c>
    </row>
    <row r="1310" spans="1:10" x14ac:dyDescent="0.3">
      <c r="A1310">
        <v>204774193</v>
      </c>
      <c r="B1310" s="1">
        <v>44978</v>
      </c>
      <c r="C1310" s="1">
        <v>45076</v>
      </c>
      <c r="D1310">
        <v>39</v>
      </c>
      <c r="E1310" t="s">
        <v>6</v>
      </c>
      <c r="F1310" t="s">
        <v>7</v>
      </c>
      <c r="G1310" s="1">
        <f t="shared" si="60"/>
        <v>45076</v>
      </c>
      <c r="H1310">
        <f t="shared" si="61"/>
        <v>3</v>
      </c>
      <c r="I1310">
        <f t="shared" si="62"/>
        <v>0</v>
      </c>
      <c r="J1310">
        <f>IF(Table1[[#This Row],[Active_months]]&gt;=1, 1, 0)</f>
        <v>1</v>
      </c>
    </row>
    <row r="1311" spans="1:10" x14ac:dyDescent="0.3">
      <c r="A1311">
        <v>189046085</v>
      </c>
      <c r="B1311" s="1">
        <v>44978</v>
      </c>
      <c r="C1311" s="1">
        <v>45064</v>
      </c>
      <c r="D1311">
        <v>39</v>
      </c>
      <c r="E1311" t="s">
        <v>6</v>
      </c>
      <c r="F1311" t="s">
        <v>7</v>
      </c>
      <c r="G1311" s="1">
        <f t="shared" si="60"/>
        <v>45064</v>
      </c>
      <c r="H1311">
        <f t="shared" si="61"/>
        <v>3</v>
      </c>
      <c r="I1311">
        <f t="shared" si="62"/>
        <v>0</v>
      </c>
      <c r="J1311">
        <f>IF(Table1[[#This Row],[Active_months]]&gt;=1, 1, 0)</f>
        <v>1</v>
      </c>
    </row>
    <row r="1312" spans="1:10" x14ac:dyDescent="0.3">
      <c r="A1312">
        <v>188082436</v>
      </c>
      <c r="B1312" s="1">
        <v>44978</v>
      </c>
      <c r="C1312" s="1">
        <v>45020</v>
      </c>
      <c r="D1312">
        <v>39</v>
      </c>
      <c r="E1312" t="s">
        <v>6</v>
      </c>
      <c r="F1312" t="s">
        <v>7</v>
      </c>
      <c r="G1312" s="1">
        <f t="shared" si="60"/>
        <v>45020</v>
      </c>
      <c r="H1312">
        <f t="shared" si="61"/>
        <v>2</v>
      </c>
      <c r="I1312">
        <f t="shared" si="62"/>
        <v>0</v>
      </c>
      <c r="J1312">
        <f>IF(Table1[[#This Row],[Active_months]]&gt;=1, 1, 0)</f>
        <v>1</v>
      </c>
    </row>
    <row r="1313" spans="1:10" x14ac:dyDescent="0.3">
      <c r="A1313">
        <v>204947361</v>
      </c>
      <c r="B1313" s="1">
        <v>44978</v>
      </c>
      <c r="C1313" s="1">
        <v>45021</v>
      </c>
      <c r="D1313">
        <v>39</v>
      </c>
      <c r="E1313" t="s">
        <v>6</v>
      </c>
      <c r="F1313" t="s">
        <v>7</v>
      </c>
      <c r="G1313" s="1">
        <f t="shared" si="60"/>
        <v>45021</v>
      </c>
      <c r="H1313">
        <f t="shared" si="61"/>
        <v>2</v>
      </c>
      <c r="I1313">
        <f t="shared" si="62"/>
        <v>0</v>
      </c>
      <c r="J1313">
        <f>IF(Table1[[#This Row],[Active_months]]&gt;=1, 1, 0)</f>
        <v>1</v>
      </c>
    </row>
    <row r="1314" spans="1:10" x14ac:dyDescent="0.3">
      <c r="A1314">
        <v>158852962</v>
      </c>
      <c r="B1314" s="1">
        <v>44978</v>
      </c>
      <c r="C1314" s="1">
        <v>45030</v>
      </c>
      <c r="D1314">
        <v>39</v>
      </c>
      <c r="E1314" t="s">
        <v>6</v>
      </c>
      <c r="F1314" t="s">
        <v>7</v>
      </c>
      <c r="G1314" s="1">
        <f t="shared" si="60"/>
        <v>45030</v>
      </c>
      <c r="H1314">
        <f t="shared" si="61"/>
        <v>2</v>
      </c>
      <c r="I1314">
        <f t="shared" si="62"/>
        <v>0</v>
      </c>
      <c r="J1314">
        <f>IF(Table1[[#This Row],[Active_months]]&gt;=1, 1, 0)</f>
        <v>1</v>
      </c>
    </row>
    <row r="1315" spans="1:10" x14ac:dyDescent="0.3">
      <c r="A1315">
        <v>204742960</v>
      </c>
      <c r="B1315" s="1">
        <v>44978</v>
      </c>
      <c r="C1315" s="1">
        <v>44991</v>
      </c>
      <c r="D1315">
        <v>39</v>
      </c>
      <c r="E1315" t="s">
        <v>6</v>
      </c>
      <c r="F1315" t="s">
        <v>7</v>
      </c>
      <c r="G1315" s="1">
        <f t="shared" si="60"/>
        <v>44991</v>
      </c>
      <c r="H1315">
        <f t="shared" si="61"/>
        <v>1</v>
      </c>
      <c r="I1315">
        <f t="shared" si="62"/>
        <v>0</v>
      </c>
      <c r="J1315">
        <f>IF(Table1[[#This Row],[Active_months]]&gt;=1, 1, 0)</f>
        <v>1</v>
      </c>
    </row>
    <row r="1316" spans="1:10" x14ac:dyDescent="0.3">
      <c r="A1316">
        <v>204726042</v>
      </c>
      <c r="B1316" s="1">
        <v>44978</v>
      </c>
      <c r="C1316" s="1">
        <v>45002</v>
      </c>
      <c r="D1316">
        <v>39</v>
      </c>
      <c r="E1316" t="s">
        <v>6</v>
      </c>
      <c r="F1316" t="s">
        <v>7</v>
      </c>
      <c r="G1316" s="1">
        <f t="shared" si="60"/>
        <v>45002</v>
      </c>
      <c r="H1316">
        <f t="shared" si="61"/>
        <v>1</v>
      </c>
      <c r="I1316">
        <f t="shared" si="62"/>
        <v>0</v>
      </c>
      <c r="J1316">
        <f>IF(Table1[[#This Row],[Active_months]]&gt;=1, 1, 0)</f>
        <v>1</v>
      </c>
    </row>
    <row r="1317" spans="1:10" x14ac:dyDescent="0.3">
      <c r="A1317">
        <v>204997225</v>
      </c>
      <c r="B1317" s="1">
        <v>44979</v>
      </c>
      <c r="D1317">
        <v>39</v>
      </c>
      <c r="E1317" t="s">
        <v>6</v>
      </c>
      <c r="F1317" t="s">
        <v>7</v>
      </c>
      <c r="G1317" s="1">
        <f t="shared" si="60"/>
        <v>45199</v>
      </c>
      <c r="H1317">
        <f t="shared" si="61"/>
        <v>7</v>
      </c>
      <c r="I1317">
        <f t="shared" si="62"/>
        <v>1</v>
      </c>
      <c r="J1317">
        <f>IF(Table1[[#This Row],[Active_months]]&gt;=1, 1, 0)</f>
        <v>1</v>
      </c>
    </row>
    <row r="1318" spans="1:10" x14ac:dyDescent="0.3">
      <c r="A1318">
        <v>126103612</v>
      </c>
      <c r="B1318" s="1">
        <v>44979</v>
      </c>
      <c r="D1318">
        <v>39</v>
      </c>
      <c r="E1318" t="s">
        <v>6</v>
      </c>
      <c r="F1318" t="s">
        <v>7</v>
      </c>
      <c r="G1318" s="1">
        <f t="shared" si="60"/>
        <v>45199</v>
      </c>
      <c r="H1318">
        <f t="shared" si="61"/>
        <v>7</v>
      </c>
      <c r="I1318">
        <f t="shared" si="62"/>
        <v>1</v>
      </c>
      <c r="J1318">
        <f>IF(Table1[[#This Row],[Active_months]]&gt;=1, 1, 0)</f>
        <v>1</v>
      </c>
    </row>
    <row r="1319" spans="1:10" x14ac:dyDescent="0.3">
      <c r="A1319">
        <v>204934860</v>
      </c>
      <c r="B1319" s="1">
        <v>44979</v>
      </c>
      <c r="C1319" s="1">
        <v>44980</v>
      </c>
      <c r="D1319">
        <v>39</v>
      </c>
      <c r="E1319" t="s">
        <v>6</v>
      </c>
      <c r="F1319" t="s">
        <v>8</v>
      </c>
      <c r="G1319" s="1">
        <f t="shared" si="60"/>
        <v>44980</v>
      </c>
      <c r="H1319">
        <f t="shared" si="61"/>
        <v>0</v>
      </c>
      <c r="I1319">
        <f t="shared" si="62"/>
        <v>0</v>
      </c>
      <c r="J1319">
        <f>IF(Table1[[#This Row],[Active_months]]&gt;=1, 1, 0)</f>
        <v>0</v>
      </c>
    </row>
    <row r="1320" spans="1:10" x14ac:dyDescent="0.3">
      <c r="A1320">
        <v>197086298</v>
      </c>
      <c r="B1320" s="1">
        <v>44979</v>
      </c>
      <c r="C1320" s="1">
        <v>45048</v>
      </c>
      <c r="D1320">
        <v>39</v>
      </c>
      <c r="E1320" t="s">
        <v>6</v>
      </c>
      <c r="F1320" t="s">
        <v>7</v>
      </c>
      <c r="G1320" s="1">
        <f t="shared" si="60"/>
        <v>45048</v>
      </c>
      <c r="H1320">
        <f t="shared" si="61"/>
        <v>3</v>
      </c>
      <c r="I1320">
        <f t="shared" si="62"/>
        <v>0</v>
      </c>
      <c r="J1320">
        <f>IF(Table1[[#This Row],[Active_months]]&gt;=1, 1, 0)</f>
        <v>1</v>
      </c>
    </row>
    <row r="1321" spans="1:10" x14ac:dyDescent="0.3">
      <c r="A1321">
        <v>204732760</v>
      </c>
      <c r="B1321" s="1">
        <v>44979</v>
      </c>
      <c r="C1321" s="1">
        <v>45037</v>
      </c>
      <c r="D1321">
        <v>39</v>
      </c>
      <c r="E1321" t="s">
        <v>6</v>
      </c>
      <c r="F1321" t="s">
        <v>7</v>
      </c>
      <c r="G1321" s="1">
        <f t="shared" si="60"/>
        <v>45037</v>
      </c>
      <c r="H1321">
        <f t="shared" si="61"/>
        <v>2</v>
      </c>
      <c r="I1321">
        <f t="shared" si="62"/>
        <v>0</v>
      </c>
      <c r="J1321">
        <f>IF(Table1[[#This Row],[Active_months]]&gt;=1, 1, 0)</f>
        <v>1</v>
      </c>
    </row>
    <row r="1322" spans="1:10" x14ac:dyDescent="0.3">
      <c r="A1322">
        <v>204985175</v>
      </c>
      <c r="B1322" s="1">
        <v>44979</v>
      </c>
      <c r="C1322" s="1">
        <v>45029</v>
      </c>
      <c r="D1322">
        <v>39</v>
      </c>
      <c r="E1322" t="s">
        <v>6</v>
      </c>
      <c r="F1322" t="s">
        <v>7</v>
      </c>
      <c r="G1322" s="1">
        <f t="shared" si="60"/>
        <v>45029</v>
      </c>
      <c r="H1322">
        <f t="shared" si="61"/>
        <v>2</v>
      </c>
      <c r="I1322">
        <f t="shared" si="62"/>
        <v>0</v>
      </c>
      <c r="J1322">
        <f>IF(Table1[[#This Row],[Active_months]]&gt;=1, 1, 0)</f>
        <v>1</v>
      </c>
    </row>
    <row r="1323" spans="1:10" x14ac:dyDescent="0.3">
      <c r="A1323">
        <v>189387698</v>
      </c>
      <c r="B1323" s="1">
        <v>44979</v>
      </c>
      <c r="C1323" s="1">
        <v>45023</v>
      </c>
      <c r="D1323">
        <v>39</v>
      </c>
      <c r="E1323" t="s">
        <v>6</v>
      </c>
      <c r="F1323" t="s">
        <v>7</v>
      </c>
      <c r="G1323" s="1">
        <f t="shared" si="60"/>
        <v>45023</v>
      </c>
      <c r="H1323">
        <f t="shared" si="61"/>
        <v>2</v>
      </c>
      <c r="I1323">
        <f t="shared" si="62"/>
        <v>0</v>
      </c>
      <c r="J1323">
        <f>IF(Table1[[#This Row],[Active_months]]&gt;=1, 1, 0)</f>
        <v>1</v>
      </c>
    </row>
    <row r="1324" spans="1:10" x14ac:dyDescent="0.3">
      <c r="A1324">
        <v>144160302</v>
      </c>
      <c r="B1324" s="1">
        <v>44979</v>
      </c>
      <c r="C1324" s="1">
        <v>45022</v>
      </c>
      <c r="D1324">
        <v>39</v>
      </c>
      <c r="E1324" t="s">
        <v>6</v>
      </c>
      <c r="F1324" t="s">
        <v>7</v>
      </c>
      <c r="G1324" s="1">
        <f t="shared" si="60"/>
        <v>45022</v>
      </c>
      <c r="H1324">
        <f t="shared" si="61"/>
        <v>2</v>
      </c>
      <c r="I1324">
        <f t="shared" si="62"/>
        <v>0</v>
      </c>
      <c r="J1324">
        <f>IF(Table1[[#This Row],[Active_months]]&gt;=1, 1, 0)</f>
        <v>1</v>
      </c>
    </row>
    <row r="1325" spans="1:10" x14ac:dyDescent="0.3">
      <c r="A1325">
        <v>195774465</v>
      </c>
      <c r="B1325" s="1">
        <v>44979</v>
      </c>
      <c r="C1325" s="1">
        <v>45045</v>
      </c>
      <c r="D1325">
        <v>39</v>
      </c>
      <c r="E1325" t="s">
        <v>6</v>
      </c>
      <c r="F1325" t="s">
        <v>7</v>
      </c>
      <c r="G1325" s="1">
        <f t="shared" si="60"/>
        <v>45045</v>
      </c>
      <c r="H1325">
        <f t="shared" si="61"/>
        <v>2</v>
      </c>
      <c r="I1325">
        <f t="shared" si="62"/>
        <v>0</v>
      </c>
      <c r="J1325">
        <f>IF(Table1[[#This Row],[Active_months]]&gt;=1, 1, 0)</f>
        <v>1</v>
      </c>
    </row>
    <row r="1326" spans="1:10" x14ac:dyDescent="0.3">
      <c r="A1326">
        <v>204890622</v>
      </c>
      <c r="B1326" s="1">
        <v>44979</v>
      </c>
      <c r="C1326" s="1">
        <v>45003</v>
      </c>
      <c r="D1326">
        <v>39</v>
      </c>
      <c r="E1326" t="s">
        <v>6</v>
      </c>
      <c r="F1326" t="s">
        <v>7</v>
      </c>
      <c r="G1326" s="1">
        <f t="shared" si="60"/>
        <v>45003</v>
      </c>
      <c r="H1326">
        <f t="shared" si="61"/>
        <v>1</v>
      </c>
      <c r="I1326">
        <f t="shared" si="62"/>
        <v>0</v>
      </c>
      <c r="J1326">
        <f>IF(Table1[[#This Row],[Active_months]]&gt;=1, 1, 0)</f>
        <v>1</v>
      </c>
    </row>
    <row r="1327" spans="1:10" x14ac:dyDescent="0.3">
      <c r="A1327">
        <v>204206841</v>
      </c>
      <c r="B1327" s="1">
        <v>44979</v>
      </c>
      <c r="C1327" s="1">
        <v>44993</v>
      </c>
      <c r="D1327">
        <v>39</v>
      </c>
      <c r="E1327" t="s">
        <v>6</v>
      </c>
      <c r="F1327" t="s">
        <v>7</v>
      </c>
      <c r="G1327" s="1">
        <f t="shared" si="60"/>
        <v>44993</v>
      </c>
      <c r="H1327">
        <f t="shared" si="61"/>
        <v>1</v>
      </c>
      <c r="I1327">
        <f t="shared" si="62"/>
        <v>0</v>
      </c>
      <c r="J1327">
        <f>IF(Table1[[#This Row],[Active_months]]&gt;=1, 1, 0)</f>
        <v>1</v>
      </c>
    </row>
    <row r="1328" spans="1:10" x14ac:dyDescent="0.3">
      <c r="A1328">
        <v>204955216</v>
      </c>
      <c r="B1328" s="1">
        <v>44979</v>
      </c>
      <c r="C1328" s="1">
        <v>45005</v>
      </c>
      <c r="D1328">
        <v>39</v>
      </c>
      <c r="E1328" t="s">
        <v>6</v>
      </c>
      <c r="F1328" t="s">
        <v>7</v>
      </c>
      <c r="G1328" s="1">
        <f t="shared" si="60"/>
        <v>45005</v>
      </c>
      <c r="H1328">
        <f t="shared" si="61"/>
        <v>1</v>
      </c>
      <c r="I1328">
        <f t="shared" si="62"/>
        <v>0</v>
      </c>
      <c r="J1328">
        <f>IF(Table1[[#This Row],[Active_months]]&gt;=1, 1, 0)</f>
        <v>1</v>
      </c>
    </row>
    <row r="1329" spans="1:10" x14ac:dyDescent="0.3">
      <c r="A1329">
        <v>204992891</v>
      </c>
      <c r="B1329" s="1">
        <v>44979</v>
      </c>
      <c r="C1329" s="1">
        <v>45141</v>
      </c>
      <c r="D1329">
        <v>39</v>
      </c>
      <c r="E1329" t="s">
        <v>6</v>
      </c>
      <c r="F1329" t="s">
        <v>7</v>
      </c>
      <c r="G1329" s="1">
        <f t="shared" si="60"/>
        <v>45141</v>
      </c>
      <c r="H1329">
        <f t="shared" si="61"/>
        <v>6</v>
      </c>
      <c r="I1329">
        <f t="shared" si="62"/>
        <v>1</v>
      </c>
      <c r="J1329">
        <f>IF(Table1[[#This Row],[Active_months]]&gt;=1, 1, 0)</f>
        <v>1</v>
      </c>
    </row>
    <row r="1330" spans="1:10" x14ac:dyDescent="0.3">
      <c r="A1330">
        <v>139152786</v>
      </c>
      <c r="B1330" s="1">
        <v>44980</v>
      </c>
      <c r="D1330">
        <v>39</v>
      </c>
      <c r="E1330" t="s">
        <v>6</v>
      </c>
      <c r="F1330" t="s">
        <v>7</v>
      </c>
      <c r="G1330" s="1">
        <f t="shared" si="60"/>
        <v>45199</v>
      </c>
      <c r="H1330">
        <f t="shared" si="61"/>
        <v>7</v>
      </c>
      <c r="I1330">
        <f t="shared" si="62"/>
        <v>1</v>
      </c>
      <c r="J1330">
        <f>IF(Table1[[#This Row],[Active_months]]&gt;=1, 1, 0)</f>
        <v>1</v>
      </c>
    </row>
    <row r="1331" spans="1:10" x14ac:dyDescent="0.3">
      <c r="A1331">
        <v>204753108</v>
      </c>
      <c r="B1331" s="1">
        <v>44980</v>
      </c>
      <c r="D1331">
        <v>39</v>
      </c>
      <c r="E1331" t="s">
        <v>6</v>
      </c>
      <c r="F1331" t="s">
        <v>7</v>
      </c>
      <c r="G1331" s="1">
        <f t="shared" si="60"/>
        <v>45199</v>
      </c>
      <c r="H1331">
        <f t="shared" si="61"/>
        <v>7</v>
      </c>
      <c r="I1331">
        <f t="shared" si="62"/>
        <v>1</v>
      </c>
      <c r="J1331">
        <f>IF(Table1[[#This Row],[Active_months]]&gt;=1, 1, 0)</f>
        <v>1</v>
      </c>
    </row>
    <row r="1332" spans="1:10" x14ac:dyDescent="0.3">
      <c r="A1332">
        <v>136703646</v>
      </c>
      <c r="B1332" s="1">
        <v>44980</v>
      </c>
      <c r="C1332" s="1">
        <v>45023</v>
      </c>
      <c r="D1332">
        <v>39</v>
      </c>
      <c r="E1332" t="s">
        <v>6</v>
      </c>
      <c r="F1332" t="s">
        <v>7</v>
      </c>
      <c r="G1332" s="1">
        <f t="shared" si="60"/>
        <v>45023</v>
      </c>
      <c r="H1332">
        <f t="shared" si="61"/>
        <v>2</v>
      </c>
      <c r="I1332">
        <f t="shared" si="62"/>
        <v>0</v>
      </c>
      <c r="J1332">
        <f>IF(Table1[[#This Row],[Active_months]]&gt;=1, 1, 0)</f>
        <v>1</v>
      </c>
    </row>
    <row r="1333" spans="1:10" x14ac:dyDescent="0.3">
      <c r="A1333">
        <v>204294672</v>
      </c>
      <c r="B1333" s="1">
        <v>44980</v>
      </c>
      <c r="C1333" s="1">
        <v>45077</v>
      </c>
      <c r="D1333">
        <v>39</v>
      </c>
      <c r="E1333" t="s">
        <v>6</v>
      </c>
      <c r="F1333" t="s">
        <v>7</v>
      </c>
      <c r="G1333" s="1">
        <f t="shared" si="60"/>
        <v>45077</v>
      </c>
      <c r="H1333">
        <f t="shared" si="61"/>
        <v>3</v>
      </c>
      <c r="I1333">
        <f t="shared" si="62"/>
        <v>0</v>
      </c>
      <c r="J1333">
        <f>IF(Table1[[#This Row],[Active_months]]&gt;=1, 1, 0)</f>
        <v>1</v>
      </c>
    </row>
    <row r="1334" spans="1:10" x14ac:dyDescent="0.3">
      <c r="A1334">
        <v>189505981</v>
      </c>
      <c r="B1334" s="1">
        <v>44980</v>
      </c>
      <c r="C1334" s="1">
        <v>45046</v>
      </c>
      <c r="D1334">
        <v>39</v>
      </c>
      <c r="E1334" t="s">
        <v>6</v>
      </c>
      <c r="F1334" t="s">
        <v>7</v>
      </c>
      <c r="G1334" s="1">
        <f t="shared" si="60"/>
        <v>45046</v>
      </c>
      <c r="H1334">
        <f t="shared" si="61"/>
        <v>2</v>
      </c>
      <c r="I1334">
        <f t="shared" si="62"/>
        <v>0</v>
      </c>
      <c r="J1334">
        <f>IF(Table1[[#This Row],[Active_months]]&gt;=1, 1, 0)</f>
        <v>1</v>
      </c>
    </row>
    <row r="1335" spans="1:10" x14ac:dyDescent="0.3">
      <c r="A1335">
        <v>115899168</v>
      </c>
      <c r="B1335" s="1">
        <v>44980</v>
      </c>
      <c r="C1335" s="1">
        <v>45019</v>
      </c>
      <c r="D1335">
        <v>39</v>
      </c>
      <c r="E1335" t="s">
        <v>6</v>
      </c>
      <c r="F1335" t="s">
        <v>7</v>
      </c>
      <c r="G1335" s="1">
        <f t="shared" si="60"/>
        <v>45019</v>
      </c>
      <c r="H1335">
        <f t="shared" si="61"/>
        <v>2</v>
      </c>
      <c r="I1335">
        <f t="shared" si="62"/>
        <v>0</v>
      </c>
      <c r="J1335">
        <f>IF(Table1[[#This Row],[Active_months]]&gt;=1, 1, 0)</f>
        <v>1</v>
      </c>
    </row>
    <row r="1336" spans="1:10" x14ac:dyDescent="0.3">
      <c r="A1336">
        <v>200117920</v>
      </c>
      <c r="B1336" s="1">
        <v>44980</v>
      </c>
      <c r="C1336" s="1">
        <v>45007</v>
      </c>
      <c r="D1336">
        <v>39</v>
      </c>
      <c r="E1336" t="s">
        <v>6</v>
      </c>
      <c r="F1336" t="s">
        <v>7</v>
      </c>
      <c r="G1336" s="1">
        <f t="shared" si="60"/>
        <v>45007</v>
      </c>
      <c r="H1336">
        <f t="shared" si="61"/>
        <v>1</v>
      </c>
      <c r="I1336">
        <f t="shared" si="62"/>
        <v>0</v>
      </c>
      <c r="J1336">
        <f>IF(Table1[[#This Row],[Active_months]]&gt;=1, 1, 0)</f>
        <v>1</v>
      </c>
    </row>
    <row r="1337" spans="1:10" x14ac:dyDescent="0.3">
      <c r="A1337">
        <v>205057455</v>
      </c>
      <c r="B1337" s="1">
        <v>44980</v>
      </c>
      <c r="C1337" s="1">
        <v>45011</v>
      </c>
      <c r="D1337">
        <v>39</v>
      </c>
      <c r="E1337" t="s">
        <v>6</v>
      </c>
      <c r="F1337" t="s">
        <v>7</v>
      </c>
      <c r="G1337" s="1">
        <f t="shared" si="60"/>
        <v>45011</v>
      </c>
      <c r="H1337">
        <f t="shared" si="61"/>
        <v>1</v>
      </c>
      <c r="I1337">
        <f t="shared" si="62"/>
        <v>0</v>
      </c>
      <c r="J1337">
        <f>IF(Table1[[#This Row],[Active_months]]&gt;=1, 1, 0)</f>
        <v>1</v>
      </c>
    </row>
    <row r="1338" spans="1:10" x14ac:dyDescent="0.3">
      <c r="A1338">
        <v>205028691</v>
      </c>
      <c r="B1338" s="1">
        <v>44980</v>
      </c>
      <c r="C1338" s="1">
        <v>44995</v>
      </c>
      <c r="D1338">
        <v>39</v>
      </c>
      <c r="E1338" t="s">
        <v>6</v>
      </c>
      <c r="F1338" t="s">
        <v>7</v>
      </c>
      <c r="G1338" s="1">
        <f t="shared" si="60"/>
        <v>44995</v>
      </c>
      <c r="H1338">
        <f t="shared" si="61"/>
        <v>1</v>
      </c>
      <c r="I1338">
        <f t="shared" si="62"/>
        <v>0</v>
      </c>
      <c r="J1338">
        <f>IF(Table1[[#This Row],[Active_months]]&gt;=1, 1, 0)</f>
        <v>1</v>
      </c>
    </row>
    <row r="1339" spans="1:10" x14ac:dyDescent="0.3">
      <c r="A1339">
        <v>204857146</v>
      </c>
      <c r="B1339" s="1">
        <v>44980</v>
      </c>
      <c r="C1339" s="1">
        <v>44995</v>
      </c>
      <c r="D1339">
        <v>39</v>
      </c>
      <c r="E1339" t="s">
        <v>6</v>
      </c>
      <c r="F1339" t="s">
        <v>7</v>
      </c>
      <c r="G1339" s="1">
        <f t="shared" si="60"/>
        <v>44995</v>
      </c>
      <c r="H1339">
        <f t="shared" si="61"/>
        <v>1</v>
      </c>
      <c r="I1339">
        <f t="shared" si="62"/>
        <v>0</v>
      </c>
      <c r="J1339">
        <f>IF(Table1[[#This Row],[Active_months]]&gt;=1, 1, 0)</f>
        <v>1</v>
      </c>
    </row>
    <row r="1340" spans="1:10" x14ac:dyDescent="0.3">
      <c r="A1340">
        <v>134131772</v>
      </c>
      <c r="B1340" s="1">
        <v>44981</v>
      </c>
      <c r="C1340" s="1">
        <v>45093</v>
      </c>
      <c r="D1340">
        <v>39</v>
      </c>
      <c r="E1340" t="s">
        <v>6</v>
      </c>
      <c r="F1340" t="s">
        <v>7</v>
      </c>
      <c r="G1340" s="1">
        <f t="shared" si="60"/>
        <v>45093</v>
      </c>
      <c r="H1340">
        <f t="shared" si="61"/>
        <v>4</v>
      </c>
      <c r="I1340">
        <f t="shared" si="62"/>
        <v>0</v>
      </c>
      <c r="J1340">
        <f>IF(Table1[[#This Row],[Active_months]]&gt;=1, 1, 0)</f>
        <v>1</v>
      </c>
    </row>
    <row r="1341" spans="1:10" x14ac:dyDescent="0.3">
      <c r="A1341">
        <v>148942254</v>
      </c>
      <c r="B1341" s="1">
        <v>44981</v>
      </c>
      <c r="C1341" s="1">
        <v>45088</v>
      </c>
      <c r="D1341">
        <v>39</v>
      </c>
      <c r="E1341" t="s">
        <v>6</v>
      </c>
      <c r="F1341" t="s">
        <v>7</v>
      </c>
      <c r="G1341" s="1">
        <f t="shared" si="60"/>
        <v>45088</v>
      </c>
      <c r="H1341">
        <f t="shared" si="61"/>
        <v>4</v>
      </c>
      <c r="I1341">
        <f t="shared" si="62"/>
        <v>0</v>
      </c>
      <c r="J1341">
        <f>IF(Table1[[#This Row],[Active_months]]&gt;=1, 1, 0)</f>
        <v>1</v>
      </c>
    </row>
    <row r="1342" spans="1:10" x14ac:dyDescent="0.3">
      <c r="A1342">
        <v>204512235</v>
      </c>
      <c r="B1342" s="1">
        <v>44981</v>
      </c>
      <c r="C1342" s="1">
        <v>45093</v>
      </c>
      <c r="D1342">
        <v>39</v>
      </c>
      <c r="E1342" t="s">
        <v>6</v>
      </c>
      <c r="F1342" t="s">
        <v>7</v>
      </c>
      <c r="G1342" s="1">
        <f t="shared" si="60"/>
        <v>45093</v>
      </c>
      <c r="H1342">
        <f t="shared" si="61"/>
        <v>4</v>
      </c>
      <c r="I1342">
        <f t="shared" si="62"/>
        <v>0</v>
      </c>
      <c r="J1342">
        <f>IF(Table1[[#This Row],[Active_months]]&gt;=1, 1, 0)</f>
        <v>1</v>
      </c>
    </row>
    <row r="1343" spans="1:10" x14ac:dyDescent="0.3">
      <c r="A1343">
        <v>204977028</v>
      </c>
      <c r="B1343" s="1">
        <v>44981</v>
      </c>
      <c r="C1343" s="1">
        <v>45047</v>
      </c>
      <c r="D1343">
        <v>39</v>
      </c>
      <c r="E1343" t="s">
        <v>6</v>
      </c>
      <c r="F1343" t="s">
        <v>7</v>
      </c>
      <c r="G1343" s="1">
        <f t="shared" si="60"/>
        <v>45047</v>
      </c>
      <c r="H1343">
        <f t="shared" si="61"/>
        <v>3</v>
      </c>
      <c r="I1343">
        <f t="shared" si="62"/>
        <v>0</v>
      </c>
      <c r="J1343">
        <f>IF(Table1[[#This Row],[Active_months]]&gt;=1, 1, 0)</f>
        <v>1</v>
      </c>
    </row>
    <row r="1344" spans="1:10" x14ac:dyDescent="0.3">
      <c r="A1344">
        <v>205122220</v>
      </c>
      <c r="B1344" s="1">
        <v>44981</v>
      </c>
      <c r="C1344" s="1">
        <v>45029</v>
      </c>
      <c r="D1344">
        <v>39</v>
      </c>
      <c r="E1344" t="s">
        <v>6</v>
      </c>
      <c r="F1344" t="s">
        <v>7</v>
      </c>
      <c r="G1344" s="1">
        <f t="shared" si="60"/>
        <v>45029</v>
      </c>
      <c r="H1344">
        <f t="shared" si="61"/>
        <v>2</v>
      </c>
      <c r="I1344">
        <f t="shared" si="62"/>
        <v>0</v>
      </c>
      <c r="J1344">
        <f>IF(Table1[[#This Row],[Active_months]]&gt;=1, 1, 0)</f>
        <v>1</v>
      </c>
    </row>
    <row r="1345" spans="1:10" x14ac:dyDescent="0.3">
      <c r="A1345">
        <v>179578904</v>
      </c>
      <c r="B1345" s="1">
        <v>44981</v>
      </c>
      <c r="C1345" s="1">
        <v>45034</v>
      </c>
      <c r="D1345">
        <v>39</v>
      </c>
      <c r="E1345" t="s">
        <v>6</v>
      </c>
      <c r="F1345" t="s">
        <v>7</v>
      </c>
      <c r="G1345" s="1">
        <f t="shared" si="60"/>
        <v>45034</v>
      </c>
      <c r="H1345">
        <f t="shared" si="61"/>
        <v>2</v>
      </c>
      <c r="I1345">
        <f t="shared" si="62"/>
        <v>0</v>
      </c>
      <c r="J1345">
        <f>IF(Table1[[#This Row],[Active_months]]&gt;=1, 1, 0)</f>
        <v>1</v>
      </c>
    </row>
    <row r="1346" spans="1:10" x14ac:dyDescent="0.3">
      <c r="A1346">
        <v>205120086</v>
      </c>
      <c r="B1346" s="1">
        <v>44981</v>
      </c>
      <c r="C1346" s="1">
        <v>45020</v>
      </c>
      <c r="D1346">
        <v>39</v>
      </c>
      <c r="E1346" t="s">
        <v>6</v>
      </c>
      <c r="F1346" t="s">
        <v>7</v>
      </c>
      <c r="G1346" s="1">
        <f t="shared" si="60"/>
        <v>45020</v>
      </c>
      <c r="H1346">
        <f t="shared" si="61"/>
        <v>2</v>
      </c>
      <c r="I1346">
        <f t="shared" si="62"/>
        <v>0</v>
      </c>
      <c r="J1346">
        <f>IF(Table1[[#This Row],[Active_months]]&gt;=1, 1, 0)</f>
        <v>1</v>
      </c>
    </row>
    <row r="1347" spans="1:10" x14ac:dyDescent="0.3">
      <c r="A1347">
        <v>158097854</v>
      </c>
      <c r="B1347" s="1">
        <v>44981</v>
      </c>
      <c r="C1347" s="1">
        <v>45015</v>
      </c>
      <c r="D1347">
        <v>39</v>
      </c>
      <c r="E1347" t="s">
        <v>6</v>
      </c>
      <c r="F1347" t="s">
        <v>7</v>
      </c>
      <c r="G1347" s="1">
        <f t="shared" ref="G1347:G1410" si="63">IF(ISBLANK(C1347), DATE(2023,9,30), C1347)</f>
        <v>45015</v>
      </c>
      <c r="H1347">
        <f t="shared" ref="H1347:H1410" si="64">(YEAR(G1347)-YEAR(B1347))*12 + (MONTH(G1347)-MONTH(B1347))</f>
        <v>1</v>
      </c>
      <c r="I1347">
        <f t="shared" ref="I1347:I1410" si="65">IF(H1347 &gt;=5, 1, 0)</f>
        <v>0</v>
      </c>
      <c r="J1347">
        <f>IF(Table1[[#This Row],[Active_months]]&gt;=1, 1, 0)</f>
        <v>1</v>
      </c>
    </row>
    <row r="1348" spans="1:10" x14ac:dyDescent="0.3">
      <c r="A1348">
        <v>204760569</v>
      </c>
      <c r="B1348" s="1">
        <v>44981</v>
      </c>
      <c r="C1348" s="1">
        <v>45000</v>
      </c>
      <c r="D1348">
        <v>39</v>
      </c>
      <c r="E1348" t="s">
        <v>6</v>
      </c>
      <c r="F1348" t="s">
        <v>7</v>
      </c>
      <c r="G1348" s="1">
        <f t="shared" si="63"/>
        <v>45000</v>
      </c>
      <c r="H1348">
        <f t="shared" si="64"/>
        <v>1</v>
      </c>
      <c r="I1348">
        <f t="shared" si="65"/>
        <v>0</v>
      </c>
      <c r="J1348">
        <f>IF(Table1[[#This Row],[Active_months]]&gt;=1, 1, 0)</f>
        <v>1</v>
      </c>
    </row>
    <row r="1349" spans="1:10" x14ac:dyDescent="0.3">
      <c r="A1349">
        <v>204982432</v>
      </c>
      <c r="B1349" s="1">
        <v>44981</v>
      </c>
      <c r="C1349" s="1">
        <v>45016</v>
      </c>
      <c r="D1349">
        <v>39</v>
      </c>
      <c r="E1349" t="s">
        <v>6</v>
      </c>
      <c r="F1349" t="s">
        <v>7</v>
      </c>
      <c r="G1349" s="1">
        <f t="shared" si="63"/>
        <v>45016</v>
      </c>
      <c r="H1349">
        <f t="shared" si="64"/>
        <v>1</v>
      </c>
      <c r="I1349">
        <f t="shared" si="65"/>
        <v>0</v>
      </c>
      <c r="J1349">
        <f>IF(Table1[[#This Row],[Active_months]]&gt;=1, 1, 0)</f>
        <v>1</v>
      </c>
    </row>
    <row r="1350" spans="1:10" x14ac:dyDescent="0.3">
      <c r="A1350">
        <v>158351648</v>
      </c>
      <c r="B1350" s="1">
        <v>44981</v>
      </c>
      <c r="C1350" s="1">
        <v>45170</v>
      </c>
      <c r="D1350">
        <v>39</v>
      </c>
      <c r="E1350" t="s">
        <v>6</v>
      </c>
      <c r="F1350" t="s">
        <v>7</v>
      </c>
      <c r="G1350" s="1">
        <f t="shared" si="63"/>
        <v>45170</v>
      </c>
      <c r="H1350">
        <f t="shared" si="64"/>
        <v>7</v>
      </c>
      <c r="I1350">
        <f t="shared" si="65"/>
        <v>1</v>
      </c>
      <c r="J1350">
        <f>IF(Table1[[#This Row],[Active_months]]&gt;=1, 1, 0)</f>
        <v>1</v>
      </c>
    </row>
    <row r="1351" spans="1:10" x14ac:dyDescent="0.3">
      <c r="A1351">
        <v>195325206</v>
      </c>
      <c r="B1351" s="1">
        <v>44982</v>
      </c>
      <c r="D1351">
        <v>39</v>
      </c>
      <c r="E1351" t="s">
        <v>6</v>
      </c>
      <c r="F1351" t="s">
        <v>7</v>
      </c>
      <c r="G1351" s="1">
        <f t="shared" si="63"/>
        <v>45199</v>
      </c>
      <c r="H1351">
        <f t="shared" si="64"/>
        <v>7</v>
      </c>
      <c r="I1351">
        <f t="shared" si="65"/>
        <v>1</v>
      </c>
      <c r="J1351">
        <f>IF(Table1[[#This Row],[Active_months]]&gt;=1, 1, 0)</f>
        <v>1</v>
      </c>
    </row>
    <row r="1352" spans="1:10" x14ac:dyDescent="0.3">
      <c r="A1352">
        <v>205102955</v>
      </c>
      <c r="B1352" s="1">
        <v>44982</v>
      </c>
      <c r="D1352">
        <v>39</v>
      </c>
      <c r="E1352" t="s">
        <v>6</v>
      </c>
      <c r="F1352" t="s">
        <v>7</v>
      </c>
      <c r="G1352" s="1">
        <f t="shared" si="63"/>
        <v>45199</v>
      </c>
      <c r="H1352">
        <f t="shared" si="64"/>
        <v>7</v>
      </c>
      <c r="I1352">
        <f t="shared" si="65"/>
        <v>1</v>
      </c>
      <c r="J1352">
        <f>IF(Table1[[#This Row],[Active_months]]&gt;=1, 1, 0)</f>
        <v>1</v>
      </c>
    </row>
    <row r="1353" spans="1:10" x14ac:dyDescent="0.3">
      <c r="A1353">
        <v>188092110</v>
      </c>
      <c r="B1353" s="1">
        <v>44982</v>
      </c>
      <c r="C1353" s="1">
        <v>45025</v>
      </c>
      <c r="D1353">
        <v>39</v>
      </c>
      <c r="E1353" t="s">
        <v>6</v>
      </c>
      <c r="F1353" t="s">
        <v>7</v>
      </c>
      <c r="G1353" s="1">
        <f t="shared" si="63"/>
        <v>45025</v>
      </c>
      <c r="H1353">
        <f t="shared" si="64"/>
        <v>2</v>
      </c>
      <c r="I1353">
        <f t="shared" si="65"/>
        <v>0</v>
      </c>
      <c r="J1353">
        <f>IF(Table1[[#This Row],[Active_months]]&gt;=1, 1, 0)</f>
        <v>1</v>
      </c>
    </row>
    <row r="1354" spans="1:10" x14ac:dyDescent="0.3">
      <c r="A1354">
        <v>147615998</v>
      </c>
      <c r="B1354" s="1">
        <v>44982</v>
      </c>
      <c r="C1354" s="1">
        <v>45032</v>
      </c>
      <c r="D1354">
        <v>39</v>
      </c>
      <c r="E1354" t="s">
        <v>6</v>
      </c>
      <c r="F1354" t="s">
        <v>7</v>
      </c>
      <c r="G1354" s="1">
        <f t="shared" si="63"/>
        <v>45032</v>
      </c>
      <c r="H1354">
        <f t="shared" si="64"/>
        <v>2</v>
      </c>
      <c r="I1354">
        <f t="shared" si="65"/>
        <v>0</v>
      </c>
      <c r="J1354">
        <f>IF(Table1[[#This Row],[Active_months]]&gt;=1, 1, 0)</f>
        <v>1</v>
      </c>
    </row>
    <row r="1355" spans="1:10" x14ac:dyDescent="0.3">
      <c r="A1355">
        <v>164751472</v>
      </c>
      <c r="B1355" s="1">
        <v>44982</v>
      </c>
      <c r="C1355" s="1">
        <v>45032</v>
      </c>
      <c r="D1355">
        <v>39</v>
      </c>
      <c r="E1355" t="s">
        <v>6</v>
      </c>
      <c r="F1355" t="s">
        <v>7</v>
      </c>
      <c r="G1355" s="1">
        <f t="shared" si="63"/>
        <v>45032</v>
      </c>
      <c r="H1355">
        <f t="shared" si="64"/>
        <v>2</v>
      </c>
      <c r="I1355">
        <f t="shared" si="65"/>
        <v>0</v>
      </c>
      <c r="J1355">
        <f>IF(Table1[[#This Row],[Active_months]]&gt;=1, 1, 0)</f>
        <v>1</v>
      </c>
    </row>
    <row r="1356" spans="1:10" x14ac:dyDescent="0.3">
      <c r="A1356">
        <v>205215538</v>
      </c>
      <c r="B1356" s="1">
        <v>44982</v>
      </c>
      <c r="C1356" s="1">
        <v>44987</v>
      </c>
      <c r="D1356">
        <v>39</v>
      </c>
      <c r="E1356" t="s">
        <v>6</v>
      </c>
      <c r="F1356" t="s">
        <v>7</v>
      </c>
      <c r="G1356" s="1">
        <f t="shared" si="63"/>
        <v>44987</v>
      </c>
      <c r="H1356">
        <f t="shared" si="64"/>
        <v>1</v>
      </c>
      <c r="I1356">
        <f t="shared" si="65"/>
        <v>0</v>
      </c>
      <c r="J1356">
        <f>IF(Table1[[#This Row],[Active_months]]&gt;=1, 1, 0)</f>
        <v>1</v>
      </c>
    </row>
    <row r="1357" spans="1:10" x14ac:dyDescent="0.3">
      <c r="A1357">
        <v>162962849</v>
      </c>
      <c r="B1357" s="1">
        <v>44983</v>
      </c>
      <c r="C1357" s="1">
        <v>45051</v>
      </c>
      <c r="D1357">
        <v>39</v>
      </c>
      <c r="E1357" t="s">
        <v>6</v>
      </c>
      <c r="F1357" t="s">
        <v>7</v>
      </c>
      <c r="G1357" s="1">
        <f t="shared" si="63"/>
        <v>45051</v>
      </c>
      <c r="H1357">
        <f t="shared" si="64"/>
        <v>3</v>
      </c>
      <c r="I1357">
        <f t="shared" si="65"/>
        <v>0</v>
      </c>
      <c r="J1357">
        <f>IF(Table1[[#This Row],[Active_months]]&gt;=1, 1, 0)</f>
        <v>1</v>
      </c>
    </row>
    <row r="1358" spans="1:10" x14ac:dyDescent="0.3">
      <c r="A1358">
        <v>154229833</v>
      </c>
      <c r="B1358" s="1">
        <v>44983</v>
      </c>
      <c r="C1358" s="1">
        <v>44999</v>
      </c>
      <c r="D1358">
        <v>39</v>
      </c>
      <c r="E1358" t="s">
        <v>6</v>
      </c>
      <c r="F1358" t="s">
        <v>7</v>
      </c>
      <c r="G1358" s="1">
        <f t="shared" si="63"/>
        <v>44999</v>
      </c>
      <c r="H1358">
        <f t="shared" si="64"/>
        <v>1</v>
      </c>
      <c r="I1358">
        <f t="shared" si="65"/>
        <v>0</v>
      </c>
      <c r="J1358">
        <f>IF(Table1[[#This Row],[Active_months]]&gt;=1, 1, 0)</f>
        <v>1</v>
      </c>
    </row>
    <row r="1359" spans="1:10" x14ac:dyDescent="0.3">
      <c r="A1359">
        <v>205338718</v>
      </c>
      <c r="B1359" s="1">
        <v>44983</v>
      </c>
      <c r="C1359" s="1">
        <v>45012</v>
      </c>
      <c r="D1359">
        <v>39</v>
      </c>
      <c r="E1359" t="s">
        <v>6</v>
      </c>
      <c r="F1359" t="s">
        <v>7</v>
      </c>
      <c r="G1359" s="1">
        <f t="shared" si="63"/>
        <v>45012</v>
      </c>
      <c r="H1359">
        <f t="shared" si="64"/>
        <v>1</v>
      </c>
      <c r="I1359">
        <f t="shared" si="65"/>
        <v>0</v>
      </c>
      <c r="J1359">
        <f>IF(Table1[[#This Row],[Active_months]]&gt;=1, 1, 0)</f>
        <v>1</v>
      </c>
    </row>
    <row r="1360" spans="1:10" x14ac:dyDescent="0.3">
      <c r="A1360">
        <v>180798046</v>
      </c>
      <c r="B1360" s="1">
        <v>44984</v>
      </c>
      <c r="D1360">
        <v>39</v>
      </c>
      <c r="E1360" t="s">
        <v>6</v>
      </c>
      <c r="F1360" t="s">
        <v>7</v>
      </c>
      <c r="G1360" s="1">
        <f t="shared" si="63"/>
        <v>45199</v>
      </c>
      <c r="H1360">
        <f t="shared" si="64"/>
        <v>7</v>
      </c>
      <c r="I1360">
        <f t="shared" si="65"/>
        <v>1</v>
      </c>
      <c r="J1360">
        <f>IF(Table1[[#This Row],[Active_months]]&gt;=1, 1, 0)</f>
        <v>1</v>
      </c>
    </row>
    <row r="1361" spans="1:10" x14ac:dyDescent="0.3">
      <c r="A1361">
        <v>135298992</v>
      </c>
      <c r="B1361" s="1">
        <v>44984</v>
      </c>
      <c r="C1361" s="1">
        <v>45004</v>
      </c>
      <c r="D1361">
        <v>39</v>
      </c>
      <c r="E1361" t="s">
        <v>6</v>
      </c>
      <c r="F1361" t="s">
        <v>7</v>
      </c>
      <c r="G1361" s="1">
        <f t="shared" si="63"/>
        <v>45004</v>
      </c>
      <c r="H1361">
        <f t="shared" si="64"/>
        <v>1</v>
      </c>
      <c r="I1361">
        <f t="shared" si="65"/>
        <v>0</v>
      </c>
      <c r="J1361">
        <f>IF(Table1[[#This Row],[Active_months]]&gt;=1, 1, 0)</f>
        <v>1</v>
      </c>
    </row>
    <row r="1362" spans="1:10" x14ac:dyDescent="0.3">
      <c r="A1362">
        <v>153141802</v>
      </c>
      <c r="B1362" s="1">
        <v>44984</v>
      </c>
      <c r="C1362" s="1">
        <v>45080</v>
      </c>
      <c r="D1362">
        <v>39</v>
      </c>
      <c r="E1362" t="s">
        <v>6</v>
      </c>
      <c r="F1362" t="s">
        <v>7</v>
      </c>
      <c r="G1362" s="1">
        <f t="shared" si="63"/>
        <v>45080</v>
      </c>
      <c r="H1362">
        <f t="shared" si="64"/>
        <v>4</v>
      </c>
      <c r="I1362">
        <f t="shared" si="65"/>
        <v>0</v>
      </c>
      <c r="J1362">
        <f>IF(Table1[[#This Row],[Active_months]]&gt;=1, 1, 0)</f>
        <v>1</v>
      </c>
    </row>
    <row r="1363" spans="1:10" x14ac:dyDescent="0.3">
      <c r="A1363">
        <v>189149014</v>
      </c>
      <c r="B1363" s="1">
        <v>44984</v>
      </c>
      <c r="C1363" s="1">
        <v>45097</v>
      </c>
      <c r="D1363">
        <v>39</v>
      </c>
      <c r="E1363" t="s">
        <v>6</v>
      </c>
      <c r="F1363" t="s">
        <v>7</v>
      </c>
      <c r="G1363" s="1">
        <f t="shared" si="63"/>
        <v>45097</v>
      </c>
      <c r="H1363">
        <f t="shared" si="64"/>
        <v>4</v>
      </c>
      <c r="I1363">
        <f t="shared" si="65"/>
        <v>0</v>
      </c>
      <c r="J1363">
        <f>IF(Table1[[#This Row],[Active_months]]&gt;=1, 1, 0)</f>
        <v>1</v>
      </c>
    </row>
    <row r="1364" spans="1:10" x14ac:dyDescent="0.3">
      <c r="A1364">
        <v>180438277</v>
      </c>
      <c r="B1364" s="1">
        <v>44984</v>
      </c>
      <c r="C1364" s="1">
        <v>45065</v>
      </c>
      <c r="D1364">
        <v>39</v>
      </c>
      <c r="E1364" t="s">
        <v>6</v>
      </c>
      <c r="F1364" t="s">
        <v>7</v>
      </c>
      <c r="G1364" s="1">
        <f t="shared" si="63"/>
        <v>45065</v>
      </c>
      <c r="H1364">
        <f t="shared" si="64"/>
        <v>3</v>
      </c>
      <c r="I1364">
        <f t="shared" si="65"/>
        <v>0</v>
      </c>
      <c r="J1364">
        <f>IF(Table1[[#This Row],[Active_months]]&gt;=1, 1, 0)</f>
        <v>1</v>
      </c>
    </row>
    <row r="1365" spans="1:10" x14ac:dyDescent="0.3">
      <c r="A1365">
        <v>205471532</v>
      </c>
      <c r="B1365" s="1">
        <v>44984</v>
      </c>
      <c r="C1365" s="1">
        <v>45043</v>
      </c>
      <c r="D1365">
        <v>39</v>
      </c>
      <c r="E1365" t="s">
        <v>6</v>
      </c>
      <c r="F1365" t="s">
        <v>7</v>
      </c>
      <c r="G1365" s="1">
        <f t="shared" si="63"/>
        <v>45043</v>
      </c>
      <c r="H1365">
        <f t="shared" si="64"/>
        <v>2</v>
      </c>
      <c r="I1365">
        <f t="shared" si="65"/>
        <v>0</v>
      </c>
      <c r="J1365">
        <f>IF(Table1[[#This Row],[Active_months]]&gt;=1, 1, 0)</f>
        <v>1</v>
      </c>
    </row>
    <row r="1366" spans="1:10" x14ac:dyDescent="0.3">
      <c r="A1366">
        <v>188065488</v>
      </c>
      <c r="B1366" s="1">
        <v>44984</v>
      </c>
      <c r="C1366" s="1">
        <v>45041</v>
      </c>
      <c r="D1366">
        <v>39</v>
      </c>
      <c r="E1366" t="s">
        <v>6</v>
      </c>
      <c r="F1366" t="s">
        <v>7</v>
      </c>
      <c r="G1366" s="1">
        <f t="shared" si="63"/>
        <v>45041</v>
      </c>
      <c r="H1366">
        <f t="shared" si="64"/>
        <v>2</v>
      </c>
      <c r="I1366">
        <f t="shared" si="65"/>
        <v>0</v>
      </c>
      <c r="J1366">
        <f>IF(Table1[[#This Row],[Active_months]]&gt;=1, 1, 0)</f>
        <v>1</v>
      </c>
    </row>
    <row r="1367" spans="1:10" x14ac:dyDescent="0.3">
      <c r="A1367">
        <v>205387672</v>
      </c>
      <c r="B1367" s="1">
        <v>44984</v>
      </c>
      <c r="C1367" s="1">
        <v>45025</v>
      </c>
      <c r="D1367">
        <v>39</v>
      </c>
      <c r="E1367" t="s">
        <v>6</v>
      </c>
      <c r="F1367" t="s">
        <v>7</v>
      </c>
      <c r="G1367" s="1">
        <f t="shared" si="63"/>
        <v>45025</v>
      </c>
      <c r="H1367">
        <f t="shared" si="64"/>
        <v>2</v>
      </c>
      <c r="I1367">
        <f t="shared" si="65"/>
        <v>0</v>
      </c>
      <c r="J1367">
        <f>IF(Table1[[#This Row],[Active_months]]&gt;=1, 1, 0)</f>
        <v>1</v>
      </c>
    </row>
    <row r="1368" spans="1:10" x14ac:dyDescent="0.3">
      <c r="A1368">
        <v>196251908</v>
      </c>
      <c r="B1368" s="1">
        <v>44984</v>
      </c>
      <c r="C1368" s="1">
        <v>44984</v>
      </c>
      <c r="D1368">
        <v>39</v>
      </c>
      <c r="E1368" t="s">
        <v>6</v>
      </c>
      <c r="F1368" t="s">
        <v>7</v>
      </c>
      <c r="G1368" s="1">
        <f t="shared" si="63"/>
        <v>44984</v>
      </c>
      <c r="H1368">
        <f t="shared" si="64"/>
        <v>0</v>
      </c>
      <c r="I1368">
        <f t="shared" si="65"/>
        <v>0</v>
      </c>
      <c r="J1368">
        <f>IF(Table1[[#This Row],[Active_months]]&gt;=1, 1, 0)</f>
        <v>0</v>
      </c>
    </row>
    <row r="1369" spans="1:10" x14ac:dyDescent="0.3">
      <c r="A1369">
        <v>157884031</v>
      </c>
      <c r="B1369" s="1">
        <v>44984</v>
      </c>
      <c r="C1369" s="1">
        <v>45015</v>
      </c>
      <c r="D1369">
        <v>39</v>
      </c>
      <c r="E1369" t="s">
        <v>6</v>
      </c>
      <c r="F1369" t="s">
        <v>7</v>
      </c>
      <c r="G1369" s="1">
        <f t="shared" si="63"/>
        <v>45015</v>
      </c>
      <c r="H1369">
        <f t="shared" si="64"/>
        <v>1</v>
      </c>
      <c r="I1369">
        <f t="shared" si="65"/>
        <v>0</v>
      </c>
      <c r="J1369">
        <f>IF(Table1[[#This Row],[Active_months]]&gt;=1, 1, 0)</f>
        <v>1</v>
      </c>
    </row>
    <row r="1370" spans="1:10" x14ac:dyDescent="0.3">
      <c r="A1370">
        <v>204571386</v>
      </c>
      <c r="B1370" s="1">
        <v>44984</v>
      </c>
      <c r="C1370" s="1">
        <v>45008</v>
      </c>
      <c r="D1370">
        <v>39</v>
      </c>
      <c r="E1370" t="s">
        <v>6</v>
      </c>
      <c r="F1370" t="s">
        <v>7</v>
      </c>
      <c r="G1370" s="1">
        <f t="shared" si="63"/>
        <v>45008</v>
      </c>
      <c r="H1370">
        <f t="shared" si="64"/>
        <v>1</v>
      </c>
      <c r="I1370">
        <f t="shared" si="65"/>
        <v>0</v>
      </c>
      <c r="J1370">
        <f>IF(Table1[[#This Row],[Active_months]]&gt;=1, 1, 0)</f>
        <v>1</v>
      </c>
    </row>
    <row r="1371" spans="1:10" x14ac:dyDescent="0.3">
      <c r="A1371">
        <v>162909529</v>
      </c>
      <c r="B1371" s="1">
        <v>44984</v>
      </c>
      <c r="C1371" s="1">
        <v>45139</v>
      </c>
      <c r="D1371">
        <v>39</v>
      </c>
      <c r="E1371" t="s">
        <v>6</v>
      </c>
      <c r="F1371" t="s">
        <v>7</v>
      </c>
      <c r="G1371" s="1">
        <f t="shared" si="63"/>
        <v>45139</v>
      </c>
      <c r="H1371">
        <f t="shared" si="64"/>
        <v>6</v>
      </c>
      <c r="I1371">
        <f t="shared" si="65"/>
        <v>1</v>
      </c>
      <c r="J1371">
        <f>IF(Table1[[#This Row],[Active_months]]&gt;=1, 1, 0)</f>
        <v>1</v>
      </c>
    </row>
    <row r="1372" spans="1:10" x14ac:dyDescent="0.3">
      <c r="A1372">
        <v>152043244</v>
      </c>
      <c r="B1372" s="1">
        <v>44985</v>
      </c>
      <c r="D1372">
        <v>39</v>
      </c>
      <c r="E1372" t="s">
        <v>6</v>
      </c>
      <c r="F1372" t="s">
        <v>7</v>
      </c>
      <c r="G1372" s="1">
        <f t="shared" si="63"/>
        <v>45199</v>
      </c>
      <c r="H1372">
        <f t="shared" si="64"/>
        <v>7</v>
      </c>
      <c r="I1372">
        <f t="shared" si="65"/>
        <v>1</v>
      </c>
      <c r="J1372">
        <f>IF(Table1[[#This Row],[Active_months]]&gt;=1, 1, 0)</f>
        <v>1</v>
      </c>
    </row>
    <row r="1373" spans="1:10" x14ac:dyDescent="0.3">
      <c r="A1373">
        <v>204567111</v>
      </c>
      <c r="B1373" s="1">
        <v>44985</v>
      </c>
      <c r="D1373">
        <v>39</v>
      </c>
      <c r="E1373" t="s">
        <v>6</v>
      </c>
      <c r="F1373" t="s">
        <v>7</v>
      </c>
      <c r="G1373" s="1">
        <f t="shared" si="63"/>
        <v>45199</v>
      </c>
      <c r="H1373">
        <f t="shared" si="64"/>
        <v>7</v>
      </c>
      <c r="I1373">
        <f t="shared" si="65"/>
        <v>1</v>
      </c>
      <c r="J1373">
        <f>IF(Table1[[#This Row],[Active_months]]&gt;=1, 1, 0)</f>
        <v>1</v>
      </c>
    </row>
    <row r="1374" spans="1:10" x14ac:dyDescent="0.3">
      <c r="A1374">
        <v>205487880</v>
      </c>
      <c r="B1374" s="1">
        <v>44985</v>
      </c>
      <c r="D1374">
        <v>39</v>
      </c>
      <c r="E1374" t="s">
        <v>6</v>
      </c>
      <c r="F1374" t="s">
        <v>7</v>
      </c>
      <c r="G1374" s="1">
        <f t="shared" si="63"/>
        <v>45199</v>
      </c>
      <c r="H1374">
        <f t="shared" si="64"/>
        <v>7</v>
      </c>
      <c r="I1374">
        <f t="shared" si="65"/>
        <v>1</v>
      </c>
      <c r="J1374">
        <f>IF(Table1[[#This Row],[Active_months]]&gt;=1, 1, 0)</f>
        <v>1</v>
      </c>
    </row>
    <row r="1375" spans="1:10" x14ac:dyDescent="0.3">
      <c r="A1375">
        <v>205489808</v>
      </c>
      <c r="B1375" s="1">
        <v>44985</v>
      </c>
      <c r="D1375">
        <v>39</v>
      </c>
      <c r="E1375" t="s">
        <v>6</v>
      </c>
      <c r="F1375" t="s">
        <v>7</v>
      </c>
      <c r="G1375" s="1">
        <f t="shared" si="63"/>
        <v>45199</v>
      </c>
      <c r="H1375">
        <f t="shared" si="64"/>
        <v>7</v>
      </c>
      <c r="I1375">
        <f t="shared" si="65"/>
        <v>1</v>
      </c>
      <c r="J1375">
        <f>IF(Table1[[#This Row],[Active_months]]&gt;=1, 1, 0)</f>
        <v>1</v>
      </c>
    </row>
    <row r="1376" spans="1:10" x14ac:dyDescent="0.3">
      <c r="A1376">
        <v>125828506</v>
      </c>
      <c r="B1376" s="1">
        <v>44985</v>
      </c>
      <c r="C1376" s="1">
        <v>44986</v>
      </c>
      <c r="D1376">
        <v>39</v>
      </c>
      <c r="E1376" t="s">
        <v>6</v>
      </c>
      <c r="F1376" t="s">
        <v>7</v>
      </c>
      <c r="G1376" s="1">
        <f t="shared" si="63"/>
        <v>44986</v>
      </c>
      <c r="H1376">
        <f t="shared" si="64"/>
        <v>1</v>
      </c>
      <c r="I1376">
        <f t="shared" si="65"/>
        <v>0</v>
      </c>
      <c r="J1376">
        <f>IF(Table1[[#This Row],[Active_months]]&gt;=1, 1, 0)</f>
        <v>1</v>
      </c>
    </row>
    <row r="1377" spans="1:10" x14ac:dyDescent="0.3">
      <c r="A1377">
        <v>154701159</v>
      </c>
      <c r="B1377" s="1">
        <v>44985</v>
      </c>
      <c r="C1377" s="1">
        <v>45012</v>
      </c>
      <c r="D1377">
        <v>39</v>
      </c>
      <c r="E1377" t="s">
        <v>6</v>
      </c>
      <c r="F1377" t="s">
        <v>7</v>
      </c>
      <c r="G1377" s="1">
        <f t="shared" si="63"/>
        <v>45012</v>
      </c>
      <c r="H1377">
        <f t="shared" si="64"/>
        <v>1</v>
      </c>
      <c r="I1377">
        <f t="shared" si="65"/>
        <v>0</v>
      </c>
      <c r="J1377">
        <f>IF(Table1[[#This Row],[Active_months]]&gt;=1, 1, 0)</f>
        <v>1</v>
      </c>
    </row>
    <row r="1378" spans="1:10" x14ac:dyDescent="0.3">
      <c r="A1378">
        <v>204865394</v>
      </c>
      <c r="B1378" s="1">
        <v>44985</v>
      </c>
      <c r="C1378" s="1">
        <v>45020</v>
      </c>
      <c r="D1378">
        <v>39</v>
      </c>
      <c r="E1378" t="s">
        <v>6</v>
      </c>
      <c r="F1378" t="s">
        <v>7</v>
      </c>
      <c r="G1378" s="1">
        <f t="shared" si="63"/>
        <v>45020</v>
      </c>
      <c r="H1378">
        <f t="shared" si="64"/>
        <v>2</v>
      </c>
      <c r="I1378">
        <f t="shared" si="65"/>
        <v>0</v>
      </c>
      <c r="J1378">
        <f>IF(Table1[[#This Row],[Active_months]]&gt;=1, 1, 0)</f>
        <v>1</v>
      </c>
    </row>
    <row r="1379" spans="1:10" x14ac:dyDescent="0.3">
      <c r="A1379">
        <v>205044276</v>
      </c>
      <c r="B1379" s="1">
        <v>44985</v>
      </c>
      <c r="C1379" s="1">
        <v>45043</v>
      </c>
      <c r="D1379">
        <v>39</v>
      </c>
      <c r="E1379" t="s">
        <v>6</v>
      </c>
      <c r="F1379" t="s">
        <v>7</v>
      </c>
      <c r="G1379" s="1">
        <f t="shared" si="63"/>
        <v>45043</v>
      </c>
      <c r="H1379">
        <f t="shared" si="64"/>
        <v>2</v>
      </c>
      <c r="I1379">
        <f t="shared" si="65"/>
        <v>0</v>
      </c>
      <c r="J1379">
        <f>IF(Table1[[#This Row],[Active_months]]&gt;=1, 1, 0)</f>
        <v>1</v>
      </c>
    </row>
    <row r="1380" spans="1:10" x14ac:dyDescent="0.3">
      <c r="A1380">
        <v>194873337</v>
      </c>
      <c r="B1380" s="1">
        <v>44985</v>
      </c>
      <c r="C1380" s="1">
        <v>45034</v>
      </c>
      <c r="D1380">
        <v>39</v>
      </c>
      <c r="E1380" t="s">
        <v>6</v>
      </c>
      <c r="F1380" t="s">
        <v>7</v>
      </c>
      <c r="G1380" s="1">
        <f t="shared" si="63"/>
        <v>45034</v>
      </c>
      <c r="H1380">
        <f t="shared" si="64"/>
        <v>2</v>
      </c>
      <c r="I1380">
        <f t="shared" si="65"/>
        <v>0</v>
      </c>
      <c r="J1380">
        <f>IF(Table1[[#This Row],[Active_months]]&gt;=1, 1, 0)</f>
        <v>1</v>
      </c>
    </row>
    <row r="1381" spans="1:10" x14ac:dyDescent="0.3">
      <c r="A1381">
        <v>205492734</v>
      </c>
      <c r="B1381" s="1">
        <v>44985</v>
      </c>
      <c r="C1381" s="1">
        <v>45007</v>
      </c>
      <c r="D1381">
        <v>39</v>
      </c>
      <c r="E1381" t="s">
        <v>6</v>
      </c>
      <c r="F1381" t="s">
        <v>7</v>
      </c>
      <c r="G1381" s="1">
        <f t="shared" si="63"/>
        <v>45007</v>
      </c>
      <c r="H1381">
        <f t="shared" si="64"/>
        <v>1</v>
      </c>
      <c r="I1381">
        <f t="shared" si="65"/>
        <v>0</v>
      </c>
      <c r="J1381">
        <f>IF(Table1[[#This Row],[Active_months]]&gt;=1, 1, 0)</f>
        <v>1</v>
      </c>
    </row>
    <row r="1382" spans="1:10" x14ac:dyDescent="0.3">
      <c r="A1382">
        <v>205548739</v>
      </c>
      <c r="B1382" s="1">
        <v>44986</v>
      </c>
      <c r="D1382">
        <v>39</v>
      </c>
      <c r="E1382" t="s">
        <v>6</v>
      </c>
      <c r="F1382" t="s">
        <v>7</v>
      </c>
      <c r="G1382" s="1">
        <f t="shared" si="63"/>
        <v>45199</v>
      </c>
      <c r="H1382">
        <f t="shared" si="64"/>
        <v>6</v>
      </c>
      <c r="I1382">
        <f t="shared" si="65"/>
        <v>1</v>
      </c>
      <c r="J1382">
        <f>IF(Table1[[#This Row],[Active_months]]&gt;=1, 1, 0)</f>
        <v>1</v>
      </c>
    </row>
    <row r="1383" spans="1:10" x14ac:dyDescent="0.3">
      <c r="A1383">
        <v>202228372</v>
      </c>
      <c r="B1383" s="1">
        <v>44986</v>
      </c>
      <c r="D1383">
        <v>39</v>
      </c>
      <c r="E1383" t="s">
        <v>6</v>
      </c>
      <c r="F1383" t="s">
        <v>7</v>
      </c>
      <c r="G1383" s="1">
        <f t="shared" si="63"/>
        <v>45199</v>
      </c>
      <c r="H1383">
        <f t="shared" si="64"/>
        <v>6</v>
      </c>
      <c r="I1383">
        <f t="shared" si="65"/>
        <v>1</v>
      </c>
      <c r="J1383">
        <f>IF(Table1[[#This Row],[Active_months]]&gt;=1, 1, 0)</f>
        <v>1</v>
      </c>
    </row>
    <row r="1384" spans="1:10" x14ac:dyDescent="0.3">
      <c r="A1384">
        <v>205034931</v>
      </c>
      <c r="B1384" s="1">
        <v>44986</v>
      </c>
      <c r="C1384" s="1">
        <v>44987</v>
      </c>
      <c r="D1384">
        <v>39</v>
      </c>
      <c r="E1384" t="s">
        <v>6</v>
      </c>
      <c r="F1384" t="s">
        <v>8</v>
      </c>
      <c r="G1384" s="1">
        <f t="shared" si="63"/>
        <v>44987</v>
      </c>
      <c r="H1384">
        <f t="shared" si="64"/>
        <v>0</v>
      </c>
      <c r="I1384">
        <f t="shared" si="65"/>
        <v>0</v>
      </c>
      <c r="J1384">
        <f>IF(Table1[[#This Row],[Active_months]]&gt;=1, 1, 0)</f>
        <v>0</v>
      </c>
    </row>
    <row r="1385" spans="1:10" x14ac:dyDescent="0.3">
      <c r="A1385">
        <v>205129178</v>
      </c>
      <c r="B1385" s="1">
        <v>44986</v>
      </c>
      <c r="C1385" s="1">
        <v>45098</v>
      </c>
      <c r="D1385">
        <v>39</v>
      </c>
      <c r="E1385" t="s">
        <v>6</v>
      </c>
      <c r="F1385" t="s">
        <v>7</v>
      </c>
      <c r="G1385" s="1">
        <f t="shared" si="63"/>
        <v>45098</v>
      </c>
      <c r="H1385">
        <f t="shared" si="64"/>
        <v>3</v>
      </c>
      <c r="I1385">
        <f t="shared" si="65"/>
        <v>0</v>
      </c>
      <c r="J1385">
        <f>IF(Table1[[#This Row],[Active_months]]&gt;=1, 1, 0)</f>
        <v>1</v>
      </c>
    </row>
    <row r="1386" spans="1:10" x14ac:dyDescent="0.3">
      <c r="A1386">
        <v>160114911</v>
      </c>
      <c r="B1386" s="1">
        <v>44986</v>
      </c>
      <c r="C1386" s="1">
        <v>45024</v>
      </c>
      <c r="D1386">
        <v>39</v>
      </c>
      <c r="E1386" t="s">
        <v>6</v>
      </c>
      <c r="F1386" t="s">
        <v>7</v>
      </c>
      <c r="G1386" s="1">
        <f t="shared" si="63"/>
        <v>45024</v>
      </c>
      <c r="H1386">
        <f t="shared" si="64"/>
        <v>1</v>
      </c>
      <c r="I1386">
        <f t="shared" si="65"/>
        <v>0</v>
      </c>
      <c r="J1386">
        <f>IF(Table1[[#This Row],[Active_months]]&gt;=1, 1, 0)</f>
        <v>1</v>
      </c>
    </row>
    <row r="1387" spans="1:10" x14ac:dyDescent="0.3">
      <c r="A1387">
        <v>168200039</v>
      </c>
      <c r="B1387" s="1">
        <v>44986</v>
      </c>
      <c r="C1387" s="1">
        <v>45024</v>
      </c>
      <c r="D1387">
        <v>39</v>
      </c>
      <c r="E1387" t="s">
        <v>6</v>
      </c>
      <c r="F1387" t="s">
        <v>7</v>
      </c>
      <c r="G1387" s="1">
        <f t="shared" si="63"/>
        <v>45024</v>
      </c>
      <c r="H1387">
        <f t="shared" si="64"/>
        <v>1</v>
      </c>
      <c r="I1387">
        <f t="shared" si="65"/>
        <v>0</v>
      </c>
      <c r="J1387">
        <f>IF(Table1[[#This Row],[Active_months]]&gt;=1, 1, 0)</f>
        <v>1</v>
      </c>
    </row>
    <row r="1388" spans="1:10" x14ac:dyDescent="0.3">
      <c r="A1388">
        <v>190622411</v>
      </c>
      <c r="B1388" s="1">
        <v>44986</v>
      </c>
      <c r="C1388" s="1">
        <v>45020</v>
      </c>
      <c r="D1388">
        <v>39</v>
      </c>
      <c r="E1388" t="s">
        <v>6</v>
      </c>
      <c r="F1388" t="s">
        <v>7</v>
      </c>
      <c r="G1388" s="1">
        <f t="shared" si="63"/>
        <v>45020</v>
      </c>
      <c r="H1388">
        <f t="shared" si="64"/>
        <v>1</v>
      </c>
      <c r="I1388">
        <f t="shared" si="65"/>
        <v>0</v>
      </c>
      <c r="J1388">
        <f>IF(Table1[[#This Row],[Active_months]]&gt;=1, 1, 0)</f>
        <v>1</v>
      </c>
    </row>
    <row r="1389" spans="1:10" x14ac:dyDescent="0.3">
      <c r="A1389">
        <v>204528713</v>
      </c>
      <c r="B1389" s="1">
        <v>44986</v>
      </c>
      <c r="C1389" s="1">
        <v>45034</v>
      </c>
      <c r="D1389">
        <v>39</v>
      </c>
      <c r="E1389" t="s">
        <v>6</v>
      </c>
      <c r="F1389" t="s">
        <v>7</v>
      </c>
      <c r="G1389" s="1">
        <f t="shared" si="63"/>
        <v>45034</v>
      </c>
      <c r="H1389">
        <f t="shared" si="64"/>
        <v>1</v>
      </c>
      <c r="I1389">
        <f t="shared" si="65"/>
        <v>0</v>
      </c>
      <c r="J1389">
        <f>IF(Table1[[#This Row],[Active_months]]&gt;=1, 1, 0)</f>
        <v>1</v>
      </c>
    </row>
    <row r="1390" spans="1:10" x14ac:dyDescent="0.3">
      <c r="A1390">
        <v>205573796</v>
      </c>
      <c r="B1390" s="1">
        <v>44986</v>
      </c>
      <c r="C1390" s="1">
        <v>45029</v>
      </c>
      <c r="D1390">
        <v>39</v>
      </c>
      <c r="E1390" t="s">
        <v>6</v>
      </c>
      <c r="F1390" t="s">
        <v>7</v>
      </c>
      <c r="G1390" s="1">
        <f t="shared" si="63"/>
        <v>45029</v>
      </c>
      <c r="H1390">
        <f t="shared" si="64"/>
        <v>1</v>
      </c>
      <c r="I1390">
        <f t="shared" si="65"/>
        <v>0</v>
      </c>
      <c r="J1390">
        <f>IF(Table1[[#This Row],[Active_months]]&gt;=1, 1, 0)</f>
        <v>1</v>
      </c>
    </row>
    <row r="1391" spans="1:10" x14ac:dyDescent="0.3">
      <c r="A1391">
        <v>182009986</v>
      </c>
      <c r="B1391" s="1">
        <v>44986</v>
      </c>
      <c r="C1391" s="1">
        <v>45014</v>
      </c>
      <c r="D1391">
        <v>39</v>
      </c>
      <c r="E1391" t="s">
        <v>6</v>
      </c>
      <c r="F1391" t="s">
        <v>7</v>
      </c>
      <c r="G1391" s="1">
        <f t="shared" si="63"/>
        <v>45014</v>
      </c>
      <c r="H1391">
        <f t="shared" si="64"/>
        <v>0</v>
      </c>
      <c r="I1391">
        <f t="shared" si="65"/>
        <v>0</v>
      </c>
      <c r="J1391">
        <f>IF(Table1[[#This Row],[Active_months]]&gt;=1, 1, 0)</f>
        <v>0</v>
      </c>
    </row>
    <row r="1392" spans="1:10" x14ac:dyDescent="0.3">
      <c r="A1392">
        <v>205606022</v>
      </c>
      <c r="B1392" s="1">
        <v>44986</v>
      </c>
      <c r="C1392" s="1">
        <v>45006</v>
      </c>
      <c r="D1392">
        <v>39</v>
      </c>
      <c r="E1392" t="s">
        <v>6</v>
      </c>
      <c r="F1392" t="s">
        <v>7</v>
      </c>
      <c r="G1392" s="1">
        <f t="shared" si="63"/>
        <v>45006</v>
      </c>
      <c r="H1392">
        <f t="shared" si="64"/>
        <v>0</v>
      </c>
      <c r="I1392">
        <f t="shared" si="65"/>
        <v>0</v>
      </c>
      <c r="J1392">
        <f>IF(Table1[[#This Row],[Active_months]]&gt;=1, 1, 0)</f>
        <v>0</v>
      </c>
    </row>
    <row r="1393" spans="1:10" x14ac:dyDescent="0.3">
      <c r="A1393">
        <v>205580089</v>
      </c>
      <c r="B1393" s="1">
        <v>44986</v>
      </c>
      <c r="C1393" s="1">
        <v>45015</v>
      </c>
      <c r="D1393">
        <v>39</v>
      </c>
      <c r="E1393" t="s">
        <v>6</v>
      </c>
      <c r="F1393" t="s">
        <v>7</v>
      </c>
      <c r="G1393" s="1">
        <f t="shared" si="63"/>
        <v>45015</v>
      </c>
      <c r="H1393">
        <f t="shared" si="64"/>
        <v>0</v>
      </c>
      <c r="I1393">
        <f t="shared" si="65"/>
        <v>0</v>
      </c>
      <c r="J1393">
        <f>IF(Table1[[#This Row],[Active_months]]&gt;=1, 1, 0)</f>
        <v>0</v>
      </c>
    </row>
    <row r="1394" spans="1:10" x14ac:dyDescent="0.3">
      <c r="A1394">
        <v>192949504</v>
      </c>
      <c r="B1394" s="1">
        <v>44986</v>
      </c>
      <c r="C1394" s="1">
        <v>45013</v>
      </c>
      <c r="D1394">
        <v>39</v>
      </c>
      <c r="E1394" t="s">
        <v>6</v>
      </c>
      <c r="F1394" t="s">
        <v>7</v>
      </c>
      <c r="G1394" s="1">
        <f t="shared" si="63"/>
        <v>45013</v>
      </c>
      <c r="H1394">
        <f t="shared" si="64"/>
        <v>0</v>
      </c>
      <c r="I1394">
        <f t="shared" si="65"/>
        <v>0</v>
      </c>
      <c r="J1394">
        <f>IF(Table1[[#This Row],[Active_months]]&gt;=1, 1, 0)</f>
        <v>0</v>
      </c>
    </row>
    <row r="1395" spans="1:10" x14ac:dyDescent="0.3">
      <c r="A1395">
        <v>205658636</v>
      </c>
      <c r="B1395" s="1">
        <v>44987</v>
      </c>
      <c r="D1395">
        <v>39</v>
      </c>
      <c r="E1395" t="s">
        <v>6</v>
      </c>
      <c r="F1395" t="s">
        <v>7</v>
      </c>
      <c r="G1395" s="1">
        <f t="shared" si="63"/>
        <v>45199</v>
      </c>
      <c r="H1395">
        <f t="shared" si="64"/>
        <v>6</v>
      </c>
      <c r="I1395">
        <f t="shared" si="65"/>
        <v>1</v>
      </c>
      <c r="J1395">
        <f>IF(Table1[[#This Row],[Active_months]]&gt;=1, 1, 0)</f>
        <v>1</v>
      </c>
    </row>
    <row r="1396" spans="1:10" x14ac:dyDescent="0.3">
      <c r="A1396">
        <v>205615727</v>
      </c>
      <c r="B1396" s="1">
        <v>44987</v>
      </c>
      <c r="C1396" s="1">
        <v>45103</v>
      </c>
      <c r="D1396">
        <v>39</v>
      </c>
      <c r="E1396" t="s">
        <v>6</v>
      </c>
      <c r="F1396" t="s">
        <v>7</v>
      </c>
      <c r="G1396" s="1">
        <f t="shared" si="63"/>
        <v>45103</v>
      </c>
      <c r="H1396">
        <f t="shared" si="64"/>
        <v>3</v>
      </c>
      <c r="I1396">
        <f t="shared" si="65"/>
        <v>0</v>
      </c>
      <c r="J1396">
        <f>IF(Table1[[#This Row],[Active_months]]&gt;=1, 1, 0)</f>
        <v>1</v>
      </c>
    </row>
    <row r="1397" spans="1:10" x14ac:dyDescent="0.3">
      <c r="A1397">
        <v>205448424</v>
      </c>
      <c r="B1397" s="1">
        <v>44987</v>
      </c>
      <c r="C1397" s="1">
        <v>45076</v>
      </c>
      <c r="D1397">
        <v>39</v>
      </c>
      <c r="E1397" t="s">
        <v>6</v>
      </c>
      <c r="F1397" t="s">
        <v>7</v>
      </c>
      <c r="G1397" s="1">
        <f t="shared" si="63"/>
        <v>45076</v>
      </c>
      <c r="H1397">
        <f t="shared" si="64"/>
        <v>2</v>
      </c>
      <c r="I1397">
        <f t="shared" si="65"/>
        <v>0</v>
      </c>
      <c r="J1397">
        <f>IF(Table1[[#This Row],[Active_months]]&gt;=1, 1, 0)</f>
        <v>1</v>
      </c>
    </row>
    <row r="1398" spans="1:10" x14ac:dyDescent="0.3">
      <c r="A1398">
        <v>196009696</v>
      </c>
      <c r="B1398" s="1">
        <v>44987</v>
      </c>
      <c r="C1398" s="1">
        <v>45048</v>
      </c>
      <c r="D1398">
        <v>39</v>
      </c>
      <c r="E1398" t="s">
        <v>6</v>
      </c>
      <c r="F1398" t="s">
        <v>7</v>
      </c>
      <c r="G1398" s="1">
        <f t="shared" si="63"/>
        <v>45048</v>
      </c>
      <c r="H1398">
        <f t="shared" si="64"/>
        <v>2</v>
      </c>
      <c r="I1398">
        <f t="shared" si="65"/>
        <v>0</v>
      </c>
      <c r="J1398">
        <f>IF(Table1[[#This Row],[Active_months]]&gt;=1, 1, 0)</f>
        <v>1</v>
      </c>
    </row>
    <row r="1399" spans="1:10" x14ac:dyDescent="0.3">
      <c r="A1399">
        <v>205026372</v>
      </c>
      <c r="B1399" s="1">
        <v>44987</v>
      </c>
      <c r="C1399" s="1">
        <v>45048</v>
      </c>
      <c r="D1399">
        <v>39</v>
      </c>
      <c r="E1399" t="s">
        <v>6</v>
      </c>
      <c r="F1399" t="s">
        <v>7</v>
      </c>
      <c r="G1399" s="1">
        <f t="shared" si="63"/>
        <v>45048</v>
      </c>
      <c r="H1399">
        <f t="shared" si="64"/>
        <v>2</v>
      </c>
      <c r="I1399">
        <f t="shared" si="65"/>
        <v>0</v>
      </c>
      <c r="J1399">
        <f>IF(Table1[[#This Row],[Active_months]]&gt;=1, 1, 0)</f>
        <v>1</v>
      </c>
    </row>
    <row r="1400" spans="1:10" x14ac:dyDescent="0.3">
      <c r="A1400">
        <v>167165752</v>
      </c>
      <c r="B1400" s="1">
        <v>44987</v>
      </c>
      <c r="C1400" s="1">
        <v>45076</v>
      </c>
      <c r="D1400">
        <v>39</v>
      </c>
      <c r="E1400" t="s">
        <v>6</v>
      </c>
      <c r="F1400" t="s">
        <v>7</v>
      </c>
      <c r="G1400" s="1">
        <f t="shared" si="63"/>
        <v>45076</v>
      </c>
      <c r="H1400">
        <f t="shared" si="64"/>
        <v>2</v>
      </c>
      <c r="I1400">
        <f t="shared" si="65"/>
        <v>0</v>
      </c>
      <c r="J1400">
        <f>IF(Table1[[#This Row],[Active_months]]&gt;=1, 1, 0)</f>
        <v>1</v>
      </c>
    </row>
    <row r="1401" spans="1:10" x14ac:dyDescent="0.3">
      <c r="A1401">
        <v>205664425</v>
      </c>
      <c r="B1401" s="1">
        <v>44987</v>
      </c>
      <c r="C1401" s="1">
        <v>45041</v>
      </c>
      <c r="D1401">
        <v>39</v>
      </c>
      <c r="E1401" t="s">
        <v>6</v>
      </c>
      <c r="F1401" t="s">
        <v>7</v>
      </c>
      <c r="G1401" s="1">
        <f t="shared" si="63"/>
        <v>45041</v>
      </c>
      <c r="H1401">
        <f t="shared" si="64"/>
        <v>1</v>
      </c>
      <c r="I1401">
        <f t="shared" si="65"/>
        <v>0</v>
      </c>
      <c r="J1401">
        <f>IF(Table1[[#This Row],[Active_months]]&gt;=1, 1, 0)</f>
        <v>1</v>
      </c>
    </row>
    <row r="1402" spans="1:10" x14ac:dyDescent="0.3">
      <c r="A1402">
        <v>199179611</v>
      </c>
      <c r="B1402" s="1">
        <v>44987</v>
      </c>
      <c r="C1402" s="1">
        <v>45039</v>
      </c>
      <c r="D1402">
        <v>39</v>
      </c>
      <c r="E1402" t="s">
        <v>6</v>
      </c>
      <c r="F1402" t="s">
        <v>7</v>
      </c>
      <c r="G1402" s="1">
        <f t="shared" si="63"/>
        <v>45039</v>
      </c>
      <c r="H1402">
        <f t="shared" si="64"/>
        <v>1</v>
      </c>
      <c r="I1402">
        <f t="shared" si="65"/>
        <v>0</v>
      </c>
      <c r="J1402">
        <f>IF(Table1[[#This Row],[Active_months]]&gt;=1, 1, 0)</f>
        <v>1</v>
      </c>
    </row>
    <row r="1403" spans="1:10" x14ac:dyDescent="0.3">
      <c r="A1403">
        <v>205660933</v>
      </c>
      <c r="B1403" s="1">
        <v>44987</v>
      </c>
      <c r="C1403" s="1">
        <v>45018</v>
      </c>
      <c r="D1403">
        <v>39</v>
      </c>
      <c r="E1403" t="s">
        <v>6</v>
      </c>
      <c r="F1403" t="s">
        <v>7</v>
      </c>
      <c r="G1403" s="1">
        <f t="shared" si="63"/>
        <v>45018</v>
      </c>
      <c r="H1403">
        <f t="shared" si="64"/>
        <v>1</v>
      </c>
      <c r="I1403">
        <f t="shared" si="65"/>
        <v>0</v>
      </c>
      <c r="J1403">
        <f>IF(Table1[[#This Row],[Active_months]]&gt;=1, 1, 0)</f>
        <v>1</v>
      </c>
    </row>
    <row r="1404" spans="1:10" x14ac:dyDescent="0.3">
      <c r="A1404">
        <v>205660195</v>
      </c>
      <c r="B1404" s="1">
        <v>44987</v>
      </c>
      <c r="C1404" s="1">
        <v>45019</v>
      </c>
      <c r="D1404">
        <v>39</v>
      </c>
      <c r="E1404" t="s">
        <v>6</v>
      </c>
      <c r="F1404" t="s">
        <v>7</v>
      </c>
      <c r="G1404" s="1">
        <f t="shared" si="63"/>
        <v>45019</v>
      </c>
      <c r="H1404">
        <f t="shared" si="64"/>
        <v>1</v>
      </c>
      <c r="I1404">
        <f t="shared" si="65"/>
        <v>0</v>
      </c>
      <c r="J1404">
        <f>IF(Table1[[#This Row],[Active_months]]&gt;=1, 1, 0)</f>
        <v>1</v>
      </c>
    </row>
    <row r="1405" spans="1:10" x14ac:dyDescent="0.3">
      <c r="A1405">
        <v>168598418</v>
      </c>
      <c r="B1405" s="1">
        <v>44987</v>
      </c>
      <c r="C1405" s="1">
        <v>45038</v>
      </c>
      <c r="D1405">
        <v>39</v>
      </c>
      <c r="E1405" t="s">
        <v>6</v>
      </c>
      <c r="F1405" t="s">
        <v>7</v>
      </c>
      <c r="G1405" s="1">
        <f t="shared" si="63"/>
        <v>45038</v>
      </c>
      <c r="H1405">
        <f t="shared" si="64"/>
        <v>1</v>
      </c>
      <c r="I1405">
        <f t="shared" si="65"/>
        <v>0</v>
      </c>
      <c r="J1405">
        <f>IF(Table1[[#This Row],[Active_months]]&gt;=1, 1, 0)</f>
        <v>1</v>
      </c>
    </row>
    <row r="1406" spans="1:10" x14ac:dyDescent="0.3">
      <c r="A1406">
        <v>161182367</v>
      </c>
      <c r="B1406" s="1">
        <v>44987</v>
      </c>
      <c r="C1406" s="1">
        <v>45025</v>
      </c>
      <c r="D1406">
        <v>39</v>
      </c>
      <c r="E1406" t="s">
        <v>6</v>
      </c>
      <c r="F1406" t="s">
        <v>7</v>
      </c>
      <c r="G1406" s="1">
        <f t="shared" si="63"/>
        <v>45025</v>
      </c>
      <c r="H1406">
        <f t="shared" si="64"/>
        <v>1</v>
      </c>
      <c r="I1406">
        <f t="shared" si="65"/>
        <v>0</v>
      </c>
      <c r="J1406">
        <f>IF(Table1[[#This Row],[Active_months]]&gt;=1, 1, 0)</f>
        <v>1</v>
      </c>
    </row>
    <row r="1407" spans="1:10" x14ac:dyDescent="0.3">
      <c r="A1407">
        <v>156943008</v>
      </c>
      <c r="B1407" s="1">
        <v>44987</v>
      </c>
      <c r="C1407" s="1">
        <v>44987</v>
      </c>
      <c r="D1407">
        <v>39</v>
      </c>
      <c r="E1407" t="s">
        <v>6</v>
      </c>
      <c r="F1407" t="s">
        <v>7</v>
      </c>
      <c r="G1407" s="1">
        <f t="shared" si="63"/>
        <v>44987</v>
      </c>
      <c r="H1407">
        <f t="shared" si="64"/>
        <v>0</v>
      </c>
      <c r="I1407">
        <f t="shared" si="65"/>
        <v>0</v>
      </c>
      <c r="J1407">
        <f>IF(Table1[[#This Row],[Active_months]]&gt;=1, 1, 0)</f>
        <v>0</v>
      </c>
    </row>
    <row r="1408" spans="1:10" x14ac:dyDescent="0.3">
      <c r="A1408">
        <v>190657026</v>
      </c>
      <c r="B1408" s="1">
        <v>44987</v>
      </c>
      <c r="C1408" s="1">
        <v>45014</v>
      </c>
      <c r="D1408">
        <v>39</v>
      </c>
      <c r="E1408" t="s">
        <v>6</v>
      </c>
      <c r="F1408" t="s">
        <v>7</v>
      </c>
      <c r="G1408" s="1">
        <f t="shared" si="63"/>
        <v>45014</v>
      </c>
      <c r="H1408">
        <f t="shared" si="64"/>
        <v>0</v>
      </c>
      <c r="I1408">
        <f t="shared" si="65"/>
        <v>0</v>
      </c>
      <c r="J1408">
        <f>IF(Table1[[#This Row],[Active_months]]&gt;=1, 1, 0)</f>
        <v>0</v>
      </c>
    </row>
    <row r="1409" spans="1:10" x14ac:dyDescent="0.3">
      <c r="A1409">
        <v>205700946</v>
      </c>
      <c r="B1409" s="1">
        <v>44988</v>
      </c>
      <c r="D1409">
        <v>39</v>
      </c>
      <c r="E1409" t="s">
        <v>6</v>
      </c>
      <c r="F1409" t="s">
        <v>7</v>
      </c>
      <c r="G1409" s="1">
        <f t="shared" si="63"/>
        <v>45199</v>
      </c>
      <c r="H1409">
        <f t="shared" si="64"/>
        <v>6</v>
      </c>
      <c r="I1409">
        <f t="shared" si="65"/>
        <v>1</v>
      </c>
      <c r="J1409">
        <f>IF(Table1[[#This Row],[Active_months]]&gt;=1, 1, 0)</f>
        <v>1</v>
      </c>
    </row>
    <row r="1410" spans="1:10" x14ac:dyDescent="0.3">
      <c r="A1410">
        <v>165807144</v>
      </c>
      <c r="B1410" s="1">
        <v>44988</v>
      </c>
      <c r="D1410">
        <v>39</v>
      </c>
      <c r="E1410" t="s">
        <v>6</v>
      </c>
      <c r="F1410" t="s">
        <v>7</v>
      </c>
      <c r="G1410" s="1">
        <f t="shared" si="63"/>
        <v>45199</v>
      </c>
      <c r="H1410">
        <f t="shared" si="64"/>
        <v>6</v>
      </c>
      <c r="I1410">
        <f t="shared" si="65"/>
        <v>1</v>
      </c>
      <c r="J1410">
        <f>IF(Table1[[#This Row],[Active_months]]&gt;=1, 1, 0)</f>
        <v>1</v>
      </c>
    </row>
    <row r="1411" spans="1:10" x14ac:dyDescent="0.3">
      <c r="A1411">
        <v>125635419</v>
      </c>
      <c r="B1411" s="1">
        <v>44988</v>
      </c>
      <c r="C1411" s="1">
        <v>44989</v>
      </c>
      <c r="D1411">
        <v>39</v>
      </c>
      <c r="E1411" t="s">
        <v>6</v>
      </c>
      <c r="F1411" t="s">
        <v>7</v>
      </c>
      <c r="G1411" s="1">
        <f t="shared" ref="G1411:G1474" si="66">IF(ISBLANK(C1411), DATE(2023,9,30), C1411)</f>
        <v>44989</v>
      </c>
      <c r="H1411">
        <f t="shared" ref="H1411:H1474" si="67">(YEAR(G1411)-YEAR(B1411))*12 + (MONTH(G1411)-MONTH(B1411))</f>
        <v>0</v>
      </c>
      <c r="I1411">
        <f t="shared" ref="I1411:I1474" si="68">IF(H1411 &gt;=5, 1, 0)</f>
        <v>0</v>
      </c>
      <c r="J1411">
        <f>IF(Table1[[#This Row],[Active_months]]&gt;=1, 1, 0)</f>
        <v>0</v>
      </c>
    </row>
    <row r="1412" spans="1:10" x14ac:dyDescent="0.3">
      <c r="A1412">
        <v>205707486</v>
      </c>
      <c r="B1412" s="1">
        <v>44988</v>
      </c>
      <c r="C1412" s="1">
        <v>44989</v>
      </c>
      <c r="D1412">
        <v>39</v>
      </c>
      <c r="E1412" t="s">
        <v>6</v>
      </c>
      <c r="F1412" t="s">
        <v>8</v>
      </c>
      <c r="G1412" s="1">
        <f t="shared" si="66"/>
        <v>44989</v>
      </c>
      <c r="H1412">
        <f t="shared" si="67"/>
        <v>0</v>
      </c>
      <c r="I1412">
        <f t="shared" si="68"/>
        <v>0</v>
      </c>
      <c r="J1412">
        <f>IF(Table1[[#This Row],[Active_months]]&gt;=1, 1, 0)</f>
        <v>0</v>
      </c>
    </row>
    <row r="1413" spans="1:10" x14ac:dyDescent="0.3">
      <c r="A1413">
        <v>150663700</v>
      </c>
      <c r="B1413" s="1">
        <v>44988</v>
      </c>
      <c r="C1413" s="1">
        <v>44989</v>
      </c>
      <c r="D1413">
        <v>39</v>
      </c>
      <c r="E1413" t="s">
        <v>6</v>
      </c>
      <c r="F1413" t="s">
        <v>8</v>
      </c>
      <c r="G1413" s="1">
        <f t="shared" si="66"/>
        <v>44989</v>
      </c>
      <c r="H1413">
        <f t="shared" si="67"/>
        <v>0</v>
      </c>
      <c r="I1413">
        <f t="shared" si="68"/>
        <v>0</v>
      </c>
      <c r="J1413">
        <f>IF(Table1[[#This Row],[Active_months]]&gt;=1, 1, 0)</f>
        <v>0</v>
      </c>
    </row>
    <row r="1414" spans="1:10" x14ac:dyDescent="0.3">
      <c r="A1414">
        <v>149157588</v>
      </c>
      <c r="B1414" s="1">
        <v>44988</v>
      </c>
      <c r="C1414" s="1">
        <v>45056</v>
      </c>
      <c r="D1414">
        <v>39</v>
      </c>
      <c r="E1414" t="s">
        <v>6</v>
      </c>
      <c r="F1414" t="s">
        <v>7</v>
      </c>
      <c r="G1414" s="1">
        <f t="shared" si="66"/>
        <v>45056</v>
      </c>
      <c r="H1414">
        <f t="shared" si="67"/>
        <v>2</v>
      </c>
      <c r="I1414">
        <f t="shared" si="68"/>
        <v>0</v>
      </c>
      <c r="J1414">
        <f>IF(Table1[[#This Row],[Active_months]]&gt;=1, 1, 0)</f>
        <v>1</v>
      </c>
    </row>
    <row r="1415" spans="1:10" x14ac:dyDescent="0.3">
      <c r="A1415">
        <v>205686881</v>
      </c>
      <c r="B1415" s="1">
        <v>44988</v>
      </c>
      <c r="C1415" s="1">
        <v>45087</v>
      </c>
      <c r="D1415">
        <v>39</v>
      </c>
      <c r="E1415" t="s">
        <v>6</v>
      </c>
      <c r="F1415" t="s">
        <v>7</v>
      </c>
      <c r="G1415" s="1">
        <f t="shared" si="66"/>
        <v>45087</v>
      </c>
      <c r="H1415">
        <f t="shared" si="67"/>
        <v>3</v>
      </c>
      <c r="I1415">
        <f t="shared" si="68"/>
        <v>0</v>
      </c>
      <c r="J1415">
        <f>IF(Table1[[#This Row],[Active_months]]&gt;=1, 1, 0)</f>
        <v>1</v>
      </c>
    </row>
    <row r="1416" spans="1:10" x14ac:dyDescent="0.3">
      <c r="A1416">
        <v>138347540</v>
      </c>
      <c r="B1416" s="1">
        <v>44988</v>
      </c>
      <c r="C1416" s="1">
        <v>45054</v>
      </c>
      <c r="D1416">
        <v>39</v>
      </c>
      <c r="E1416" t="s">
        <v>6</v>
      </c>
      <c r="F1416" t="s">
        <v>7</v>
      </c>
      <c r="G1416" s="1">
        <f t="shared" si="66"/>
        <v>45054</v>
      </c>
      <c r="H1416">
        <f t="shared" si="67"/>
        <v>2</v>
      </c>
      <c r="I1416">
        <f t="shared" si="68"/>
        <v>0</v>
      </c>
      <c r="J1416">
        <f>IF(Table1[[#This Row],[Active_months]]&gt;=1, 1, 0)</f>
        <v>1</v>
      </c>
    </row>
    <row r="1417" spans="1:10" x14ac:dyDescent="0.3">
      <c r="A1417">
        <v>154344817</v>
      </c>
      <c r="B1417" s="1">
        <v>44988</v>
      </c>
      <c r="C1417" s="1">
        <v>45036</v>
      </c>
      <c r="D1417">
        <v>39</v>
      </c>
      <c r="E1417" t="s">
        <v>6</v>
      </c>
      <c r="F1417" t="s">
        <v>7</v>
      </c>
      <c r="G1417" s="1">
        <f t="shared" si="66"/>
        <v>45036</v>
      </c>
      <c r="H1417">
        <f t="shared" si="67"/>
        <v>1</v>
      </c>
      <c r="I1417">
        <f t="shared" si="68"/>
        <v>0</v>
      </c>
      <c r="J1417">
        <f>IF(Table1[[#This Row],[Active_months]]&gt;=1, 1, 0)</f>
        <v>1</v>
      </c>
    </row>
    <row r="1418" spans="1:10" x14ac:dyDescent="0.3">
      <c r="A1418">
        <v>205530810</v>
      </c>
      <c r="B1418" s="1">
        <v>44988</v>
      </c>
      <c r="C1418" s="1">
        <v>45026</v>
      </c>
      <c r="D1418">
        <v>39</v>
      </c>
      <c r="E1418" t="s">
        <v>6</v>
      </c>
      <c r="F1418" t="s">
        <v>7</v>
      </c>
      <c r="G1418" s="1">
        <f t="shared" si="66"/>
        <v>45026</v>
      </c>
      <c r="H1418">
        <f t="shared" si="67"/>
        <v>1</v>
      </c>
      <c r="I1418">
        <f t="shared" si="68"/>
        <v>0</v>
      </c>
      <c r="J1418">
        <f>IF(Table1[[#This Row],[Active_months]]&gt;=1, 1, 0)</f>
        <v>1</v>
      </c>
    </row>
    <row r="1419" spans="1:10" x14ac:dyDescent="0.3">
      <c r="A1419">
        <v>205731473</v>
      </c>
      <c r="B1419" s="1">
        <v>44988</v>
      </c>
      <c r="C1419" s="1">
        <v>45004</v>
      </c>
      <c r="D1419">
        <v>39</v>
      </c>
      <c r="E1419" t="s">
        <v>6</v>
      </c>
      <c r="F1419" t="s">
        <v>7</v>
      </c>
      <c r="G1419" s="1">
        <f t="shared" si="66"/>
        <v>45004</v>
      </c>
      <c r="H1419">
        <f t="shared" si="67"/>
        <v>0</v>
      </c>
      <c r="I1419">
        <f t="shared" si="68"/>
        <v>0</v>
      </c>
      <c r="J1419">
        <f>IF(Table1[[#This Row],[Active_months]]&gt;=1, 1, 0)</f>
        <v>0</v>
      </c>
    </row>
    <row r="1420" spans="1:10" x14ac:dyDescent="0.3">
      <c r="A1420">
        <v>205692510</v>
      </c>
      <c r="B1420" s="1">
        <v>44989</v>
      </c>
      <c r="D1420">
        <v>39</v>
      </c>
      <c r="E1420" t="s">
        <v>6</v>
      </c>
      <c r="F1420" t="s">
        <v>7</v>
      </c>
      <c r="G1420" s="1">
        <f t="shared" si="66"/>
        <v>45199</v>
      </c>
      <c r="H1420">
        <f t="shared" si="67"/>
        <v>6</v>
      </c>
      <c r="I1420">
        <f t="shared" si="68"/>
        <v>1</v>
      </c>
      <c r="J1420">
        <f>IF(Table1[[#This Row],[Active_months]]&gt;=1, 1, 0)</f>
        <v>1</v>
      </c>
    </row>
    <row r="1421" spans="1:10" x14ac:dyDescent="0.3">
      <c r="A1421">
        <v>191670525</v>
      </c>
      <c r="B1421" s="1">
        <v>44989</v>
      </c>
      <c r="C1421" s="1">
        <v>45058</v>
      </c>
      <c r="D1421">
        <v>39</v>
      </c>
      <c r="E1421" t="s">
        <v>6</v>
      </c>
      <c r="F1421" t="s">
        <v>7</v>
      </c>
      <c r="G1421" s="1">
        <f t="shared" si="66"/>
        <v>45058</v>
      </c>
      <c r="H1421">
        <f t="shared" si="67"/>
        <v>2</v>
      </c>
      <c r="I1421">
        <f t="shared" si="68"/>
        <v>0</v>
      </c>
      <c r="J1421">
        <f>IF(Table1[[#This Row],[Active_months]]&gt;=1, 1, 0)</f>
        <v>1</v>
      </c>
    </row>
    <row r="1422" spans="1:10" x14ac:dyDescent="0.3">
      <c r="A1422">
        <v>205492489</v>
      </c>
      <c r="B1422" s="1">
        <v>44989</v>
      </c>
      <c r="C1422" s="1">
        <v>45057</v>
      </c>
      <c r="D1422">
        <v>39</v>
      </c>
      <c r="E1422" t="s">
        <v>6</v>
      </c>
      <c r="F1422" t="s">
        <v>7</v>
      </c>
      <c r="G1422" s="1">
        <f t="shared" si="66"/>
        <v>45057</v>
      </c>
      <c r="H1422">
        <f t="shared" si="67"/>
        <v>2</v>
      </c>
      <c r="I1422">
        <f t="shared" si="68"/>
        <v>0</v>
      </c>
      <c r="J1422">
        <f>IF(Table1[[#This Row],[Active_months]]&gt;=1, 1, 0)</f>
        <v>1</v>
      </c>
    </row>
    <row r="1423" spans="1:10" x14ac:dyDescent="0.3">
      <c r="A1423">
        <v>205026942</v>
      </c>
      <c r="B1423" s="1">
        <v>44989</v>
      </c>
      <c r="C1423" s="1">
        <v>45050</v>
      </c>
      <c r="D1423">
        <v>39</v>
      </c>
      <c r="E1423" t="s">
        <v>6</v>
      </c>
      <c r="F1423" t="s">
        <v>7</v>
      </c>
      <c r="G1423" s="1">
        <f t="shared" si="66"/>
        <v>45050</v>
      </c>
      <c r="H1423">
        <f t="shared" si="67"/>
        <v>2</v>
      </c>
      <c r="I1423">
        <f t="shared" si="68"/>
        <v>0</v>
      </c>
      <c r="J1423">
        <f>IF(Table1[[#This Row],[Active_months]]&gt;=1, 1, 0)</f>
        <v>1</v>
      </c>
    </row>
    <row r="1424" spans="1:10" x14ac:dyDescent="0.3">
      <c r="A1424">
        <v>205768824</v>
      </c>
      <c r="B1424" s="1">
        <v>44989</v>
      </c>
      <c r="C1424" s="1">
        <v>45017</v>
      </c>
      <c r="D1424">
        <v>39</v>
      </c>
      <c r="E1424" t="s">
        <v>6</v>
      </c>
      <c r="F1424" t="s">
        <v>7</v>
      </c>
      <c r="G1424" s="1">
        <f t="shared" si="66"/>
        <v>45017</v>
      </c>
      <c r="H1424">
        <f t="shared" si="67"/>
        <v>1</v>
      </c>
      <c r="I1424">
        <f t="shared" si="68"/>
        <v>0</v>
      </c>
      <c r="J1424">
        <f>IF(Table1[[#This Row],[Active_months]]&gt;=1, 1, 0)</f>
        <v>1</v>
      </c>
    </row>
    <row r="1425" spans="1:10" x14ac:dyDescent="0.3">
      <c r="A1425">
        <v>160824884</v>
      </c>
      <c r="B1425" s="1">
        <v>44989</v>
      </c>
      <c r="C1425" s="1">
        <v>45018</v>
      </c>
      <c r="D1425">
        <v>39</v>
      </c>
      <c r="E1425" t="s">
        <v>6</v>
      </c>
      <c r="F1425" t="s">
        <v>7</v>
      </c>
      <c r="G1425" s="1">
        <f t="shared" si="66"/>
        <v>45018</v>
      </c>
      <c r="H1425">
        <f t="shared" si="67"/>
        <v>1</v>
      </c>
      <c r="I1425">
        <f t="shared" si="68"/>
        <v>0</v>
      </c>
      <c r="J1425">
        <f>IF(Table1[[#This Row],[Active_months]]&gt;=1, 1, 0)</f>
        <v>1</v>
      </c>
    </row>
    <row r="1426" spans="1:10" x14ac:dyDescent="0.3">
      <c r="A1426">
        <v>205742224</v>
      </c>
      <c r="B1426" s="1">
        <v>44989</v>
      </c>
      <c r="C1426" s="1">
        <v>44989</v>
      </c>
      <c r="D1426">
        <v>39</v>
      </c>
      <c r="E1426" t="s">
        <v>6</v>
      </c>
      <c r="F1426" t="s">
        <v>7</v>
      </c>
      <c r="G1426" s="1">
        <f t="shared" si="66"/>
        <v>44989</v>
      </c>
      <c r="H1426">
        <f t="shared" si="67"/>
        <v>0</v>
      </c>
      <c r="I1426">
        <f t="shared" si="68"/>
        <v>0</v>
      </c>
      <c r="J1426">
        <f>IF(Table1[[#This Row],[Active_months]]&gt;=1, 1, 0)</f>
        <v>0</v>
      </c>
    </row>
    <row r="1427" spans="1:10" x14ac:dyDescent="0.3">
      <c r="A1427">
        <v>205804144</v>
      </c>
      <c r="B1427" s="1">
        <v>44990</v>
      </c>
      <c r="C1427" s="1">
        <v>45103</v>
      </c>
      <c r="D1427">
        <v>39</v>
      </c>
      <c r="E1427" t="s">
        <v>6</v>
      </c>
      <c r="F1427" t="s">
        <v>7</v>
      </c>
      <c r="G1427" s="1">
        <f t="shared" si="66"/>
        <v>45103</v>
      </c>
      <c r="H1427">
        <f t="shared" si="67"/>
        <v>3</v>
      </c>
      <c r="I1427">
        <f t="shared" si="68"/>
        <v>0</v>
      </c>
      <c r="J1427">
        <f>IF(Table1[[#This Row],[Active_months]]&gt;=1, 1, 0)</f>
        <v>1</v>
      </c>
    </row>
    <row r="1428" spans="1:10" x14ac:dyDescent="0.3">
      <c r="A1428">
        <v>205703512</v>
      </c>
      <c r="B1428" s="1">
        <v>44990</v>
      </c>
      <c r="C1428" s="1">
        <v>45075</v>
      </c>
      <c r="D1428">
        <v>39</v>
      </c>
      <c r="E1428" t="s">
        <v>6</v>
      </c>
      <c r="F1428" t="s">
        <v>7</v>
      </c>
      <c r="G1428" s="1">
        <f t="shared" si="66"/>
        <v>45075</v>
      </c>
      <c r="H1428">
        <f t="shared" si="67"/>
        <v>2</v>
      </c>
      <c r="I1428">
        <f t="shared" si="68"/>
        <v>0</v>
      </c>
      <c r="J1428">
        <f>IF(Table1[[#This Row],[Active_months]]&gt;=1, 1, 0)</f>
        <v>1</v>
      </c>
    </row>
    <row r="1429" spans="1:10" x14ac:dyDescent="0.3">
      <c r="A1429">
        <v>131181843</v>
      </c>
      <c r="B1429" s="1">
        <v>44990</v>
      </c>
      <c r="C1429" s="1">
        <v>44990</v>
      </c>
      <c r="D1429">
        <v>39</v>
      </c>
      <c r="E1429" t="s">
        <v>6</v>
      </c>
      <c r="F1429" t="s">
        <v>7</v>
      </c>
      <c r="G1429" s="1">
        <f t="shared" si="66"/>
        <v>44990</v>
      </c>
      <c r="H1429">
        <f t="shared" si="67"/>
        <v>0</v>
      </c>
      <c r="I1429">
        <f t="shared" si="68"/>
        <v>0</v>
      </c>
      <c r="J1429">
        <f>IF(Table1[[#This Row],[Active_months]]&gt;=1, 1, 0)</f>
        <v>0</v>
      </c>
    </row>
    <row r="1430" spans="1:10" x14ac:dyDescent="0.3">
      <c r="A1430">
        <v>205713052</v>
      </c>
      <c r="B1430" s="1">
        <v>44991</v>
      </c>
      <c r="D1430">
        <v>39</v>
      </c>
      <c r="E1430" t="s">
        <v>6</v>
      </c>
      <c r="F1430" t="s">
        <v>7</v>
      </c>
      <c r="G1430" s="1">
        <f t="shared" si="66"/>
        <v>45199</v>
      </c>
      <c r="H1430">
        <f t="shared" si="67"/>
        <v>6</v>
      </c>
      <c r="I1430">
        <f t="shared" si="68"/>
        <v>1</v>
      </c>
      <c r="J1430">
        <f>IF(Table1[[#This Row],[Active_months]]&gt;=1, 1, 0)</f>
        <v>1</v>
      </c>
    </row>
    <row r="1431" spans="1:10" x14ac:dyDescent="0.3">
      <c r="A1431">
        <v>138121122</v>
      </c>
      <c r="B1431" s="1">
        <v>44991</v>
      </c>
      <c r="D1431">
        <v>39</v>
      </c>
      <c r="E1431" t="s">
        <v>6</v>
      </c>
      <c r="F1431" t="s">
        <v>7</v>
      </c>
      <c r="G1431" s="1">
        <f t="shared" si="66"/>
        <v>45199</v>
      </c>
      <c r="H1431">
        <f t="shared" si="67"/>
        <v>6</v>
      </c>
      <c r="I1431">
        <f t="shared" si="68"/>
        <v>1</v>
      </c>
      <c r="J1431">
        <f>IF(Table1[[#This Row],[Active_months]]&gt;=1, 1, 0)</f>
        <v>1</v>
      </c>
    </row>
    <row r="1432" spans="1:10" x14ac:dyDescent="0.3">
      <c r="A1432">
        <v>191326286</v>
      </c>
      <c r="B1432" s="1">
        <v>44991</v>
      </c>
      <c r="D1432">
        <v>39</v>
      </c>
      <c r="E1432" t="s">
        <v>6</v>
      </c>
      <c r="F1432" t="s">
        <v>7</v>
      </c>
      <c r="G1432" s="1">
        <f t="shared" si="66"/>
        <v>45199</v>
      </c>
      <c r="H1432">
        <f t="shared" si="67"/>
        <v>6</v>
      </c>
      <c r="I1432">
        <f t="shared" si="68"/>
        <v>1</v>
      </c>
      <c r="J1432">
        <f>IF(Table1[[#This Row],[Active_months]]&gt;=1, 1, 0)</f>
        <v>1</v>
      </c>
    </row>
    <row r="1433" spans="1:10" x14ac:dyDescent="0.3">
      <c r="A1433">
        <v>178838732</v>
      </c>
      <c r="B1433" s="1">
        <v>44991</v>
      </c>
      <c r="D1433">
        <v>39</v>
      </c>
      <c r="E1433" t="s">
        <v>6</v>
      </c>
      <c r="F1433" t="s">
        <v>7</v>
      </c>
      <c r="G1433" s="1">
        <f t="shared" si="66"/>
        <v>45199</v>
      </c>
      <c r="H1433">
        <f t="shared" si="67"/>
        <v>6</v>
      </c>
      <c r="I1433">
        <f t="shared" si="68"/>
        <v>1</v>
      </c>
      <c r="J1433">
        <f>IF(Table1[[#This Row],[Active_months]]&gt;=1, 1, 0)</f>
        <v>1</v>
      </c>
    </row>
    <row r="1434" spans="1:10" x14ac:dyDescent="0.3">
      <c r="A1434">
        <v>205871342</v>
      </c>
      <c r="B1434" s="1">
        <v>44991</v>
      </c>
      <c r="D1434">
        <v>39</v>
      </c>
      <c r="E1434" t="s">
        <v>6</v>
      </c>
      <c r="F1434" t="s">
        <v>7</v>
      </c>
      <c r="G1434" s="1">
        <f t="shared" si="66"/>
        <v>45199</v>
      </c>
      <c r="H1434">
        <f t="shared" si="67"/>
        <v>6</v>
      </c>
      <c r="I1434">
        <f t="shared" si="68"/>
        <v>1</v>
      </c>
      <c r="J1434">
        <f>IF(Table1[[#This Row],[Active_months]]&gt;=1, 1, 0)</f>
        <v>1</v>
      </c>
    </row>
    <row r="1435" spans="1:10" x14ac:dyDescent="0.3">
      <c r="A1435">
        <v>202160641</v>
      </c>
      <c r="B1435" s="1">
        <v>44991</v>
      </c>
      <c r="C1435" s="1">
        <v>45082</v>
      </c>
      <c r="D1435">
        <v>39</v>
      </c>
      <c r="E1435" t="s">
        <v>6</v>
      </c>
      <c r="F1435" t="s">
        <v>7</v>
      </c>
      <c r="G1435" s="1">
        <f t="shared" si="66"/>
        <v>45082</v>
      </c>
      <c r="H1435">
        <f t="shared" si="67"/>
        <v>3</v>
      </c>
      <c r="I1435">
        <f t="shared" si="68"/>
        <v>0</v>
      </c>
      <c r="J1435">
        <f>IF(Table1[[#This Row],[Active_months]]&gt;=1, 1, 0)</f>
        <v>1</v>
      </c>
    </row>
    <row r="1436" spans="1:10" x14ac:dyDescent="0.3">
      <c r="A1436">
        <v>205786362</v>
      </c>
      <c r="B1436" s="1">
        <v>44991</v>
      </c>
      <c r="C1436" s="1">
        <v>45072</v>
      </c>
      <c r="D1436">
        <v>39</v>
      </c>
      <c r="E1436" t="s">
        <v>6</v>
      </c>
      <c r="F1436" t="s">
        <v>7</v>
      </c>
      <c r="G1436" s="1">
        <f t="shared" si="66"/>
        <v>45072</v>
      </c>
      <c r="H1436">
        <f t="shared" si="67"/>
        <v>2</v>
      </c>
      <c r="I1436">
        <f t="shared" si="68"/>
        <v>0</v>
      </c>
      <c r="J1436">
        <f>IF(Table1[[#This Row],[Active_months]]&gt;=1, 1, 0)</f>
        <v>1</v>
      </c>
    </row>
    <row r="1437" spans="1:10" x14ac:dyDescent="0.3">
      <c r="A1437">
        <v>159798906</v>
      </c>
      <c r="B1437" s="1">
        <v>44991</v>
      </c>
      <c r="C1437" s="1">
        <v>45023</v>
      </c>
      <c r="D1437">
        <v>39</v>
      </c>
      <c r="E1437" t="s">
        <v>6</v>
      </c>
      <c r="F1437" t="s">
        <v>7</v>
      </c>
      <c r="G1437" s="1">
        <f t="shared" si="66"/>
        <v>45023</v>
      </c>
      <c r="H1437">
        <f t="shared" si="67"/>
        <v>1</v>
      </c>
      <c r="I1437">
        <f t="shared" si="68"/>
        <v>0</v>
      </c>
      <c r="J1437">
        <f>IF(Table1[[#This Row],[Active_months]]&gt;=1, 1, 0)</f>
        <v>1</v>
      </c>
    </row>
    <row r="1438" spans="1:10" x14ac:dyDescent="0.3">
      <c r="A1438">
        <v>166276152</v>
      </c>
      <c r="B1438" s="1">
        <v>44991</v>
      </c>
      <c r="C1438" s="1">
        <v>45019</v>
      </c>
      <c r="D1438">
        <v>39</v>
      </c>
      <c r="E1438" t="s">
        <v>6</v>
      </c>
      <c r="F1438" t="s">
        <v>7</v>
      </c>
      <c r="G1438" s="1">
        <f t="shared" si="66"/>
        <v>45019</v>
      </c>
      <c r="H1438">
        <f t="shared" si="67"/>
        <v>1</v>
      </c>
      <c r="I1438">
        <f t="shared" si="68"/>
        <v>0</v>
      </c>
      <c r="J1438">
        <f>IF(Table1[[#This Row],[Active_months]]&gt;=1, 1, 0)</f>
        <v>1</v>
      </c>
    </row>
    <row r="1439" spans="1:10" x14ac:dyDescent="0.3">
      <c r="A1439">
        <v>156353738</v>
      </c>
      <c r="B1439" s="1">
        <v>44991</v>
      </c>
      <c r="C1439" s="1">
        <v>44998</v>
      </c>
      <c r="D1439">
        <v>39</v>
      </c>
      <c r="E1439" t="s">
        <v>6</v>
      </c>
      <c r="F1439" t="s">
        <v>7</v>
      </c>
      <c r="G1439" s="1">
        <f t="shared" si="66"/>
        <v>44998</v>
      </c>
      <c r="H1439">
        <f t="shared" si="67"/>
        <v>0</v>
      </c>
      <c r="I1439">
        <f t="shared" si="68"/>
        <v>0</v>
      </c>
      <c r="J1439">
        <f>IF(Table1[[#This Row],[Active_months]]&gt;=1, 1, 0)</f>
        <v>0</v>
      </c>
    </row>
    <row r="1440" spans="1:10" x14ac:dyDescent="0.3">
      <c r="A1440">
        <v>205864612</v>
      </c>
      <c r="B1440" s="1">
        <v>44991</v>
      </c>
      <c r="C1440" s="1">
        <v>45003</v>
      </c>
      <c r="D1440">
        <v>39</v>
      </c>
      <c r="E1440" t="s">
        <v>6</v>
      </c>
      <c r="F1440" t="s">
        <v>7</v>
      </c>
      <c r="G1440" s="1">
        <f t="shared" si="66"/>
        <v>45003</v>
      </c>
      <c r="H1440">
        <f t="shared" si="67"/>
        <v>0</v>
      </c>
      <c r="I1440">
        <f t="shared" si="68"/>
        <v>0</v>
      </c>
      <c r="J1440">
        <f>IF(Table1[[#This Row],[Active_months]]&gt;=1, 1, 0)</f>
        <v>0</v>
      </c>
    </row>
    <row r="1441" spans="1:10" x14ac:dyDescent="0.3">
      <c r="A1441">
        <v>142757196</v>
      </c>
      <c r="B1441" s="1">
        <v>44992</v>
      </c>
      <c r="C1441" s="1">
        <v>45116</v>
      </c>
      <c r="D1441">
        <v>39</v>
      </c>
      <c r="E1441" t="s">
        <v>6</v>
      </c>
      <c r="F1441" t="s">
        <v>7</v>
      </c>
      <c r="G1441" s="1">
        <f t="shared" si="66"/>
        <v>45116</v>
      </c>
      <c r="H1441">
        <f t="shared" si="67"/>
        <v>4</v>
      </c>
      <c r="I1441">
        <f t="shared" si="68"/>
        <v>0</v>
      </c>
      <c r="J1441">
        <f>IF(Table1[[#This Row],[Active_months]]&gt;=1, 1, 0)</f>
        <v>1</v>
      </c>
    </row>
    <row r="1442" spans="1:10" x14ac:dyDescent="0.3">
      <c r="A1442">
        <v>205971108</v>
      </c>
      <c r="B1442" s="1">
        <v>44992</v>
      </c>
      <c r="C1442" s="1">
        <v>45099</v>
      </c>
      <c r="D1442">
        <v>39</v>
      </c>
      <c r="E1442" t="s">
        <v>6</v>
      </c>
      <c r="F1442" t="s">
        <v>7</v>
      </c>
      <c r="G1442" s="1">
        <f t="shared" si="66"/>
        <v>45099</v>
      </c>
      <c r="H1442">
        <f t="shared" si="67"/>
        <v>3</v>
      </c>
      <c r="I1442">
        <f t="shared" si="68"/>
        <v>0</v>
      </c>
      <c r="J1442">
        <f>IF(Table1[[#This Row],[Active_months]]&gt;=1, 1, 0)</f>
        <v>1</v>
      </c>
    </row>
    <row r="1443" spans="1:10" x14ac:dyDescent="0.3">
      <c r="A1443">
        <v>206001231</v>
      </c>
      <c r="B1443" s="1">
        <v>44992</v>
      </c>
      <c r="C1443" s="1">
        <v>45077</v>
      </c>
      <c r="D1443">
        <v>39</v>
      </c>
      <c r="E1443" t="s">
        <v>6</v>
      </c>
      <c r="F1443" t="s">
        <v>7</v>
      </c>
      <c r="G1443" s="1">
        <f t="shared" si="66"/>
        <v>45077</v>
      </c>
      <c r="H1443">
        <f t="shared" si="67"/>
        <v>2</v>
      </c>
      <c r="I1443">
        <f t="shared" si="68"/>
        <v>0</v>
      </c>
      <c r="J1443">
        <f>IF(Table1[[#This Row],[Active_months]]&gt;=1, 1, 0)</f>
        <v>1</v>
      </c>
    </row>
    <row r="1444" spans="1:10" x14ac:dyDescent="0.3">
      <c r="A1444">
        <v>205878686</v>
      </c>
      <c r="B1444" s="1">
        <v>44992</v>
      </c>
      <c r="C1444" s="1">
        <v>44992</v>
      </c>
      <c r="D1444">
        <v>39</v>
      </c>
      <c r="E1444" t="s">
        <v>6</v>
      </c>
      <c r="F1444" t="s">
        <v>7</v>
      </c>
      <c r="G1444" s="1">
        <f t="shared" si="66"/>
        <v>44992</v>
      </c>
      <c r="H1444">
        <f t="shared" si="67"/>
        <v>0</v>
      </c>
      <c r="I1444">
        <f t="shared" si="68"/>
        <v>0</v>
      </c>
      <c r="J1444">
        <f>IF(Table1[[#This Row],[Active_months]]&gt;=1, 1, 0)</f>
        <v>0</v>
      </c>
    </row>
    <row r="1445" spans="1:10" x14ac:dyDescent="0.3">
      <c r="A1445">
        <v>206052140</v>
      </c>
      <c r="B1445" s="1">
        <v>44993</v>
      </c>
      <c r="D1445">
        <v>39</v>
      </c>
      <c r="E1445" t="s">
        <v>6</v>
      </c>
      <c r="F1445" t="s">
        <v>7</v>
      </c>
      <c r="G1445" s="1">
        <f t="shared" si="66"/>
        <v>45199</v>
      </c>
      <c r="H1445">
        <f t="shared" si="67"/>
        <v>6</v>
      </c>
      <c r="I1445">
        <f t="shared" si="68"/>
        <v>1</v>
      </c>
      <c r="J1445">
        <f>IF(Table1[[#This Row],[Active_months]]&gt;=1, 1, 0)</f>
        <v>1</v>
      </c>
    </row>
    <row r="1446" spans="1:10" x14ac:dyDescent="0.3">
      <c r="A1446">
        <v>154082747</v>
      </c>
      <c r="B1446" s="1">
        <v>44993</v>
      </c>
      <c r="C1446" s="1">
        <v>44994</v>
      </c>
      <c r="D1446">
        <v>39</v>
      </c>
      <c r="E1446" t="s">
        <v>6</v>
      </c>
      <c r="F1446" t="s">
        <v>7</v>
      </c>
      <c r="G1446" s="1">
        <f t="shared" si="66"/>
        <v>44994</v>
      </c>
      <c r="H1446">
        <f t="shared" si="67"/>
        <v>0</v>
      </c>
      <c r="I1446">
        <f t="shared" si="68"/>
        <v>0</v>
      </c>
      <c r="J1446">
        <f>IF(Table1[[#This Row],[Active_months]]&gt;=1, 1, 0)</f>
        <v>0</v>
      </c>
    </row>
    <row r="1447" spans="1:10" x14ac:dyDescent="0.3">
      <c r="A1447">
        <v>206017161</v>
      </c>
      <c r="B1447" s="1">
        <v>44993</v>
      </c>
      <c r="C1447" s="1">
        <v>44994</v>
      </c>
      <c r="D1447">
        <v>39</v>
      </c>
      <c r="E1447" t="s">
        <v>6</v>
      </c>
      <c r="F1447" t="s">
        <v>8</v>
      </c>
      <c r="G1447" s="1">
        <f t="shared" si="66"/>
        <v>44994</v>
      </c>
      <c r="H1447">
        <f t="shared" si="67"/>
        <v>0</v>
      </c>
      <c r="I1447">
        <f t="shared" si="68"/>
        <v>0</v>
      </c>
      <c r="J1447">
        <f>IF(Table1[[#This Row],[Active_months]]&gt;=1, 1, 0)</f>
        <v>0</v>
      </c>
    </row>
    <row r="1448" spans="1:10" x14ac:dyDescent="0.3">
      <c r="A1448">
        <v>203152686</v>
      </c>
      <c r="B1448" s="1">
        <v>44993</v>
      </c>
      <c r="C1448" s="1">
        <v>45067</v>
      </c>
      <c r="D1448">
        <v>39</v>
      </c>
      <c r="E1448" t="s">
        <v>6</v>
      </c>
      <c r="F1448" t="s">
        <v>7</v>
      </c>
      <c r="G1448" s="1">
        <f t="shared" si="66"/>
        <v>45067</v>
      </c>
      <c r="H1448">
        <f t="shared" si="67"/>
        <v>2</v>
      </c>
      <c r="I1448">
        <f t="shared" si="68"/>
        <v>0</v>
      </c>
      <c r="J1448">
        <f>IF(Table1[[#This Row],[Active_months]]&gt;=1, 1, 0)</f>
        <v>1</v>
      </c>
    </row>
    <row r="1449" spans="1:10" x14ac:dyDescent="0.3">
      <c r="A1449">
        <v>203320717</v>
      </c>
      <c r="B1449" s="1">
        <v>44993</v>
      </c>
      <c r="C1449" s="1">
        <v>45023</v>
      </c>
      <c r="D1449">
        <v>39</v>
      </c>
      <c r="E1449" t="s">
        <v>6</v>
      </c>
      <c r="F1449" t="s">
        <v>7</v>
      </c>
      <c r="G1449" s="1">
        <f t="shared" si="66"/>
        <v>45023</v>
      </c>
      <c r="H1449">
        <f t="shared" si="67"/>
        <v>1</v>
      </c>
      <c r="I1449">
        <f t="shared" si="68"/>
        <v>0</v>
      </c>
      <c r="J1449">
        <f>IF(Table1[[#This Row],[Active_months]]&gt;=1, 1, 0)</f>
        <v>1</v>
      </c>
    </row>
    <row r="1450" spans="1:10" x14ac:dyDescent="0.3">
      <c r="A1450">
        <v>206076518</v>
      </c>
      <c r="B1450" s="1">
        <v>44994</v>
      </c>
      <c r="D1450">
        <v>39</v>
      </c>
      <c r="E1450" t="s">
        <v>6</v>
      </c>
      <c r="F1450" t="s">
        <v>7</v>
      </c>
      <c r="G1450" s="1">
        <f t="shared" si="66"/>
        <v>45199</v>
      </c>
      <c r="H1450">
        <f t="shared" si="67"/>
        <v>6</v>
      </c>
      <c r="I1450">
        <f t="shared" si="68"/>
        <v>1</v>
      </c>
      <c r="J1450">
        <f>IF(Table1[[#This Row],[Active_months]]&gt;=1, 1, 0)</f>
        <v>1</v>
      </c>
    </row>
    <row r="1451" spans="1:10" x14ac:dyDescent="0.3">
      <c r="A1451">
        <v>205881578</v>
      </c>
      <c r="B1451" s="1">
        <v>44994</v>
      </c>
      <c r="C1451" s="1">
        <v>45165</v>
      </c>
      <c r="D1451">
        <v>39</v>
      </c>
      <c r="E1451" t="s">
        <v>6</v>
      </c>
      <c r="F1451" t="s">
        <v>7</v>
      </c>
      <c r="G1451" s="1">
        <f t="shared" si="66"/>
        <v>45165</v>
      </c>
      <c r="H1451">
        <f t="shared" si="67"/>
        <v>5</v>
      </c>
      <c r="I1451">
        <f t="shared" si="68"/>
        <v>1</v>
      </c>
      <c r="J1451">
        <f>IF(Table1[[#This Row],[Active_months]]&gt;=1, 1, 0)</f>
        <v>1</v>
      </c>
    </row>
    <row r="1452" spans="1:10" x14ac:dyDescent="0.3">
      <c r="A1452">
        <v>152513944</v>
      </c>
      <c r="B1452" s="1">
        <v>44994</v>
      </c>
      <c r="C1452" s="1">
        <v>44995</v>
      </c>
      <c r="D1452">
        <v>39</v>
      </c>
      <c r="E1452" t="s">
        <v>6</v>
      </c>
      <c r="F1452" t="s">
        <v>7</v>
      </c>
      <c r="G1452" s="1">
        <f t="shared" si="66"/>
        <v>44995</v>
      </c>
      <c r="H1452">
        <f t="shared" si="67"/>
        <v>0</v>
      </c>
      <c r="I1452">
        <f t="shared" si="68"/>
        <v>0</v>
      </c>
      <c r="J1452">
        <f>IF(Table1[[#This Row],[Active_months]]&gt;=1, 1, 0)</f>
        <v>0</v>
      </c>
    </row>
    <row r="1453" spans="1:10" x14ac:dyDescent="0.3">
      <c r="A1453">
        <v>132371176</v>
      </c>
      <c r="B1453" s="1">
        <v>44994</v>
      </c>
      <c r="C1453" s="1">
        <v>44995</v>
      </c>
      <c r="D1453">
        <v>39</v>
      </c>
      <c r="E1453" t="s">
        <v>6</v>
      </c>
      <c r="F1453" t="s">
        <v>8</v>
      </c>
      <c r="G1453" s="1">
        <f t="shared" si="66"/>
        <v>44995</v>
      </c>
      <c r="H1453">
        <f t="shared" si="67"/>
        <v>0</v>
      </c>
      <c r="I1453">
        <f t="shared" si="68"/>
        <v>0</v>
      </c>
      <c r="J1453">
        <f>IF(Table1[[#This Row],[Active_months]]&gt;=1, 1, 0)</f>
        <v>0</v>
      </c>
    </row>
    <row r="1454" spans="1:10" x14ac:dyDescent="0.3">
      <c r="A1454">
        <v>135092264</v>
      </c>
      <c r="B1454" s="1">
        <v>44994</v>
      </c>
      <c r="C1454" s="1">
        <v>45118</v>
      </c>
      <c r="D1454">
        <v>39</v>
      </c>
      <c r="E1454" t="s">
        <v>6</v>
      </c>
      <c r="F1454" t="s">
        <v>7</v>
      </c>
      <c r="G1454" s="1">
        <f t="shared" si="66"/>
        <v>45118</v>
      </c>
      <c r="H1454">
        <f t="shared" si="67"/>
        <v>4</v>
      </c>
      <c r="I1454">
        <f t="shared" si="68"/>
        <v>0</v>
      </c>
      <c r="J1454">
        <f>IF(Table1[[#This Row],[Active_months]]&gt;=1, 1, 0)</f>
        <v>1</v>
      </c>
    </row>
    <row r="1455" spans="1:10" x14ac:dyDescent="0.3">
      <c r="A1455">
        <v>151297084</v>
      </c>
      <c r="B1455" s="1">
        <v>44994</v>
      </c>
      <c r="C1455" s="1">
        <v>45071</v>
      </c>
      <c r="D1455">
        <v>39</v>
      </c>
      <c r="E1455" t="s">
        <v>6</v>
      </c>
      <c r="F1455" t="s">
        <v>7</v>
      </c>
      <c r="G1455" s="1">
        <f t="shared" si="66"/>
        <v>45071</v>
      </c>
      <c r="H1455">
        <f t="shared" si="67"/>
        <v>2</v>
      </c>
      <c r="I1455">
        <f t="shared" si="68"/>
        <v>0</v>
      </c>
      <c r="J1455">
        <f>IF(Table1[[#This Row],[Active_months]]&gt;=1, 1, 0)</f>
        <v>1</v>
      </c>
    </row>
    <row r="1456" spans="1:10" x14ac:dyDescent="0.3">
      <c r="A1456">
        <v>167010855</v>
      </c>
      <c r="B1456" s="1">
        <v>44994</v>
      </c>
      <c r="C1456" s="1">
        <v>45085</v>
      </c>
      <c r="D1456">
        <v>39</v>
      </c>
      <c r="E1456" t="s">
        <v>6</v>
      </c>
      <c r="F1456" t="s">
        <v>7</v>
      </c>
      <c r="G1456" s="1">
        <f t="shared" si="66"/>
        <v>45085</v>
      </c>
      <c r="H1456">
        <f t="shared" si="67"/>
        <v>3</v>
      </c>
      <c r="I1456">
        <f t="shared" si="68"/>
        <v>0</v>
      </c>
      <c r="J1456">
        <f>IF(Table1[[#This Row],[Active_months]]&gt;=1, 1, 0)</f>
        <v>1</v>
      </c>
    </row>
    <row r="1457" spans="1:10" x14ac:dyDescent="0.3">
      <c r="A1457">
        <v>206122788</v>
      </c>
      <c r="B1457" s="1">
        <v>44994</v>
      </c>
      <c r="C1457" s="1">
        <v>45093</v>
      </c>
      <c r="D1457">
        <v>39</v>
      </c>
      <c r="E1457" t="s">
        <v>6</v>
      </c>
      <c r="F1457" t="s">
        <v>7</v>
      </c>
      <c r="G1457" s="1">
        <f t="shared" si="66"/>
        <v>45093</v>
      </c>
      <c r="H1457">
        <f t="shared" si="67"/>
        <v>3</v>
      </c>
      <c r="I1457">
        <f t="shared" si="68"/>
        <v>0</v>
      </c>
      <c r="J1457">
        <f>IF(Table1[[#This Row],[Active_months]]&gt;=1, 1, 0)</f>
        <v>1</v>
      </c>
    </row>
    <row r="1458" spans="1:10" x14ac:dyDescent="0.3">
      <c r="A1458">
        <v>158439764</v>
      </c>
      <c r="B1458" s="1">
        <v>44994</v>
      </c>
      <c r="C1458" s="1">
        <v>45047</v>
      </c>
      <c r="D1458">
        <v>39</v>
      </c>
      <c r="E1458" t="s">
        <v>6</v>
      </c>
      <c r="F1458" t="s">
        <v>7</v>
      </c>
      <c r="G1458" s="1">
        <f t="shared" si="66"/>
        <v>45047</v>
      </c>
      <c r="H1458">
        <f t="shared" si="67"/>
        <v>2</v>
      </c>
      <c r="I1458">
        <f t="shared" si="68"/>
        <v>0</v>
      </c>
      <c r="J1458">
        <f>IF(Table1[[#This Row],[Active_months]]&gt;=1, 1, 0)</f>
        <v>1</v>
      </c>
    </row>
    <row r="1459" spans="1:10" x14ac:dyDescent="0.3">
      <c r="A1459">
        <v>136723151</v>
      </c>
      <c r="B1459" s="1">
        <v>44994</v>
      </c>
      <c r="C1459" s="1">
        <v>45023</v>
      </c>
      <c r="D1459">
        <v>39</v>
      </c>
      <c r="E1459" t="s">
        <v>6</v>
      </c>
      <c r="F1459" t="s">
        <v>7</v>
      </c>
      <c r="G1459" s="1">
        <f t="shared" si="66"/>
        <v>45023</v>
      </c>
      <c r="H1459">
        <f t="shared" si="67"/>
        <v>1</v>
      </c>
      <c r="I1459">
        <f t="shared" si="68"/>
        <v>0</v>
      </c>
      <c r="J1459">
        <f>IF(Table1[[#This Row],[Active_months]]&gt;=1, 1, 0)</f>
        <v>1</v>
      </c>
    </row>
    <row r="1460" spans="1:10" x14ac:dyDescent="0.3">
      <c r="A1460">
        <v>205875358</v>
      </c>
      <c r="B1460" s="1">
        <v>44994</v>
      </c>
      <c r="C1460" s="1">
        <v>45038</v>
      </c>
      <c r="D1460">
        <v>39</v>
      </c>
      <c r="E1460" t="s">
        <v>6</v>
      </c>
      <c r="F1460" t="s">
        <v>7</v>
      </c>
      <c r="G1460" s="1">
        <f t="shared" si="66"/>
        <v>45038</v>
      </c>
      <c r="H1460">
        <f t="shared" si="67"/>
        <v>1</v>
      </c>
      <c r="I1460">
        <f t="shared" si="68"/>
        <v>0</v>
      </c>
      <c r="J1460">
        <f>IF(Table1[[#This Row],[Active_months]]&gt;=1, 1, 0)</f>
        <v>1</v>
      </c>
    </row>
    <row r="1461" spans="1:10" x14ac:dyDescent="0.3">
      <c r="A1461">
        <v>206082900</v>
      </c>
      <c r="B1461" s="1">
        <v>44994</v>
      </c>
      <c r="C1461" s="1">
        <v>45139</v>
      </c>
      <c r="D1461">
        <v>39</v>
      </c>
      <c r="E1461" t="s">
        <v>6</v>
      </c>
      <c r="F1461" t="s">
        <v>7</v>
      </c>
      <c r="G1461" s="1">
        <f t="shared" si="66"/>
        <v>45139</v>
      </c>
      <c r="H1461">
        <f t="shared" si="67"/>
        <v>5</v>
      </c>
      <c r="I1461">
        <f t="shared" si="68"/>
        <v>1</v>
      </c>
      <c r="J1461">
        <f>IF(Table1[[#This Row],[Active_months]]&gt;=1, 1, 0)</f>
        <v>1</v>
      </c>
    </row>
    <row r="1462" spans="1:10" x14ac:dyDescent="0.3">
      <c r="A1462">
        <v>206139451</v>
      </c>
      <c r="B1462" s="1">
        <v>44995</v>
      </c>
      <c r="D1462">
        <v>39</v>
      </c>
      <c r="E1462" t="s">
        <v>6</v>
      </c>
      <c r="F1462" t="s">
        <v>7</v>
      </c>
      <c r="G1462" s="1">
        <f t="shared" si="66"/>
        <v>45199</v>
      </c>
      <c r="H1462">
        <f t="shared" si="67"/>
        <v>6</v>
      </c>
      <c r="I1462">
        <f t="shared" si="68"/>
        <v>1</v>
      </c>
      <c r="J1462">
        <f>IF(Table1[[#This Row],[Active_months]]&gt;=1, 1, 0)</f>
        <v>1</v>
      </c>
    </row>
    <row r="1463" spans="1:10" x14ac:dyDescent="0.3">
      <c r="A1463">
        <v>206196328</v>
      </c>
      <c r="B1463" s="1">
        <v>44995</v>
      </c>
      <c r="D1463">
        <v>39</v>
      </c>
      <c r="E1463" t="s">
        <v>6</v>
      </c>
      <c r="F1463" t="s">
        <v>7</v>
      </c>
      <c r="G1463" s="1">
        <f t="shared" si="66"/>
        <v>45199</v>
      </c>
      <c r="H1463">
        <f t="shared" si="67"/>
        <v>6</v>
      </c>
      <c r="I1463">
        <f t="shared" si="68"/>
        <v>1</v>
      </c>
      <c r="J1463">
        <f>IF(Table1[[#This Row],[Active_months]]&gt;=1, 1, 0)</f>
        <v>1</v>
      </c>
    </row>
    <row r="1464" spans="1:10" x14ac:dyDescent="0.3">
      <c r="A1464">
        <v>201122030</v>
      </c>
      <c r="B1464" s="1">
        <v>44995</v>
      </c>
      <c r="C1464" s="1">
        <v>45082</v>
      </c>
      <c r="D1464">
        <v>39</v>
      </c>
      <c r="E1464" t="s">
        <v>6</v>
      </c>
      <c r="F1464" t="s">
        <v>7</v>
      </c>
      <c r="G1464" s="1">
        <f t="shared" si="66"/>
        <v>45082</v>
      </c>
      <c r="H1464">
        <f t="shared" si="67"/>
        <v>3</v>
      </c>
      <c r="I1464">
        <f t="shared" si="68"/>
        <v>0</v>
      </c>
      <c r="J1464">
        <f>IF(Table1[[#This Row],[Active_months]]&gt;=1, 1, 0)</f>
        <v>1</v>
      </c>
    </row>
    <row r="1465" spans="1:10" x14ac:dyDescent="0.3">
      <c r="A1465">
        <v>156218152</v>
      </c>
      <c r="B1465" s="1">
        <v>44995</v>
      </c>
      <c r="C1465" s="1">
        <v>45086</v>
      </c>
      <c r="D1465">
        <v>39</v>
      </c>
      <c r="E1465" t="s">
        <v>6</v>
      </c>
      <c r="F1465" t="s">
        <v>7</v>
      </c>
      <c r="G1465" s="1">
        <f t="shared" si="66"/>
        <v>45086</v>
      </c>
      <c r="H1465">
        <f t="shared" si="67"/>
        <v>3</v>
      </c>
      <c r="I1465">
        <f t="shared" si="68"/>
        <v>0</v>
      </c>
      <c r="J1465">
        <f>IF(Table1[[#This Row],[Active_months]]&gt;=1, 1, 0)</f>
        <v>1</v>
      </c>
    </row>
    <row r="1466" spans="1:10" x14ac:dyDescent="0.3">
      <c r="A1466">
        <v>162718092</v>
      </c>
      <c r="B1466" s="1">
        <v>44995</v>
      </c>
      <c r="C1466" s="1">
        <v>45056</v>
      </c>
      <c r="D1466">
        <v>39</v>
      </c>
      <c r="E1466" t="s">
        <v>6</v>
      </c>
      <c r="F1466" t="s">
        <v>7</v>
      </c>
      <c r="G1466" s="1">
        <f t="shared" si="66"/>
        <v>45056</v>
      </c>
      <c r="H1466">
        <f t="shared" si="67"/>
        <v>2</v>
      </c>
      <c r="I1466">
        <f t="shared" si="68"/>
        <v>0</v>
      </c>
      <c r="J1466">
        <f>IF(Table1[[#This Row],[Active_months]]&gt;=1, 1, 0)</f>
        <v>1</v>
      </c>
    </row>
    <row r="1467" spans="1:10" x14ac:dyDescent="0.3">
      <c r="A1467">
        <v>174606946</v>
      </c>
      <c r="B1467" s="1">
        <v>44995</v>
      </c>
      <c r="C1467" s="1">
        <v>45055</v>
      </c>
      <c r="D1467">
        <v>39</v>
      </c>
      <c r="E1467" t="s">
        <v>6</v>
      </c>
      <c r="F1467" t="s">
        <v>7</v>
      </c>
      <c r="G1467" s="1">
        <f t="shared" si="66"/>
        <v>45055</v>
      </c>
      <c r="H1467">
        <f t="shared" si="67"/>
        <v>2</v>
      </c>
      <c r="I1467">
        <f t="shared" si="68"/>
        <v>0</v>
      </c>
      <c r="J1467">
        <f>IF(Table1[[#This Row],[Active_months]]&gt;=1, 1, 0)</f>
        <v>1</v>
      </c>
    </row>
    <row r="1468" spans="1:10" x14ac:dyDescent="0.3">
      <c r="A1468">
        <v>206159331</v>
      </c>
      <c r="B1468" s="1">
        <v>44995</v>
      </c>
      <c r="C1468" s="1">
        <v>45010</v>
      </c>
      <c r="D1468">
        <v>39</v>
      </c>
      <c r="E1468" t="s">
        <v>6</v>
      </c>
      <c r="F1468" t="s">
        <v>7</v>
      </c>
      <c r="G1468" s="1">
        <f t="shared" si="66"/>
        <v>45010</v>
      </c>
      <c r="H1468">
        <f t="shared" si="67"/>
        <v>0</v>
      </c>
      <c r="I1468">
        <f t="shared" si="68"/>
        <v>0</v>
      </c>
      <c r="J1468">
        <f>IF(Table1[[#This Row],[Active_months]]&gt;=1, 1, 0)</f>
        <v>0</v>
      </c>
    </row>
    <row r="1469" spans="1:10" x14ac:dyDescent="0.3">
      <c r="A1469">
        <v>206272716</v>
      </c>
      <c r="B1469" s="1">
        <v>44996</v>
      </c>
      <c r="D1469">
        <v>39</v>
      </c>
      <c r="E1469" t="s">
        <v>6</v>
      </c>
      <c r="F1469" t="s">
        <v>7</v>
      </c>
      <c r="G1469" s="1">
        <f t="shared" si="66"/>
        <v>45199</v>
      </c>
      <c r="H1469">
        <f t="shared" si="67"/>
        <v>6</v>
      </c>
      <c r="I1469">
        <f t="shared" si="68"/>
        <v>1</v>
      </c>
      <c r="J1469">
        <f>IF(Table1[[#This Row],[Active_months]]&gt;=1, 1, 0)</f>
        <v>1</v>
      </c>
    </row>
    <row r="1470" spans="1:10" x14ac:dyDescent="0.3">
      <c r="A1470">
        <v>138104184</v>
      </c>
      <c r="B1470" s="1">
        <v>44996</v>
      </c>
      <c r="C1470" s="1">
        <v>45176</v>
      </c>
      <c r="D1470">
        <v>39</v>
      </c>
      <c r="E1470" t="s">
        <v>6</v>
      </c>
      <c r="F1470" t="s">
        <v>7</v>
      </c>
      <c r="G1470" s="1">
        <f t="shared" si="66"/>
        <v>45176</v>
      </c>
      <c r="H1470">
        <f t="shared" si="67"/>
        <v>6</v>
      </c>
      <c r="I1470">
        <f t="shared" si="68"/>
        <v>1</v>
      </c>
      <c r="J1470">
        <f>IF(Table1[[#This Row],[Active_months]]&gt;=1, 1, 0)</f>
        <v>1</v>
      </c>
    </row>
    <row r="1471" spans="1:10" x14ac:dyDescent="0.3">
      <c r="A1471">
        <v>168264884</v>
      </c>
      <c r="B1471" s="1">
        <v>44996</v>
      </c>
      <c r="C1471" s="1">
        <v>45056</v>
      </c>
      <c r="D1471">
        <v>39</v>
      </c>
      <c r="E1471" t="s">
        <v>6</v>
      </c>
      <c r="F1471" t="s">
        <v>7</v>
      </c>
      <c r="G1471" s="1">
        <f t="shared" si="66"/>
        <v>45056</v>
      </c>
      <c r="H1471">
        <f t="shared" si="67"/>
        <v>2</v>
      </c>
      <c r="I1471">
        <f t="shared" si="68"/>
        <v>0</v>
      </c>
      <c r="J1471">
        <f>IF(Table1[[#This Row],[Active_months]]&gt;=1, 1, 0)</f>
        <v>1</v>
      </c>
    </row>
    <row r="1472" spans="1:10" x14ac:dyDescent="0.3">
      <c r="A1472">
        <v>153200640</v>
      </c>
      <c r="B1472" s="1">
        <v>44996</v>
      </c>
      <c r="C1472" s="1">
        <v>45028</v>
      </c>
      <c r="D1472">
        <v>39</v>
      </c>
      <c r="E1472" t="s">
        <v>6</v>
      </c>
      <c r="F1472" t="s">
        <v>7</v>
      </c>
      <c r="G1472" s="1">
        <f t="shared" si="66"/>
        <v>45028</v>
      </c>
      <c r="H1472">
        <f t="shared" si="67"/>
        <v>1</v>
      </c>
      <c r="I1472">
        <f t="shared" si="68"/>
        <v>0</v>
      </c>
      <c r="J1472">
        <f>IF(Table1[[#This Row],[Active_months]]&gt;=1, 1, 0)</f>
        <v>1</v>
      </c>
    </row>
    <row r="1473" spans="1:10" x14ac:dyDescent="0.3">
      <c r="A1473">
        <v>206251362</v>
      </c>
      <c r="B1473" s="1">
        <v>44996</v>
      </c>
      <c r="C1473" s="1">
        <v>45034</v>
      </c>
      <c r="D1473">
        <v>39</v>
      </c>
      <c r="E1473" t="s">
        <v>6</v>
      </c>
      <c r="F1473" t="s">
        <v>7</v>
      </c>
      <c r="G1473" s="1">
        <f t="shared" si="66"/>
        <v>45034</v>
      </c>
      <c r="H1473">
        <f t="shared" si="67"/>
        <v>1</v>
      </c>
      <c r="I1473">
        <f t="shared" si="68"/>
        <v>0</v>
      </c>
      <c r="J1473">
        <f>IF(Table1[[#This Row],[Active_months]]&gt;=1, 1, 0)</f>
        <v>1</v>
      </c>
    </row>
    <row r="1474" spans="1:10" x14ac:dyDescent="0.3">
      <c r="A1474">
        <v>192386902</v>
      </c>
      <c r="B1474" s="1">
        <v>44996</v>
      </c>
      <c r="C1474" s="1">
        <v>45034</v>
      </c>
      <c r="D1474">
        <v>39</v>
      </c>
      <c r="E1474" t="s">
        <v>6</v>
      </c>
      <c r="F1474" t="s">
        <v>7</v>
      </c>
      <c r="G1474" s="1">
        <f t="shared" si="66"/>
        <v>45034</v>
      </c>
      <c r="H1474">
        <f t="shared" si="67"/>
        <v>1</v>
      </c>
      <c r="I1474">
        <f t="shared" si="68"/>
        <v>0</v>
      </c>
      <c r="J1474">
        <f>IF(Table1[[#This Row],[Active_months]]&gt;=1, 1, 0)</f>
        <v>1</v>
      </c>
    </row>
    <row r="1475" spans="1:10" x14ac:dyDescent="0.3">
      <c r="A1475">
        <v>205851263</v>
      </c>
      <c r="B1475" s="1">
        <v>44996</v>
      </c>
      <c r="C1475" s="1">
        <v>44999</v>
      </c>
      <c r="D1475">
        <v>39</v>
      </c>
      <c r="E1475" t="s">
        <v>6</v>
      </c>
      <c r="F1475" t="s">
        <v>7</v>
      </c>
      <c r="G1475" s="1">
        <f t="shared" ref="G1475:G1538" si="69">IF(ISBLANK(C1475), DATE(2023,9,30), C1475)</f>
        <v>44999</v>
      </c>
      <c r="H1475">
        <f t="shared" ref="H1475:H1538" si="70">(YEAR(G1475)-YEAR(B1475))*12 + (MONTH(G1475)-MONTH(B1475))</f>
        <v>0</v>
      </c>
      <c r="I1475">
        <f t="shared" ref="I1475:I1538" si="71">IF(H1475 &gt;=5, 1, 0)</f>
        <v>0</v>
      </c>
      <c r="J1475">
        <f>IF(Table1[[#This Row],[Active_months]]&gt;=1, 1, 0)</f>
        <v>0</v>
      </c>
    </row>
    <row r="1476" spans="1:10" x14ac:dyDescent="0.3">
      <c r="A1476">
        <v>197873706</v>
      </c>
      <c r="B1476" s="1">
        <v>44997</v>
      </c>
      <c r="C1476" s="1">
        <v>45150</v>
      </c>
      <c r="D1476">
        <v>39</v>
      </c>
      <c r="E1476" t="s">
        <v>6</v>
      </c>
      <c r="F1476" t="s">
        <v>7</v>
      </c>
      <c r="G1476" s="1">
        <f t="shared" si="69"/>
        <v>45150</v>
      </c>
      <c r="H1476">
        <f t="shared" si="70"/>
        <v>5</v>
      </c>
      <c r="I1476">
        <f t="shared" si="71"/>
        <v>1</v>
      </c>
      <c r="J1476">
        <f>IF(Table1[[#This Row],[Active_months]]&gt;=1, 1, 0)</f>
        <v>1</v>
      </c>
    </row>
    <row r="1477" spans="1:10" x14ac:dyDescent="0.3">
      <c r="A1477">
        <v>206284048</v>
      </c>
      <c r="B1477" s="1">
        <v>44997</v>
      </c>
      <c r="C1477" s="1">
        <v>45003</v>
      </c>
      <c r="D1477">
        <v>39</v>
      </c>
      <c r="E1477" t="s">
        <v>6</v>
      </c>
      <c r="F1477" t="s">
        <v>7</v>
      </c>
      <c r="G1477" s="1">
        <f t="shared" si="69"/>
        <v>45003</v>
      </c>
      <c r="H1477">
        <f t="shared" si="70"/>
        <v>0</v>
      </c>
      <c r="I1477">
        <f t="shared" si="71"/>
        <v>0</v>
      </c>
      <c r="J1477">
        <f>IF(Table1[[#This Row],[Active_months]]&gt;=1, 1, 0)</f>
        <v>0</v>
      </c>
    </row>
    <row r="1478" spans="1:10" x14ac:dyDescent="0.3">
      <c r="A1478">
        <v>149761545</v>
      </c>
      <c r="B1478" s="1">
        <v>44997</v>
      </c>
      <c r="C1478" s="1">
        <v>45131</v>
      </c>
      <c r="D1478">
        <v>39</v>
      </c>
      <c r="E1478" t="s">
        <v>6</v>
      </c>
      <c r="F1478" t="s">
        <v>7</v>
      </c>
      <c r="G1478" s="1">
        <f t="shared" si="69"/>
        <v>45131</v>
      </c>
      <c r="H1478">
        <f t="shared" si="70"/>
        <v>4</v>
      </c>
      <c r="I1478">
        <f t="shared" si="71"/>
        <v>0</v>
      </c>
      <c r="J1478">
        <f>IF(Table1[[#This Row],[Active_months]]&gt;=1, 1, 0)</f>
        <v>1</v>
      </c>
    </row>
    <row r="1479" spans="1:10" x14ac:dyDescent="0.3">
      <c r="A1479">
        <v>155010717</v>
      </c>
      <c r="B1479" s="1">
        <v>44998</v>
      </c>
      <c r="C1479" s="1">
        <v>45077</v>
      </c>
      <c r="D1479">
        <v>39</v>
      </c>
      <c r="E1479" t="s">
        <v>6</v>
      </c>
      <c r="F1479" t="s">
        <v>7</v>
      </c>
      <c r="G1479" s="1">
        <f t="shared" si="69"/>
        <v>45077</v>
      </c>
      <c r="H1479">
        <f t="shared" si="70"/>
        <v>2</v>
      </c>
      <c r="I1479">
        <f t="shared" si="71"/>
        <v>0</v>
      </c>
      <c r="J1479">
        <f>IF(Table1[[#This Row],[Active_months]]&gt;=1, 1, 0)</f>
        <v>1</v>
      </c>
    </row>
    <row r="1480" spans="1:10" x14ac:dyDescent="0.3">
      <c r="A1480">
        <v>151407531</v>
      </c>
      <c r="B1480" s="1">
        <v>44998</v>
      </c>
      <c r="C1480" s="1">
        <v>45028</v>
      </c>
      <c r="D1480">
        <v>39</v>
      </c>
      <c r="E1480" t="s">
        <v>6</v>
      </c>
      <c r="F1480" t="s">
        <v>7</v>
      </c>
      <c r="G1480" s="1">
        <f t="shared" si="69"/>
        <v>45028</v>
      </c>
      <c r="H1480">
        <f t="shared" si="70"/>
        <v>1</v>
      </c>
      <c r="I1480">
        <f t="shared" si="71"/>
        <v>0</v>
      </c>
      <c r="J1480">
        <f>IF(Table1[[#This Row],[Active_months]]&gt;=1, 1, 0)</f>
        <v>1</v>
      </c>
    </row>
    <row r="1481" spans="1:10" x14ac:dyDescent="0.3">
      <c r="A1481">
        <v>206407796</v>
      </c>
      <c r="B1481" s="1">
        <v>44998</v>
      </c>
      <c r="C1481" s="1">
        <v>45058</v>
      </c>
      <c r="D1481">
        <v>39</v>
      </c>
      <c r="E1481" t="s">
        <v>6</v>
      </c>
      <c r="F1481" t="s">
        <v>7</v>
      </c>
      <c r="G1481" s="1">
        <f t="shared" si="69"/>
        <v>45058</v>
      </c>
      <c r="H1481">
        <f t="shared" si="70"/>
        <v>2</v>
      </c>
      <c r="I1481">
        <f t="shared" si="71"/>
        <v>0</v>
      </c>
      <c r="J1481">
        <f>IF(Table1[[#This Row],[Active_months]]&gt;=1, 1, 0)</f>
        <v>1</v>
      </c>
    </row>
    <row r="1482" spans="1:10" x14ac:dyDescent="0.3">
      <c r="A1482">
        <v>206247835</v>
      </c>
      <c r="B1482" s="1">
        <v>44998</v>
      </c>
      <c r="C1482" s="1">
        <v>45071</v>
      </c>
      <c r="D1482">
        <v>39</v>
      </c>
      <c r="E1482" t="s">
        <v>6</v>
      </c>
      <c r="F1482" t="s">
        <v>7</v>
      </c>
      <c r="G1482" s="1">
        <f t="shared" si="69"/>
        <v>45071</v>
      </c>
      <c r="H1482">
        <f t="shared" si="70"/>
        <v>2</v>
      </c>
      <c r="I1482">
        <f t="shared" si="71"/>
        <v>0</v>
      </c>
      <c r="J1482">
        <f>IF(Table1[[#This Row],[Active_months]]&gt;=1, 1, 0)</f>
        <v>1</v>
      </c>
    </row>
    <row r="1483" spans="1:10" x14ac:dyDescent="0.3">
      <c r="A1483">
        <v>206382927</v>
      </c>
      <c r="B1483" s="1">
        <v>44998</v>
      </c>
      <c r="C1483" s="1">
        <v>45070</v>
      </c>
      <c r="D1483">
        <v>39</v>
      </c>
      <c r="E1483" t="s">
        <v>6</v>
      </c>
      <c r="F1483" t="s">
        <v>7</v>
      </c>
      <c r="G1483" s="1">
        <f t="shared" si="69"/>
        <v>45070</v>
      </c>
      <c r="H1483">
        <f t="shared" si="70"/>
        <v>2</v>
      </c>
      <c r="I1483">
        <f t="shared" si="71"/>
        <v>0</v>
      </c>
      <c r="J1483">
        <f>IF(Table1[[#This Row],[Active_months]]&gt;=1, 1, 0)</f>
        <v>1</v>
      </c>
    </row>
    <row r="1484" spans="1:10" x14ac:dyDescent="0.3">
      <c r="A1484">
        <v>206147500</v>
      </c>
      <c r="B1484" s="1">
        <v>44998</v>
      </c>
      <c r="C1484" s="1">
        <v>45064</v>
      </c>
      <c r="D1484">
        <v>39</v>
      </c>
      <c r="E1484" t="s">
        <v>6</v>
      </c>
      <c r="F1484" t="s">
        <v>7</v>
      </c>
      <c r="G1484" s="1">
        <f t="shared" si="69"/>
        <v>45064</v>
      </c>
      <c r="H1484">
        <f t="shared" si="70"/>
        <v>2</v>
      </c>
      <c r="I1484">
        <f t="shared" si="71"/>
        <v>0</v>
      </c>
      <c r="J1484">
        <f>IF(Table1[[#This Row],[Active_months]]&gt;=1, 1, 0)</f>
        <v>1</v>
      </c>
    </row>
    <row r="1485" spans="1:10" x14ac:dyDescent="0.3">
      <c r="A1485">
        <v>206330714</v>
      </c>
      <c r="B1485" s="1">
        <v>44998</v>
      </c>
      <c r="C1485" s="1">
        <v>45023</v>
      </c>
      <c r="D1485">
        <v>39</v>
      </c>
      <c r="E1485" t="s">
        <v>6</v>
      </c>
      <c r="F1485" t="s">
        <v>7</v>
      </c>
      <c r="G1485" s="1">
        <f t="shared" si="69"/>
        <v>45023</v>
      </c>
      <c r="H1485">
        <f t="shared" si="70"/>
        <v>1</v>
      </c>
      <c r="I1485">
        <f t="shared" si="71"/>
        <v>0</v>
      </c>
      <c r="J1485">
        <f>IF(Table1[[#This Row],[Active_months]]&gt;=1, 1, 0)</f>
        <v>1</v>
      </c>
    </row>
    <row r="1486" spans="1:10" x14ac:dyDescent="0.3">
      <c r="A1486">
        <v>206121650</v>
      </c>
      <c r="B1486" s="1">
        <v>44998</v>
      </c>
      <c r="C1486" s="1">
        <v>45025</v>
      </c>
      <c r="D1486">
        <v>39</v>
      </c>
      <c r="E1486" t="s">
        <v>6</v>
      </c>
      <c r="F1486" t="s">
        <v>7</v>
      </c>
      <c r="G1486" s="1">
        <f t="shared" si="69"/>
        <v>45025</v>
      </c>
      <c r="H1486">
        <f t="shared" si="70"/>
        <v>1</v>
      </c>
      <c r="I1486">
        <f t="shared" si="71"/>
        <v>0</v>
      </c>
      <c r="J1486">
        <f>IF(Table1[[#This Row],[Active_months]]&gt;=1, 1, 0)</f>
        <v>1</v>
      </c>
    </row>
    <row r="1487" spans="1:10" x14ac:dyDescent="0.3">
      <c r="A1487">
        <v>182504578</v>
      </c>
      <c r="B1487" s="1">
        <v>44998</v>
      </c>
      <c r="C1487" s="1">
        <v>45036</v>
      </c>
      <c r="D1487">
        <v>39</v>
      </c>
      <c r="E1487" t="s">
        <v>6</v>
      </c>
      <c r="F1487" t="s">
        <v>7</v>
      </c>
      <c r="G1487" s="1">
        <f t="shared" si="69"/>
        <v>45036</v>
      </c>
      <c r="H1487">
        <f t="shared" si="70"/>
        <v>1</v>
      </c>
      <c r="I1487">
        <f t="shared" si="71"/>
        <v>0</v>
      </c>
      <c r="J1487">
        <f>IF(Table1[[#This Row],[Active_months]]&gt;=1, 1, 0)</f>
        <v>1</v>
      </c>
    </row>
    <row r="1488" spans="1:10" x14ac:dyDescent="0.3">
      <c r="A1488">
        <v>204362311</v>
      </c>
      <c r="B1488" s="1">
        <v>44998</v>
      </c>
      <c r="C1488" s="1">
        <v>45091</v>
      </c>
      <c r="D1488">
        <v>39</v>
      </c>
      <c r="E1488" t="s">
        <v>6</v>
      </c>
      <c r="F1488" t="s">
        <v>7</v>
      </c>
      <c r="G1488" s="1">
        <f t="shared" si="69"/>
        <v>45091</v>
      </c>
      <c r="H1488">
        <f t="shared" si="70"/>
        <v>3</v>
      </c>
      <c r="I1488">
        <f t="shared" si="71"/>
        <v>0</v>
      </c>
      <c r="J1488">
        <f>IF(Table1[[#This Row],[Active_months]]&gt;=1, 1, 0)</f>
        <v>1</v>
      </c>
    </row>
    <row r="1489" spans="1:10" x14ac:dyDescent="0.3">
      <c r="A1489">
        <v>206504573</v>
      </c>
      <c r="B1489" s="1">
        <v>44999</v>
      </c>
      <c r="D1489">
        <v>39</v>
      </c>
      <c r="E1489" t="s">
        <v>6</v>
      </c>
      <c r="F1489" t="s">
        <v>7</v>
      </c>
      <c r="G1489" s="1">
        <f t="shared" si="69"/>
        <v>45199</v>
      </c>
      <c r="H1489">
        <f t="shared" si="70"/>
        <v>6</v>
      </c>
      <c r="I1489">
        <f t="shared" si="71"/>
        <v>1</v>
      </c>
      <c r="J1489">
        <f>IF(Table1[[#This Row],[Active_months]]&gt;=1, 1, 0)</f>
        <v>1</v>
      </c>
    </row>
    <row r="1490" spans="1:10" x14ac:dyDescent="0.3">
      <c r="A1490">
        <v>206490851</v>
      </c>
      <c r="B1490" s="1">
        <v>44999</v>
      </c>
      <c r="D1490">
        <v>39</v>
      </c>
      <c r="E1490" t="s">
        <v>6</v>
      </c>
      <c r="F1490" t="s">
        <v>7</v>
      </c>
      <c r="G1490" s="1">
        <f t="shared" si="69"/>
        <v>45199</v>
      </c>
      <c r="H1490">
        <f t="shared" si="70"/>
        <v>6</v>
      </c>
      <c r="I1490">
        <f t="shared" si="71"/>
        <v>1</v>
      </c>
      <c r="J1490">
        <f>IF(Table1[[#This Row],[Active_months]]&gt;=1, 1, 0)</f>
        <v>1</v>
      </c>
    </row>
    <row r="1491" spans="1:10" x14ac:dyDescent="0.3">
      <c r="A1491">
        <v>206468868</v>
      </c>
      <c r="B1491" s="1">
        <v>44999</v>
      </c>
      <c r="D1491">
        <v>39</v>
      </c>
      <c r="E1491" t="s">
        <v>6</v>
      </c>
      <c r="F1491" t="s">
        <v>7</v>
      </c>
      <c r="G1491" s="1">
        <f t="shared" si="69"/>
        <v>45199</v>
      </c>
      <c r="H1491">
        <f t="shared" si="70"/>
        <v>6</v>
      </c>
      <c r="I1491">
        <f t="shared" si="71"/>
        <v>1</v>
      </c>
      <c r="J1491">
        <f>IF(Table1[[#This Row],[Active_months]]&gt;=1, 1, 0)</f>
        <v>1</v>
      </c>
    </row>
    <row r="1492" spans="1:10" x14ac:dyDescent="0.3">
      <c r="A1492">
        <v>206316124</v>
      </c>
      <c r="B1492" s="1">
        <v>44999</v>
      </c>
      <c r="D1492">
        <v>39</v>
      </c>
      <c r="E1492" t="s">
        <v>6</v>
      </c>
      <c r="F1492" t="s">
        <v>7</v>
      </c>
      <c r="G1492" s="1">
        <f t="shared" si="69"/>
        <v>45199</v>
      </c>
      <c r="H1492">
        <f t="shared" si="70"/>
        <v>6</v>
      </c>
      <c r="I1492">
        <f t="shared" si="71"/>
        <v>1</v>
      </c>
      <c r="J1492">
        <f>IF(Table1[[#This Row],[Active_months]]&gt;=1, 1, 0)</f>
        <v>1</v>
      </c>
    </row>
    <row r="1493" spans="1:10" x14ac:dyDescent="0.3">
      <c r="A1493">
        <v>203404034</v>
      </c>
      <c r="B1493" s="1">
        <v>44999</v>
      </c>
      <c r="C1493" s="1">
        <v>45099</v>
      </c>
      <c r="D1493">
        <v>39</v>
      </c>
      <c r="E1493" t="s">
        <v>6</v>
      </c>
      <c r="F1493" t="s">
        <v>7</v>
      </c>
      <c r="G1493" s="1">
        <f t="shared" si="69"/>
        <v>45099</v>
      </c>
      <c r="H1493">
        <f t="shared" si="70"/>
        <v>3</v>
      </c>
      <c r="I1493">
        <f t="shared" si="71"/>
        <v>0</v>
      </c>
      <c r="J1493">
        <f>IF(Table1[[#This Row],[Active_months]]&gt;=1, 1, 0)</f>
        <v>1</v>
      </c>
    </row>
    <row r="1494" spans="1:10" x14ac:dyDescent="0.3">
      <c r="A1494">
        <v>206284545</v>
      </c>
      <c r="B1494" s="1">
        <v>44999</v>
      </c>
      <c r="C1494" s="1">
        <v>45080</v>
      </c>
      <c r="D1494">
        <v>39</v>
      </c>
      <c r="E1494" t="s">
        <v>6</v>
      </c>
      <c r="F1494" t="s">
        <v>7</v>
      </c>
      <c r="G1494" s="1">
        <f t="shared" si="69"/>
        <v>45080</v>
      </c>
      <c r="H1494">
        <f t="shared" si="70"/>
        <v>3</v>
      </c>
      <c r="I1494">
        <f t="shared" si="71"/>
        <v>0</v>
      </c>
      <c r="J1494">
        <f>IF(Table1[[#This Row],[Active_months]]&gt;=1, 1, 0)</f>
        <v>1</v>
      </c>
    </row>
    <row r="1495" spans="1:10" x14ac:dyDescent="0.3">
      <c r="A1495">
        <v>206470657</v>
      </c>
      <c r="B1495" s="1">
        <v>44999</v>
      </c>
      <c r="C1495" s="1">
        <v>45049</v>
      </c>
      <c r="D1495">
        <v>39</v>
      </c>
      <c r="E1495" t="s">
        <v>6</v>
      </c>
      <c r="F1495" t="s">
        <v>7</v>
      </c>
      <c r="G1495" s="1">
        <f t="shared" si="69"/>
        <v>45049</v>
      </c>
      <c r="H1495">
        <f t="shared" si="70"/>
        <v>2</v>
      </c>
      <c r="I1495">
        <f t="shared" si="71"/>
        <v>0</v>
      </c>
      <c r="J1495">
        <f>IF(Table1[[#This Row],[Active_months]]&gt;=1, 1, 0)</f>
        <v>1</v>
      </c>
    </row>
    <row r="1496" spans="1:10" x14ac:dyDescent="0.3">
      <c r="A1496">
        <v>206458744</v>
      </c>
      <c r="B1496" s="1">
        <v>44999</v>
      </c>
      <c r="C1496" s="1">
        <v>45040</v>
      </c>
      <c r="D1496">
        <v>39</v>
      </c>
      <c r="E1496" t="s">
        <v>6</v>
      </c>
      <c r="F1496" t="s">
        <v>7</v>
      </c>
      <c r="G1496" s="1">
        <f t="shared" si="69"/>
        <v>45040</v>
      </c>
      <c r="H1496">
        <f t="shared" si="70"/>
        <v>1</v>
      </c>
      <c r="I1496">
        <f t="shared" si="71"/>
        <v>0</v>
      </c>
      <c r="J1496">
        <f>IF(Table1[[#This Row],[Active_months]]&gt;=1, 1, 0)</f>
        <v>1</v>
      </c>
    </row>
    <row r="1497" spans="1:10" x14ac:dyDescent="0.3">
      <c r="A1497">
        <v>206122814</v>
      </c>
      <c r="B1497" s="1">
        <v>44999</v>
      </c>
      <c r="C1497" s="1">
        <v>45029</v>
      </c>
      <c r="D1497">
        <v>39</v>
      </c>
      <c r="E1497" t="s">
        <v>6</v>
      </c>
      <c r="F1497" t="s">
        <v>7</v>
      </c>
      <c r="G1497" s="1">
        <f t="shared" si="69"/>
        <v>45029</v>
      </c>
      <c r="H1497">
        <f t="shared" si="70"/>
        <v>1</v>
      </c>
      <c r="I1497">
        <f t="shared" si="71"/>
        <v>0</v>
      </c>
      <c r="J1497">
        <f>IF(Table1[[#This Row],[Active_months]]&gt;=1, 1, 0)</f>
        <v>1</v>
      </c>
    </row>
    <row r="1498" spans="1:10" x14ac:dyDescent="0.3">
      <c r="A1498">
        <v>206549666</v>
      </c>
      <c r="B1498" s="1">
        <v>45000</v>
      </c>
      <c r="D1498">
        <v>39</v>
      </c>
      <c r="E1498" t="s">
        <v>6</v>
      </c>
      <c r="F1498" t="s">
        <v>7</v>
      </c>
      <c r="G1498" s="1">
        <f t="shared" si="69"/>
        <v>45199</v>
      </c>
      <c r="H1498">
        <f t="shared" si="70"/>
        <v>6</v>
      </c>
      <c r="I1498">
        <f t="shared" si="71"/>
        <v>1</v>
      </c>
      <c r="J1498">
        <f>IF(Table1[[#This Row],[Active_months]]&gt;=1, 1, 0)</f>
        <v>1</v>
      </c>
    </row>
    <row r="1499" spans="1:10" x14ac:dyDescent="0.3">
      <c r="A1499">
        <v>133623621</v>
      </c>
      <c r="B1499" s="1">
        <v>45000</v>
      </c>
      <c r="D1499">
        <v>39</v>
      </c>
      <c r="E1499" t="s">
        <v>6</v>
      </c>
      <c r="F1499" t="s">
        <v>7</v>
      </c>
      <c r="G1499" s="1">
        <f t="shared" si="69"/>
        <v>45199</v>
      </c>
      <c r="H1499">
        <f t="shared" si="70"/>
        <v>6</v>
      </c>
      <c r="I1499">
        <f t="shared" si="71"/>
        <v>1</v>
      </c>
      <c r="J1499">
        <f>IF(Table1[[#This Row],[Active_months]]&gt;=1, 1, 0)</f>
        <v>1</v>
      </c>
    </row>
    <row r="1500" spans="1:10" x14ac:dyDescent="0.3">
      <c r="A1500">
        <v>130982816</v>
      </c>
      <c r="B1500" s="1">
        <v>45000</v>
      </c>
      <c r="D1500">
        <v>39</v>
      </c>
      <c r="E1500" t="s">
        <v>6</v>
      </c>
      <c r="F1500" t="s">
        <v>7</v>
      </c>
      <c r="G1500" s="1">
        <f t="shared" si="69"/>
        <v>45199</v>
      </c>
      <c r="H1500">
        <f t="shared" si="70"/>
        <v>6</v>
      </c>
      <c r="I1500">
        <f t="shared" si="71"/>
        <v>1</v>
      </c>
      <c r="J1500">
        <f>IF(Table1[[#This Row],[Active_months]]&gt;=1, 1, 0)</f>
        <v>1</v>
      </c>
    </row>
    <row r="1501" spans="1:10" x14ac:dyDescent="0.3">
      <c r="A1501">
        <v>143776119</v>
      </c>
      <c r="B1501" s="1">
        <v>45000</v>
      </c>
      <c r="C1501" s="1">
        <v>45166</v>
      </c>
      <c r="D1501">
        <v>39</v>
      </c>
      <c r="E1501" t="s">
        <v>6</v>
      </c>
      <c r="F1501" t="s">
        <v>7</v>
      </c>
      <c r="G1501" s="1">
        <f t="shared" si="69"/>
        <v>45166</v>
      </c>
      <c r="H1501">
        <f t="shared" si="70"/>
        <v>5</v>
      </c>
      <c r="I1501">
        <f t="shared" si="71"/>
        <v>1</v>
      </c>
      <c r="J1501">
        <f>IF(Table1[[#This Row],[Active_months]]&gt;=1, 1, 0)</f>
        <v>1</v>
      </c>
    </row>
    <row r="1502" spans="1:10" x14ac:dyDescent="0.3">
      <c r="A1502">
        <v>206542743</v>
      </c>
      <c r="B1502" s="1">
        <v>45000</v>
      </c>
      <c r="C1502" s="1">
        <v>45001</v>
      </c>
      <c r="D1502">
        <v>39</v>
      </c>
      <c r="E1502" t="s">
        <v>6</v>
      </c>
      <c r="F1502" t="s">
        <v>8</v>
      </c>
      <c r="G1502" s="1">
        <f t="shared" si="69"/>
        <v>45001</v>
      </c>
      <c r="H1502">
        <f t="shared" si="70"/>
        <v>0</v>
      </c>
      <c r="I1502">
        <f t="shared" si="71"/>
        <v>0</v>
      </c>
      <c r="J1502">
        <f>IF(Table1[[#This Row],[Active_months]]&gt;=1, 1, 0)</f>
        <v>0</v>
      </c>
    </row>
    <row r="1503" spans="1:10" x14ac:dyDescent="0.3">
      <c r="A1503">
        <v>206158603</v>
      </c>
      <c r="B1503" s="1">
        <v>45000</v>
      </c>
      <c r="C1503" s="1">
        <v>45001</v>
      </c>
      <c r="D1503">
        <v>39</v>
      </c>
      <c r="E1503" t="s">
        <v>6</v>
      </c>
      <c r="F1503" t="s">
        <v>8</v>
      </c>
      <c r="G1503" s="1">
        <f t="shared" si="69"/>
        <v>45001</v>
      </c>
      <c r="H1503">
        <f t="shared" si="70"/>
        <v>0</v>
      </c>
      <c r="I1503">
        <f t="shared" si="71"/>
        <v>0</v>
      </c>
      <c r="J1503">
        <f>IF(Table1[[#This Row],[Active_months]]&gt;=1, 1, 0)</f>
        <v>0</v>
      </c>
    </row>
    <row r="1504" spans="1:10" x14ac:dyDescent="0.3">
      <c r="A1504">
        <v>206548046</v>
      </c>
      <c r="B1504" s="1">
        <v>45000</v>
      </c>
      <c r="C1504" s="1">
        <v>45085</v>
      </c>
      <c r="D1504">
        <v>39</v>
      </c>
      <c r="E1504" t="s">
        <v>6</v>
      </c>
      <c r="F1504" t="s">
        <v>7</v>
      </c>
      <c r="G1504" s="1">
        <f t="shared" si="69"/>
        <v>45085</v>
      </c>
      <c r="H1504">
        <f t="shared" si="70"/>
        <v>3</v>
      </c>
      <c r="I1504">
        <f t="shared" si="71"/>
        <v>0</v>
      </c>
      <c r="J1504">
        <f>IF(Table1[[#This Row],[Active_months]]&gt;=1, 1, 0)</f>
        <v>1</v>
      </c>
    </row>
    <row r="1505" spans="1:10" x14ac:dyDescent="0.3">
      <c r="A1505">
        <v>168464004</v>
      </c>
      <c r="B1505" s="1">
        <v>45000</v>
      </c>
      <c r="C1505" s="1">
        <v>45078</v>
      </c>
      <c r="D1505">
        <v>39</v>
      </c>
      <c r="E1505" t="s">
        <v>6</v>
      </c>
      <c r="F1505" t="s">
        <v>7</v>
      </c>
      <c r="G1505" s="1">
        <f t="shared" si="69"/>
        <v>45078</v>
      </c>
      <c r="H1505">
        <f t="shared" si="70"/>
        <v>3</v>
      </c>
      <c r="I1505">
        <f t="shared" si="71"/>
        <v>0</v>
      </c>
      <c r="J1505">
        <f>IF(Table1[[#This Row],[Active_months]]&gt;=1, 1, 0)</f>
        <v>1</v>
      </c>
    </row>
    <row r="1506" spans="1:10" x14ac:dyDescent="0.3">
      <c r="A1506">
        <v>146330379</v>
      </c>
      <c r="B1506" s="1">
        <v>45000</v>
      </c>
      <c r="C1506" s="1">
        <v>45035</v>
      </c>
      <c r="D1506">
        <v>39</v>
      </c>
      <c r="E1506" t="s">
        <v>6</v>
      </c>
      <c r="F1506" t="s">
        <v>7</v>
      </c>
      <c r="G1506" s="1">
        <f t="shared" si="69"/>
        <v>45035</v>
      </c>
      <c r="H1506">
        <f t="shared" si="70"/>
        <v>1</v>
      </c>
      <c r="I1506">
        <f t="shared" si="71"/>
        <v>0</v>
      </c>
      <c r="J1506">
        <f>IF(Table1[[#This Row],[Active_months]]&gt;=1, 1, 0)</f>
        <v>1</v>
      </c>
    </row>
    <row r="1507" spans="1:10" x14ac:dyDescent="0.3">
      <c r="A1507">
        <v>206006946</v>
      </c>
      <c r="B1507" s="1">
        <v>45000</v>
      </c>
      <c r="C1507" s="1">
        <v>45068</v>
      </c>
      <c r="D1507">
        <v>39</v>
      </c>
      <c r="E1507" t="s">
        <v>6</v>
      </c>
      <c r="F1507" t="s">
        <v>7</v>
      </c>
      <c r="G1507" s="1">
        <f t="shared" si="69"/>
        <v>45068</v>
      </c>
      <c r="H1507">
        <f t="shared" si="70"/>
        <v>2</v>
      </c>
      <c r="I1507">
        <f t="shared" si="71"/>
        <v>0</v>
      </c>
      <c r="J1507">
        <f>IF(Table1[[#This Row],[Active_months]]&gt;=1, 1, 0)</f>
        <v>1</v>
      </c>
    </row>
    <row r="1508" spans="1:10" x14ac:dyDescent="0.3">
      <c r="A1508">
        <v>206531388</v>
      </c>
      <c r="B1508" s="1">
        <v>45000</v>
      </c>
      <c r="C1508" s="1">
        <v>45021</v>
      </c>
      <c r="D1508">
        <v>39</v>
      </c>
      <c r="E1508" t="s">
        <v>6</v>
      </c>
      <c r="F1508" t="s">
        <v>7</v>
      </c>
      <c r="G1508" s="1">
        <f t="shared" si="69"/>
        <v>45021</v>
      </c>
      <c r="H1508">
        <f t="shared" si="70"/>
        <v>1</v>
      </c>
      <c r="I1508">
        <f t="shared" si="71"/>
        <v>0</v>
      </c>
      <c r="J1508">
        <f>IF(Table1[[#This Row],[Active_months]]&gt;=1, 1, 0)</f>
        <v>1</v>
      </c>
    </row>
    <row r="1509" spans="1:10" x14ac:dyDescent="0.3">
      <c r="A1509">
        <v>206512820</v>
      </c>
      <c r="B1509" s="1">
        <v>45000</v>
      </c>
      <c r="C1509" s="1">
        <v>45119</v>
      </c>
      <c r="D1509">
        <v>39</v>
      </c>
      <c r="E1509" t="s">
        <v>6</v>
      </c>
      <c r="F1509" t="s">
        <v>7</v>
      </c>
      <c r="G1509" s="1">
        <f t="shared" si="69"/>
        <v>45119</v>
      </c>
      <c r="H1509">
        <f t="shared" si="70"/>
        <v>4</v>
      </c>
      <c r="I1509">
        <f t="shared" si="71"/>
        <v>0</v>
      </c>
      <c r="J1509">
        <f>IF(Table1[[#This Row],[Active_months]]&gt;=1, 1, 0)</f>
        <v>1</v>
      </c>
    </row>
    <row r="1510" spans="1:10" x14ac:dyDescent="0.3">
      <c r="A1510">
        <v>206501414</v>
      </c>
      <c r="B1510" s="1">
        <v>45001</v>
      </c>
      <c r="D1510">
        <v>39</v>
      </c>
      <c r="E1510" t="s">
        <v>6</v>
      </c>
      <c r="F1510" t="s">
        <v>7</v>
      </c>
      <c r="G1510" s="1">
        <f t="shared" si="69"/>
        <v>45199</v>
      </c>
      <c r="H1510">
        <f t="shared" si="70"/>
        <v>6</v>
      </c>
      <c r="I1510">
        <f t="shared" si="71"/>
        <v>1</v>
      </c>
      <c r="J1510">
        <f>IF(Table1[[#This Row],[Active_months]]&gt;=1, 1, 0)</f>
        <v>1</v>
      </c>
    </row>
    <row r="1511" spans="1:10" x14ac:dyDescent="0.3">
      <c r="A1511">
        <v>181175226</v>
      </c>
      <c r="B1511" s="1">
        <v>45001</v>
      </c>
      <c r="C1511" s="1">
        <v>45016</v>
      </c>
      <c r="D1511">
        <v>39</v>
      </c>
      <c r="E1511" t="s">
        <v>6</v>
      </c>
      <c r="F1511" t="s">
        <v>7</v>
      </c>
      <c r="G1511" s="1">
        <f t="shared" si="69"/>
        <v>45016</v>
      </c>
      <c r="H1511">
        <f t="shared" si="70"/>
        <v>0</v>
      </c>
      <c r="I1511">
        <f t="shared" si="71"/>
        <v>0</v>
      </c>
      <c r="J1511">
        <f>IF(Table1[[#This Row],[Active_months]]&gt;=1, 1, 0)</f>
        <v>0</v>
      </c>
    </row>
    <row r="1512" spans="1:10" x14ac:dyDescent="0.3">
      <c r="A1512">
        <v>148758550</v>
      </c>
      <c r="B1512" s="1">
        <v>45002</v>
      </c>
      <c r="D1512">
        <v>39</v>
      </c>
      <c r="E1512" t="s">
        <v>6</v>
      </c>
      <c r="F1512" t="s">
        <v>7</v>
      </c>
      <c r="G1512" s="1">
        <f t="shared" si="69"/>
        <v>45199</v>
      </c>
      <c r="H1512">
        <f t="shared" si="70"/>
        <v>6</v>
      </c>
      <c r="I1512">
        <f t="shared" si="71"/>
        <v>1</v>
      </c>
      <c r="J1512">
        <f>IF(Table1[[#This Row],[Active_months]]&gt;=1, 1, 0)</f>
        <v>1</v>
      </c>
    </row>
    <row r="1513" spans="1:10" x14ac:dyDescent="0.3">
      <c r="A1513">
        <v>206682036</v>
      </c>
      <c r="B1513" s="1">
        <v>45002</v>
      </c>
      <c r="D1513">
        <v>39</v>
      </c>
      <c r="E1513" t="s">
        <v>6</v>
      </c>
      <c r="F1513" t="s">
        <v>7</v>
      </c>
      <c r="G1513" s="1">
        <f t="shared" si="69"/>
        <v>45199</v>
      </c>
      <c r="H1513">
        <f t="shared" si="70"/>
        <v>6</v>
      </c>
      <c r="I1513">
        <f t="shared" si="71"/>
        <v>1</v>
      </c>
      <c r="J1513">
        <f>IF(Table1[[#This Row],[Active_months]]&gt;=1, 1, 0)</f>
        <v>1</v>
      </c>
    </row>
    <row r="1514" spans="1:10" x14ac:dyDescent="0.3">
      <c r="A1514">
        <v>206149654</v>
      </c>
      <c r="B1514" s="1">
        <v>45002</v>
      </c>
      <c r="D1514">
        <v>39</v>
      </c>
      <c r="E1514" t="s">
        <v>6</v>
      </c>
      <c r="F1514" t="s">
        <v>7</v>
      </c>
      <c r="G1514" s="1">
        <f t="shared" si="69"/>
        <v>45199</v>
      </c>
      <c r="H1514">
        <f t="shared" si="70"/>
        <v>6</v>
      </c>
      <c r="I1514">
        <f t="shared" si="71"/>
        <v>1</v>
      </c>
      <c r="J1514">
        <f>IF(Table1[[#This Row],[Active_months]]&gt;=1, 1, 0)</f>
        <v>1</v>
      </c>
    </row>
    <row r="1515" spans="1:10" x14ac:dyDescent="0.3">
      <c r="A1515">
        <v>206653056</v>
      </c>
      <c r="B1515" s="1">
        <v>45002</v>
      </c>
      <c r="D1515">
        <v>39</v>
      </c>
      <c r="E1515" t="s">
        <v>6</v>
      </c>
      <c r="F1515" t="s">
        <v>7</v>
      </c>
      <c r="G1515" s="1">
        <f t="shared" si="69"/>
        <v>45199</v>
      </c>
      <c r="H1515">
        <f t="shared" si="70"/>
        <v>6</v>
      </c>
      <c r="I1515">
        <f t="shared" si="71"/>
        <v>1</v>
      </c>
      <c r="J1515">
        <f>IF(Table1[[#This Row],[Active_months]]&gt;=1, 1, 0)</f>
        <v>1</v>
      </c>
    </row>
    <row r="1516" spans="1:10" x14ac:dyDescent="0.3">
      <c r="A1516">
        <v>198466025</v>
      </c>
      <c r="B1516" s="1">
        <v>45002</v>
      </c>
      <c r="D1516">
        <v>39</v>
      </c>
      <c r="E1516" t="s">
        <v>6</v>
      </c>
      <c r="F1516" t="s">
        <v>7</v>
      </c>
      <c r="G1516" s="1">
        <f t="shared" si="69"/>
        <v>45199</v>
      </c>
      <c r="H1516">
        <f t="shared" si="70"/>
        <v>6</v>
      </c>
      <c r="I1516">
        <f t="shared" si="71"/>
        <v>1</v>
      </c>
      <c r="J1516">
        <f>IF(Table1[[#This Row],[Active_months]]&gt;=1, 1, 0)</f>
        <v>1</v>
      </c>
    </row>
    <row r="1517" spans="1:10" x14ac:dyDescent="0.3">
      <c r="A1517">
        <v>206685935</v>
      </c>
      <c r="B1517" s="1">
        <v>45002</v>
      </c>
      <c r="C1517" s="1">
        <v>45003</v>
      </c>
      <c r="D1517">
        <v>39</v>
      </c>
      <c r="E1517" t="s">
        <v>6</v>
      </c>
      <c r="F1517" t="s">
        <v>8</v>
      </c>
      <c r="G1517" s="1">
        <f t="shared" si="69"/>
        <v>45003</v>
      </c>
      <c r="H1517">
        <f t="shared" si="70"/>
        <v>0</v>
      </c>
      <c r="I1517">
        <f t="shared" si="71"/>
        <v>0</v>
      </c>
      <c r="J1517">
        <f>IF(Table1[[#This Row],[Active_months]]&gt;=1, 1, 0)</f>
        <v>0</v>
      </c>
    </row>
    <row r="1518" spans="1:10" x14ac:dyDescent="0.3">
      <c r="A1518">
        <v>206659390</v>
      </c>
      <c r="B1518" s="1">
        <v>45002</v>
      </c>
      <c r="C1518" s="1">
        <v>45003</v>
      </c>
      <c r="D1518">
        <v>39</v>
      </c>
      <c r="E1518" t="s">
        <v>6</v>
      </c>
      <c r="F1518" t="s">
        <v>8</v>
      </c>
      <c r="G1518" s="1">
        <f t="shared" si="69"/>
        <v>45003</v>
      </c>
      <c r="H1518">
        <f t="shared" si="70"/>
        <v>0</v>
      </c>
      <c r="I1518">
        <f t="shared" si="71"/>
        <v>0</v>
      </c>
      <c r="J1518">
        <f>IF(Table1[[#This Row],[Active_months]]&gt;=1, 1, 0)</f>
        <v>0</v>
      </c>
    </row>
    <row r="1519" spans="1:10" x14ac:dyDescent="0.3">
      <c r="A1519">
        <v>206550926</v>
      </c>
      <c r="B1519" s="1">
        <v>45002</v>
      </c>
      <c r="C1519" s="1">
        <v>45033</v>
      </c>
      <c r="D1519">
        <v>39</v>
      </c>
      <c r="E1519" t="s">
        <v>6</v>
      </c>
      <c r="F1519" t="s">
        <v>7</v>
      </c>
      <c r="G1519" s="1">
        <f t="shared" si="69"/>
        <v>45033</v>
      </c>
      <c r="H1519">
        <f t="shared" si="70"/>
        <v>1</v>
      </c>
      <c r="I1519">
        <f t="shared" si="71"/>
        <v>0</v>
      </c>
      <c r="J1519">
        <f>IF(Table1[[#This Row],[Active_months]]&gt;=1, 1, 0)</f>
        <v>1</v>
      </c>
    </row>
    <row r="1520" spans="1:10" x14ac:dyDescent="0.3">
      <c r="A1520">
        <v>206673590</v>
      </c>
      <c r="B1520" s="1">
        <v>45002</v>
      </c>
      <c r="C1520" s="1">
        <v>45015</v>
      </c>
      <c r="D1520">
        <v>39</v>
      </c>
      <c r="E1520" t="s">
        <v>6</v>
      </c>
      <c r="F1520" t="s">
        <v>7</v>
      </c>
      <c r="G1520" s="1">
        <f t="shared" si="69"/>
        <v>45015</v>
      </c>
      <c r="H1520">
        <f t="shared" si="70"/>
        <v>0</v>
      </c>
      <c r="I1520">
        <f t="shared" si="71"/>
        <v>0</v>
      </c>
      <c r="J1520">
        <f>IF(Table1[[#This Row],[Active_months]]&gt;=1, 1, 0)</f>
        <v>0</v>
      </c>
    </row>
    <row r="1521" spans="1:10" x14ac:dyDescent="0.3">
      <c r="A1521">
        <v>205593462</v>
      </c>
      <c r="B1521" s="1">
        <v>45002</v>
      </c>
      <c r="C1521" s="1">
        <v>45148</v>
      </c>
      <c r="D1521">
        <v>39</v>
      </c>
      <c r="E1521" t="s">
        <v>6</v>
      </c>
      <c r="F1521" t="s">
        <v>7</v>
      </c>
      <c r="G1521" s="1">
        <f t="shared" si="69"/>
        <v>45148</v>
      </c>
      <c r="H1521">
        <f t="shared" si="70"/>
        <v>5</v>
      </c>
      <c r="I1521">
        <f t="shared" si="71"/>
        <v>1</v>
      </c>
      <c r="J1521">
        <f>IF(Table1[[#This Row],[Active_months]]&gt;=1, 1, 0)</f>
        <v>1</v>
      </c>
    </row>
    <row r="1522" spans="1:10" x14ac:dyDescent="0.3">
      <c r="A1522">
        <v>205889926</v>
      </c>
      <c r="B1522" s="1">
        <v>45003</v>
      </c>
      <c r="D1522">
        <v>39</v>
      </c>
      <c r="E1522" t="s">
        <v>6</v>
      </c>
      <c r="F1522" t="s">
        <v>7</v>
      </c>
      <c r="G1522" s="1">
        <f t="shared" si="69"/>
        <v>45199</v>
      </c>
      <c r="H1522">
        <f t="shared" si="70"/>
        <v>6</v>
      </c>
      <c r="I1522">
        <f t="shared" si="71"/>
        <v>1</v>
      </c>
      <c r="J1522">
        <f>IF(Table1[[#This Row],[Active_months]]&gt;=1, 1, 0)</f>
        <v>1</v>
      </c>
    </row>
    <row r="1523" spans="1:10" x14ac:dyDescent="0.3">
      <c r="A1523">
        <v>151713121</v>
      </c>
      <c r="B1523" s="1">
        <v>45003</v>
      </c>
      <c r="D1523">
        <v>39</v>
      </c>
      <c r="E1523" t="s">
        <v>6</v>
      </c>
      <c r="F1523" t="s">
        <v>7</v>
      </c>
      <c r="G1523" s="1">
        <f t="shared" si="69"/>
        <v>45199</v>
      </c>
      <c r="H1523">
        <f t="shared" si="70"/>
        <v>6</v>
      </c>
      <c r="I1523">
        <f t="shared" si="71"/>
        <v>1</v>
      </c>
      <c r="J1523">
        <f>IF(Table1[[#This Row],[Active_months]]&gt;=1, 1, 0)</f>
        <v>1</v>
      </c>
    </row>
    <row r="1524" spans="1:10" x14ac:dyDescent="0.3">
      <c r="A1524">
        <v>206759898</v>
      </c>
      <c r="B1524" s="1">
        <v>45003</v>
      </c>
      <c r="C1524" s="1">
        <v>45004</v>
      </c>
      <c r="D1524">
        <v>39</v>
      </c>
      <c r="E1524" t="s">
        <v>6</v>
      </c>
      <c r="F1524" t="s">
        <v>8</v>
      </c>
      <c r="G1524" s="1">
        <f t="shared" si="69"/>
        <v>45004</v>
      </c>
      <c r="H1524">
        <f t="shared" si="70"/>
        <v>0</v>
      </c>
      <c r="I1524">
        <f t="shared" si="71"/>
        <v>0</v>
      </c>
      <c r="J1524">
        <f>IF(Table1[[#This Row],[Active_months]]&gt;=1, 1, 0)</f>
        <v>0</v>
      </c>
    </row>
    <row r="1525" spans="1:10" x14ac:dyDescent="0.3">
      <c r="A1525">
        <v>206750792</v>
      </c>
      <c r="B1525" s="1">
        <v>45003</v>
      </c>
      <c r="C1525" s="1">
        <v>45004</v>
      </c>
      <c r="D1525">
        <v>39</v>
      </c>
      <c r="E1525" t="s">
        <v>6</v>
      </c>
      <c r="F1525" t="s">
        <v>8</v>
      </c>
      <c r="G1525" s="1">
        <f t="shared" si="69"/>
        <v>45004</v>
      </c>
      <c r="H1525">
        <f t="shared" si="70"/>
        <v>0</v>
      </c>
      <c r="I1525">
        <f t="shared" si="71"/>
        <v>0</v>
      </c>
      <c r="J1525">
        <f>IF(Table1[[#This Row],[Active_months]]&gt;=1, 1, 0)</f>
        <v>0</v>
      </c>
    </row>
    <row r="1526" spans="1:10" x14ac:dyDescent="0.3">
      <c r="A1526">
        <v>206742592</v>
      </c>
      <c r="B1526" s="1">
        <v>45003</v>
      </c>
      <c r="C1526" s="1">
        <v>45004</v>
      </c>
      <c r="D1526">
        <v>39</v>
      </c>
      <c r="E1526" t="s">
        <v>6</v>
      </c>
      <c r="F1526" t="s">
        <v>8</v>
      </c>
      <c r="G1526" s="1">
        <f t="shared" si="69"/>
        <v>45004</v>
      </c>
      <c r="H1526">
        <f t="shared" si="70"/>
        <v>0</v>
      </c>
      <c r="I1526">
        <f t="shared" si="71"/>
        <v>0</v>
      </c>
      <c r="J1526">
        <f>IF(Table1[[#This Row],[Active_months]]&gt;=1, 1, 0)</f>
        <v>0</v>
      </c>
    </row>
    <row r="1527" spans="1:10" x14ac:dyDescent="0.3">
      <c r="A1527">
        <v>206700008</v>
      </c>
      <c r="B1527" s="1">
        <v>45003</v>
      </c>
      <c r="C1527" s="1">
        <v>45004</v>
      </c>
      <c r="D1527">
        <v>39</v>
      </c>
      <c r="E1527" t="s">
        <v>6</v>
      </c>
      <c r="F1527" t="s">
        <v>8</v>
      </c>
      <c r="G1527" s="1">
        <f t="shared" si="69"/>
        <v>45004</v>
      </c>
      <c r="H1527">
        <f t="shared" si="70"/>
        <v>0</v>
      </c>
      <c r="I1527">
        <f t="shared" si="71"/>
        <v>0</v>
      </c>
      <c r="J1527">
        <f>IF(Table1[[#This Row],[Active_months]]&gt;=1, 1, 0)</f>
        <v>0</v>
      </c>
    </row>
    <row r="1528" spans="1:10" x14ac:dyDescent="0.3">
      <c r="A1528">
        <v>156170916</v>
      </c>
      <c r="B1528" s="1">
        <v>45003</v>
      </c>
      <c r="C1528" s="1">
        <v>45152</v>
      </c>
      <c r="D1528">
        <v>39</v>
      </c>
      <c r="E1528" t="s">
        <v>6</v>
      </c>
      <c r="F1528" t="s">
        <v>7</v>
      </c>
      <c r="G1528" s="1">
        <f t="shared" si="69"/>
        <v>45152</v>
      </c>
      <c r="H1528">
        <f t="shared" si="70"/>
        <v>5</v>
      </c>
      <c r="I1528">
        <f t="shared" si="71"/>
        <v>1</v>
      </c>
      <c r="J1528">
        <f>IF(Table1[[#This Row],[Active_months]]&gt;=1, 1, 0)</f>
        <v>1</v>
      </c>
    </row>
    <row r="1529" spans="1:10" x14ac:dyDescent="0.3">
      <c r="A1529">
        <v>206607664</v>
      </c>
      <c r="B1529" s="1">
        <v>45003</v>
      </c>
      <c r="C1529" s="1">
        <v>45041</v>
      </c>
      <c r="D1529">
        <v>39</v>
      </c>
      <c r="E1529" t="s">
        <v>6</v>
      </c>
      <c r="F1529" t="s">
        <v>7</v>
      </c>
      <c r="G1529" s="1">
        <f t="shared" si="69"/>
        <v>45041</v>
      </c>
      <c r="H1529">
        <f t="shared" si="70"/>
        <v>1</v>
      </c>
      <c r="I1529">
        <f t="shared" si="71"/>
        <v>0</v>
      </c>
      <c r="J1529">
        <f>IF(Table1[[#This Row],[Active_months]]&gt;=1, 1, 0)</f>
        <v>1</v>
      </c>
    </row>
    <row r="1530" spans="1:10" x14ac:dyDescent="0.3">
      <c r="A1530">
        <v>183332399</v>
      </c>
      <c r="B1530" s="1">
        <v>45004</v>
      </c>
      <c r="D1530">
        <v>39</v>
      </c>
      <c r="E1530" t="s">
        <v>6</v>
      </c>
      <c r="F1530" t="s">
        <v>7</v>
      </c>
      <c r="G1530" s="1">
        <f t="shared" si="69"/>
        <v>45199</v>
      </c>
      <c r="H1530">
        <f t="shared" si="70"/>
        <v>6</v>
      </c>
      <c r="I1530">
        <f t="shared" si="71"/>
        <v>1</v>
      </c>
      <c r="J1530">
        <f>IF(Table1[[#This Row],[Active_months]]&gt;=1, 1, 0)</f>
        <v>1</v>
      </c>
    </row>
    <row r="1531" spans="1:10" x14ac:dyDescent="0.3">
      <c r="A1531">
        <v>176705210</v>
      </c>
      <c r="B1531" s="1">
        <v>45004</v>
      </c>
      <c r="C1531" s="1">
        <v>45005</v>
      </c>
      <c r="D1531">
        <v>39</v>
      </c>
      <c r="E1531" t="s">
        <v>6</v>
      </c>
      <c r="F1531" t="s">
        <v>7</v>
      </c>
      <c r="G1531" s="1">
        <f t="shared" si="69"/>
        <v>45005</v>
      </c>
      <c r="H1531">
        <f t="shared" si="70"/>
        <v>0</v>
      </c>
      <c r="I1531">
        <f t="shared" si="71"/>
        <v>0</v>
      </c>
      <c r="J1531">
        <f>IF(Table1[[#This Row],[Active_months]]&gt;=1, 1, 0)</f>
        <v>0</v>
      </c>
    </row>
    <row r="1532" spans="1:10" x14ac:dyDescent="0.3">
      <c r="A1532">
        <v>154901722</v>
      </c>
      <c r="B1532" s="1">
        <v>45004</v>
      </c>
      <c r="C1532" s="1">
        <v>45004</v>
      </c>
      <c r="D1532">
        <v>39</v>
      </c>
      <c r="E1532" t="s">
        <v>6</v>
      </c>
      <c r="F1532" t="s">
        <v>7</v>
      </c>
      <c r="G1532" s="1">
        <f t="shared" si="69"/>
        <v>45004</v>
      </c>
      <c r="H1532">
        <f t="shared" si="70"/>
        <v>0</v>
      </c>
      <c r="I1532">
        <f t="shared" si="71"/>
        <v>0</v>
      </c>
      <c r="J1532">
        <f>IF(Table1[[#This Row],[Active_months]]&gt;=1, 1, 0)</f>
        <v>0</v>
      </c>
    </row>
    <row r="1533" spans="1:10" x14ac:dyDescent="0.3">
      <c r="A1533">
        <v>153438676</v>
      </c>
      <c r="B1533" s="1">
        <v>45004</v>
      </c>
      <c r="C1533" s="1">
        <v>45072</v>
      </c>
      <c r="D1533">
        <v>39</v>
      </c>
      <c r="E1533" t="s">
        <v>6</v>
      </c>
      <c r="F1533" t="s">
        <v>7</v>
      </c>
      <c r="G1533" s="1">
        <f t="shared" si="69"/>
        <v>45072</v>
      </c>
      <c r="H1533">
        <f t="shared" si="70"/>
        <v>2</v>
      </c>
      <c r="I1533">
        <f t="shared" si="71"/>
        <v>0</v>
      </c>
      <c r="J1533">
        <f>IF(Table1[[#This Row],[Active_months]]&gt;=1, 1, 0)</f>
        <v>1</v>
      </c>
    </row>
    <row r="1534" spans="1:10" x14ac:dyDescent="0.3">
      <c r="A1534">
        <v>154901722</v>
      </c>
      <c r="B1534" s="1">
        <v>45004</v>
      </c>
      <c r="C1534" s="1">
        <v>45050</v>
      </c>
      <c r="D1534">
        <v>39</v>
      </c>
      <c r="E1534" t="s">
        <v>6</v>
      </c>
      <c r="F1534" t="s">
        <v>7</v>
      </c>
      <c r="G1534" s="1">
        <f t="shared" si="69"/>
        <v>45050</v>
      </c>
      <c r="H1534">
        <f t="shared" si="70"/>
        <v>2</v>
      </c>
      <c r="I1534">
        <f t="shared" si="71"/>
        <v>0</v>
      </c>
      <c r="J1534">
        <f>IF(Table1[[#This Row],[Active_months]]&gt;=1, 1, 0)</f>
        <v>1</v>
      </c>
    </row>
    <row r="1535" spans="1:10" x14ac:dyDescent="0.3">
      <c r="A1535">
        <v>123768696</v>
      </c>
      <c r="B1535" s="1">
        <v>45004</v>
      </c>
      <c r="C1535" s="1">
        <v>45027</v>
      </c>
      <c r="D1535">
        <v>39</v>
      </c>
      <c r="E1535" t="s">
        <v>6</v>
      </c>
      <c r="F1535" t="s">
        <v>7</v>
      </c>
      <c r="G1535" s="1">
        <f t="shared" si="69"/>
        <v>45027</v>
      </c>
      <c r="H1535">
        <f t="shared" si="70"/>
        <v>1</v>
      </c>
      <c r="I1535">
        <f t="shared" si="71"/>
        <v>0</v>
      </c>
      <c r="J1535">
        <f>IF(Table1[[#This Row],[Active_months]]&gt;=1, 1, 0)</f>
        <v>1</v>
      </c>
    </row>
    <row r="1536" spans="1:10" x14ac:dyDescent="0.3">
      <c r="A1536">
        <v>142976081</v>
      </c>
      <c r="B1536" s="1">
        <v>45004</v>
      </c>
      <c r="C1536" s="1">
        <v>45035</v>
      </c>
      <c r="D1536">
        <v>39</v>
      </c>
      <c r="E1536" t="s">
        <v>6</v>
      </c>
      <c r="F1536" t="s">
        <v>7</v>
      </c>
      <c r="G1536" s="1">
        <f t="shared" si="69"/>
        <v>45035</v>
      </c>
      <c r="H1536">
        <f t="shared" si="70"/>
        <v>1</v>
      </c>
      <c r="I1536">
        <f t="shared" si="71"/>
        <v>0</v>
      </c>
      <c r="J1536">
        <f>IF(Table1[[#This Row],[Active_months]]&gt;=1, 1, 0)</f>
        <v>1</v>
      </c>
    </row>
    <row r="1537" spans="1:10" x14ac:dyDescent="0.3">
      <c r="A1537">
        <v>152223051</v>
      </c>
      <c r="B1537" s="1">
        <v>45005</v>
      </c>
      <c r="D1537">
        <v>39</v>
      </c>
      <c r="E1537" t="s">
        <v>6</v>
      </c>
      <c r="F1537" t="s">
        <v>7</v>
      </c>
      <c r="G1537" s="1">
        <f t="shared" si="69"/>
        <v>45199</v>
      </c>
      <c r="H1537">
        <f t="shared" si="70"/>
        <v>6</v>
      </c>
      <c r="I1537">
        <f t="shared" si="71"/>
        <v>1</v>
      </c>
      <c r="J1537">
        <f>IF(Table1[[#This Row],[Active_months]]&gt;=1, 1, 0)</f>
        <v>1</v>
      </c>
    </row>
    <row r="1538" spans="1:10" x14ac:dyDescent="0.3">
      <c r="A1538">
        <v>206865174</v>
      </c>
      <c r="B1538" s="1">
        <v>45005</v>
      </c>
      <c r="D1538">
        <v>39</v>
      </c>
      <c r="E1538" t="s">
        <v>6</v>
      </c>
      <c r="F1538" t="s">
        <v>7</v>
      </c>
      <c r="G1538" s="1">
        <f t="shared" si="69"/>
        <v>45199</v>
      </c>
      <c r="H1538">
        <f t="shared" si="70"/>
        <v>6</v>
      </c>
      <c r="I1538">
        <f t="shared" si="71"/>
        <v>1</v>
      </c>
      <c r="J1538">
        <f>IF(Table1[[#This Row],[Active_months]]&gt;=1, 1, 0)</f>
        <v>1</v>
      </c>
    </row>
    <row r="1539" spans="1:10" x14ac:dyDescent="0.3">
      <c r="A1539">
        <v>143327052</v>
      </c>
      <c r="B1539" s="1">
        <v>45005</v>
      </c>
      <c r="D1539">
        <v>39</v>
      </c>
      <c r="E1539" t="s">
        <v>6</v>
      </c>
      <c r="F1539" t="s">
        <v>7</v>
      </c>
      <c r="G1539" s="1">
        <f t="shared" ref="G1539:G1602" si="72">IF(ISBLANK(C1539), DATE(2023,9,30), C1539)</f>
        <v>45199</v>
      </c>
      <c r="H1539">
        <f t="shared" ref="H1539:H1602" si="73">(YEAR(G1539)-YEAR(B1539))*12 + (MONTH(G1539)-MONTH(B1539))</f>
        <v>6</v>
      </c>
      <c r="I1539">
        <f t="shared" ref="I1539:I1602" si="74">IF(H1539 &gt;=5, 1, 0)</f>
        <v>1</v>
      </c>
      <c r="J1539">
        <f>IF(Table1[[#This Row],[Active_months]]&gt;=1, 1, 0)</f>
        <v>1</v>
      </c>
    </row>
    <row r="1540" spans="1:10" x14ac:dyDescent="0.3">
      <c r="A1540">
        <v>202270426</v>
      </c>
      <c r="B1540" s="1">
        <v>45005</v>
      </c>
      <c r="C1540" s="1">
        <v>45006</v>
      </c>
      <c r="D1540">
        <v>39</v>
      </c>
      <c r="E1540" t="s">
        <v>6</v>
      </c>
      <c r="F1540" t="s">
        <v>7</v>
      </c>
      <c r="G1540" s="1">
        <f t="shared" si="72"/>
        <v>45006</v>
      </c>
      <c r="H1540">
        <f t="shared" si="73"/>
        <v>0</v>
      </c>
      <c r="I1540">
        <f t="shared" si="74"/>
        <v>0</v>
      </c>
      <c r="J1540">
        <f>IF(Table1[[#This Row],[Active_months]]&gt;=1, 1, 0)</f>
        <v>0</v>
      </c>
    </row>
    <row r="1541" spans="1:10" x14ac:dyDescent="0.3">
      <c r="A1541">
        <v>185602413</v>
      </c>
      <c r="B1541" s="1">
        <v>45005</v>
      </c>
      <c r="C1541" s="1">
        <v>45104</v>
      </c>
      <c r="D1541">
        <v>39</v>
      </c>
      <c r="E1541" t="s">
        <v>6</v>
      </c>
      <c r="F1541" t="s">
        <v>7</v>
      </c>
      <c r="G1541" s="1">
        <f t="shared" si="72"/>
        <v>45104</v>
      </c>
      <c r="H1541">
        <f t="shared" si="73"/>
        <v>3</v>
      </c>
      <c r="I1541">
        <f t="shared" si="74"/>
        <v>0</v>
      </c>
      <c r="J1541">
        <f>IF(Table1[[#This Row],[Active_months]]&gt;=1, 1, 0)</f>
        <v>1</v>
      </c>
    </row>
    <row r="1542" spans="1:10" x14ac:dyDescent="0.3">
      <c r="A1542">
        <v>206679618</v>
      </c>
      <c r="B1542" s="1">
        <v>45005</v>
      </c>
      <c r="C1542" s="1">
        <v>45047</v>
      </c>
      <c r="D1542">
        <v>39</v>
      </c>
      <c r="E1542" t="s">
        <v>6</v>
      </c>
      <c r="F1542" t="s">
        <v>7</v>
      </c>
      <c r="G1542" s="1">
        <f t="shared" si="72"/>
        <v>45047</v>
      </c>
      <c r="H1542">
        <f t="shared" si="73"/>
        <v>2</v>
      </c>
      <c r="I1542">
        <f t="shared" si="74"/>
        <v>0</v>
      </c>
      <c r="J1542">
        <f>IF(Table1[[#This Row],[Active_months]]&gt;=1, 1, 0)</f>
        <v>1</v>
      </c>
    </row>
    <row r="1543" spans="1:10" x14ac:dyDescent="0.3">
      <c r="A1543">
        <v>127561439</v>
      </c>
      <c r="B1543" s="1">
        <v>45005</v>
      </c>
      <c r="C1543" s="1">
        <v>45035</v>
      </c>
      <c r="D1543">
        <v>39</v>
      </c>
      <c r="E1543" t="s">
        <v>6</v>
      </c>
      <c r="F1543" t="s">
        <v>7</v>
      </c>
      <c r="G1543" s="1">
        <f t="shared" si="72"/>
        <v>45035</v>
      </c>
      <c r="H1543">
        <f t="shared" si="73"/>
        <v>1</v>
      </c>
      <c r="I1543">
        <f t="shared" si="74"/>
        <v>0</v>
      </c>
      <c r="J1543">
        <f>IF(Table1[[#This Row],[Active_months]]&gt;=1, 1, 0)</f>
        <v>1</v>
      </c>
    </row>
    <row r="1544" spans="1:10" x14ac:dyDescent="0.3">
      <c r="A1544">
        <v>176705210</v>
      </c>
      <c r="B1544" s="1">
        <v>45005</v>
      </c>
      <c r="C1544" s="1">
        <v>45005</v>
      </c>
      <c r="D1544">
        <v>39</v>
      </c>
      <c r="E1544" t="s">
        <v>6</v>
      </c>
      <c r="F1544" t="s">
        <v>7</v>
      </c>
      <c r="G1544" s="1">
        <f t="shared" si="72"/>
        <v>45005</v>
      </c>
      <c r="H1544">
        <f t="shared" si="73"/>
        <v>0</v>
      </c>
      <c r="I1544">
        <f t="shared" si="74"/>
        <v>0</v>
      </c>
      <c r="J1544">
        <f>IF(Table1[[#This Row],[Active_months]]&gt;=1, 1, 0)</f>
        <v>0</v>
      </c>
    </row>
    <row r="1545" spans="1:10" x14ac:dyDescent="0.3">
      <c r="A1545">
        <v>206693452</v>
      </c>
      <c r="B1545" s="1">
        <v>45006</v>
      </c>
      <c r="D1545">
        <v>39</v>
      </c>
      <c r="E1545" t="s">
        <v>6</v>
      </c>
      <c r="F1545" t="s">
        <v>7</v>
      </c>
      <c r="G1545" s="1">
        <f t="shared" si="72"/>
        <v>45199</v>
      </c>
      <c r="H1545">
        <f t="shared" si="73"/>
        <v>6</v>
      </c>
      <c r="I1545">
        <f t="shared" si="74"/>
        <v>1</v>
      </c>
      <c r="J1545">
        <f>IF(Table1[[#This Row],[Active_months]]&gt;=1, 1, 0)</f>
        <v>1</v>
      </c>
    </row>
    <row r="1546" spans="1:10" x14ac:dyDescent="0.3">
      <c r="A1546">
        <v>193499084</v>
      </c>
      <c r="B1546" s="1">
        <v>45006</v>
      </c>
      <c r="D1546">
        <v>39</v>
      </c>
      <c r="E1546" t="s">
        <v>6</v>
      </c>
      <c r="F1546" t="s">
        <v>7</v>
      </c>
      <c r="G1546" s="1">
        <f t="shared" si="72"/>
        <v>45199</v>
      </c>
      <c r="H1546">
        <f t="shared" si="73"/>
        <v>6</v>
      </c>
      <c r="I1546">
        <f t="shared" si="74"/>
        <v>1</v>
      </c>
      <c r="J1546">
        <f>IF(Table1[[#This Row],[Active_months]]&gt;=1, 1, 0)</f>
        <v>1</v>
      </c>
    </row>
    <row r="1547" spans="1:10" x14ac:dyDescent="0.3">
      <c r="A1547">
        <v>206995576</v>
      </c>
      <c r="B1547" s="1">
        <v>45006</v>
      </c>
      <c r="C1547" s="1">
        <v>45163</v>
      </c>
      <c r="D1547">
        <v>39</v>
      </c>
      <c r="E1547" t="s">
        <v>6</v>
      </c>
      <c r="F1547" t="s">
        <v>7</v>
      </c>
      <c r="G1547" s="1">
        <f t="shared" si="72"/>
        <v>45163</v>
      </c>
      <c r="H1547">
        <f t="shared" si="73"/>
        <v>5</v>
      </c>
      <c r="I1547">
        <f t="shared" si="74"/>
        <v>1</v>
      </c>
      <c r="J1547">
        <f>IF(Table1[[#This Row],[Active_months]]&gt;=1, 1, 0)</f>
        <v>1</v>
      </c>
    </row>
    <row r="1548" spans="1:10" x14ac:dyDescent="0.3">
      <c r="A1548">
        <v>154783053</v>
      </c>
      <c r="B1548" s="1">
        <v>45006</v>
      </c>
      <c r="C1548" s="1">
        <v>45050</v>
      </c>
      <c r="D1548">
        <v>39</v>
      </c>
      <c r="E1548" t="s">
        <v>6</v>
      </c>
      <c r="F1548" t="s">
        <v>7</v>
      </c>
      <c r="G1548" s="1">
        <f t="shared" si="72"/>
        <v>45050</v>
      </c>
      <c r="H1548">
        <f t="shared" si="73"/>
        <v>2</v>
      </c>
      <c r="I1548">
        <f t="shared" si="74"/>
        <v>0</v>
      </c>
      <c r="J1548">
        <f>IF(Table1[[#This Row],[Active_months]]&gt;=1, 1, 0)</f>
        <v>1</v>
      </c>
    </row>
    <row r="1549" spans="1:10" x14ac:dyDescent="0.3">
      <c r="A1549">
        <v>158349405</v>
      </c>
      <c r="B1549" s="1">
        <v>45006</v>
      </c>
      <c r="C1549" s="1">
        <v>45154</v>
      </c>
      <c r="D1549">
        <v>39</v>
      </c>
      <c r="E1549" t="s">
        <v>6</v>
      </c>
      <c r="F1549" t="s">
        <v>7</v>
      </c>
      <c r="G1549" s="1">
        <f t="shared" si="72"/>
        <v>45154</v>
      </c>
      <c r="H1549">
        <f t="shared" si="73"/>
        <v>5</v>
      </c>
      <c r="I1549">
        <f t="shared" si="74"/>
        <v>1</v>
      </c>
      <c r="J1549">
        <f>IF(Table1[[#This Row],[Active_months]]&gt;=1, 1, 0)</f>
        <v>1</v>
      </c>
    </row>
    <row r="1550" spans="1:10" x14ac:dyDescent="0.3">
      <c r="A1550">
        <v>205554002</v>
      </c>
      <c r="B1550" s="1">
        <v>45006</v>
      </c>
      <c r="C1550" s="1">
        <v>45153</v>
      </c>
      <c r="D1550">
        <v>39</v>
      </c>
      <c r="E1550" t="s">
        <v>6</v>
      </c>
      <c r="F1550" t="s">
        <v>7</v>
      </c>
      <c r="G1550" s="1">
        <f t="shared" si="72"/>
        <v>45153</v>
      </c>
      <c r="H1550">
        <f t="shared" si="73"/>
        <v>5</v>
      </c>
      <c r="I1550">
        <f t="shared" si="74"/>
        <v>1</v>
      </c>
      <c r="J1550">
        <f>IF(Table1[[#This Row],[Active_months]]&gt;=1, 1, 0)</f>
        <v>1</v>
      </c>
    </row>
    <row r="1551" spans="1:10" x14ac:dyDescent="0.3">
      <c r="A1551">
        <v>207045565</v>
      </c>
      <c r="B1551" s="1">
        <v>45007</v>
      </c>
      <c r="D1551">
        <v>39</v>
      </c>
      <c r="E1551" t="s">
        <v>6</v>
      </c>
      <c r="F1551" t="s">
        <v>7</v>
      </c>
      <c r="G1551" s="1">
        <f t="shared" si="72"/>
        <v>45199</v>
      </c>
      <c r="H1551">
        <f t="shared" si="73"/>
        <v>6</v>
      </c>
      <c r="I1551">
        <f t="shared" si="74"/>
        <v>1</v>
      </c>
      <c r="J1551">
        <f>IF(Table1[[#This Row],[Active_months]]&gt;=1, 1, 0)</f>
        <v>1</v>
      </c>
    </row>
    <row r="1552" spans="1:10" x14ac:dyDescent="0.3">
      <c r="A1552">
        <v>205483607</v>
      </c>
      <c r="B1552" s="1">
        <v>45007</v>
      </c>
      <c r="D1552">
        <v>39</v>
      </c>
      <c r="E1552" t="s">
        <v>6</v>
      </c>
      <c r="F1552" t="s">
        <v>7</v>
      </c>
      <c r="G1552" s="1">
        <f t="shared" si="72"/>
        <v>45199</v>
      </c>
      <c r="H1552">
        <f t="shared" si="73"/>
        <v>6</v>
      </c>
      <c r="I1552">
        <f t="shared" si="74"/>
        <v>1</v>
      </c>
      <c r="J1552">
        <f>IF(Table1[[#This Row],[Active_months]]&gt;=1, 1, 0)</f>
        <v>1</v>
      </c>
    </row>
    <row r="1553" spans="1:10" x14ac:dyDescent="0.3">
      <c r="A1553">
        <v>147662374</v>
      </c>
      <c r="B1553" s="1">
        <v>45007</v>
      </c>
      <c r="D1553">
        <v>39</v>
      </c>
      <c r="E1553" t="s">
        <v>6</v>
      </c>
      <c r="F1553" t="s">
        <v>7</v>
      </c>
      <c r="G1553" s="1">
        <f t="shared" si="72"/>
        <v>45199</v>
      </c>
      <c r="H1553">
        <f t="shared" si="73"/>
        <v>6</v>
      </c>
      <c r="I1553">
        <f t="shared" si="74"/>
        <v>1</v>
      </c>
      <c r="J1553">
        <f>IF(Table1[[#This Row],[Active_months]]&gt;=1, 1, 0)</f>
        <v>1</v>
      </c>
    </row>
    <row r="1554" spans="1:10" x14ac:dyDescent="0.3">
      <c r="A1554">
        <v>150652956</v>
      </c>
      <c r="B1554" s="1">
        <v>45007</v>
      </c>
      <c r="C1554" s="1">
        <v>45027</v>
      </c>
      <c r="D1554">
        <v>39</v>
      </c>
      <c r="E1554" t="s">
        <v>6</v>
      </c>
      <c r="F1554" t="s">
        <v>7</v>
      </c>
      <c r="G1554" s="1">
        <f t="shared" si="72"/>
        <v>45027</v>
      </c>
      <c r="H1554">
        <f t="shared" si="73"/>
        <v>1</v>
      </c>
      <c r="I1554">
        <f t="shared" si="74"/>
        <v>0</v>
      </c>
      <c r="J1554">
        <f>IF(Table1[[#This Row],[Active_months]]&gt;=1, 1, 0)</f>
        <v>1</v>
      </c>
    </row>
    <row r="1555" spans="1:10" x14ac:dyDescent="0.3">
      <c r="A1555">
        <v>206527656</v>
      </c>
      <c r="B1555" s="1">
        <v>45007</v>
      </c>
      <c r="C1555" s="1">
        <v>45085</v>
      </c>
      <c r="D1555">
        <v>39</v>
      </c>
      <c r="E1555" t="s">
        <v>6</v>
      </c>
      <c r="F1555" t="s">
        <v>7</v>
      </c>
      <c r="G1555" s="1">
        <f t="shared" si="72"/>
        <v>45085</v>
      </c>
      <c r="H1555">
        <f t="shared" si="73"/>
        <v>3</v>
      </c>
      <c r="I1555">
        <f t="shared" si="74"/>
        <v>0</v>
      </c>
      <c r="J1555">
        <f>IF(Table1[[#This Row],[Active_months]]&gt;=1, 1, 0)</f>
        <v>1</v>
      </c>
    </row>
    <row r="1556" spans="1:10" x14ac:dyDescent="0.3">
      <c r="A1556">
        <v>207041353</v>
      </c>
      <c r="B1556" s="1">
        <v>45007</v>
      </c>
      <c r="C1556" s="1">
        <v>45065</v>
      </c>
      <c r="D1556">
        <v>39</v>
      </c>
      <c r="E1556" t="s">
        <v>6</v>
      </c>
      <c r="F1556" t="s">
        <v>7</v>
      </c>
      <c r="G1556" s="1">
        <f t="shared" si="72"/>
        <v>45065</v>
      </c>
      <c r="H1556">
        <f t="shared" si="73"/>
        <v>2</v>
      </c>
      <c r="I1556">
        <f t="shared" si="74"/>
        <v>0</v>
      </c>
      <c r="J1556">
        <f>IF(Table1[[#This Row],[Active_months]]&gt;=1, 1, 0)</f>
        <v>1</v>
      </c>
    </row>
    <row r="1557" spans="1:10" x14ac:dyDescent="0.3">
      <c r="A1557">
        <v>204448911</v>
      </c>
      <c r="B1557" s="1">
        <v>45007</v>
      </c>
      <c r="C1557" s="1">
        <v>45037</v>
      </c>
      <c r="D1557">
        <v>39</v>
      </c>
      <c r="E1557" t="s">
        <v>6</v>
      </c>
      <c r="F1557" t="s">
        <v>7</v>
      </c>
      <c r="G1557" s="1">
        <f t="shared" si="72"/>
        <v>45037</v>
      </c>
      <c r="H1557">
        <f t="shared" si="73"/>
        <v>1</v>
      </c>
      <c r="I1557">
        <f t="shared" si="74"/>
        <v>0</v>
      </c>
      <c r="J1557">
        <f>IF(Table1[[#This Row],[Active_months]]&gt;=1, 1, 0)</f>
        <v>1</v>
      </c>
    </row>
    <row r="1558" spans="1:10" x14ac:dyDescent="0.3">
      <c r="A1558">
        <v>206951785</v>
      </c>
      <c r="B1558" s="1">
        <v>45007</v>
      </c>
      <c r="C1558" s="1">
        <v>45036</v>
      </c>
      <c r="D1558">
        <v>39</v>
      </c>
      <c r="E1558" t="s">
        <v>6</v>
      </c>
      <c r="F1558" t="s">
        <v>7</v>
      </c>
      <c r="G1558" s="1">
        <f t="shared" si="72"/>
        <v>45036</v>
      </c>
      <c r="H1558">
        <f t="shared" si="73"/>
        <v>1</v>
      </c>
      <c r="I1558">
        <f t="shared" si="74"/>
        <v>0</v>
      </c>
      <c r="J1558">
        <f>IF(Table1[[#This Row],[Active_months]]&gt;=1, 1, 0)</f>
        <v>1</v>
      </c>
    </row>
    <row r="1559" spans="1:10" x14ac:dyDescent="0.3">
      <c r="A1559">
        <v>206892555</v>
      </c>
      <c r="B1559" s="1">
        <v>45007</v>
      </c>
      <c r="C1559" s="1">
        <v>45009</v>
      </c>
      <c r="D1559">
        <v>39</v>
      </c>
      <c r="E1559" t="s">
        <v>6</v>
      </c>
      <c r="F1559" t="s">
        <v>7</v>
      </c>
      <c r="G1559" s="1">
        <f t="shared" si="72"/>
        <v>45009</v>
      </c>
      <c r="H1559">
        <f t="shared" si="73"/>
        <v>0</v>
      </c>
      <c r="I1559">
        <f t="shared" si="74"/>
        <v>0</v>
      </c>
      <c r="J1559">
        <f>IF(Table1[[#This Row],[Active_months]]&gt;=1, 1, 0)</f>
        <v>0</v>
      </c>
    </row>
    <row r="1560" spans="1:10" x14ac:dyDescent="0.3">
      <c r="A1560">
        <v>207051401</v>
      </c>
      <c r="B1560" s="1">
        <v>45008</v>
      </c>
      <c r="D1560">
        <v>39</v>
      </c>
      <c r="E1560" t="s">
        <v>6</v>
      </c>
      <c r="F1560" t="s">
        <v>7</v>
      </c>
      <c r="G1560" s="1">
        <f t="shared" si="72"/>
        <v>45199</v>
      </c>
      <c r="H1560">
        <f t="shared" si="73"/>
        <v>6</v>
      </c>
      <c r="I1560">
        <f t="shared" si="74"/>
        <v>1</v>
      </c>
      <c r="J1560">
        <f>IF(Table1[[#This Row],[Active_months]]&gt;=1, 1, 0)</f>
        <v>1</v>
      </c>
    </row>
    <row r="1561" spans="1:10" x14ac:dyDescent="0.3">
      <c r="A1561">
        <v>206904848</v>
      </c>
      <c r="B1561" s="1">
        <v>45008</v>
      </c>
      <c r="D1561">
        <v>39</v>
      </c>
      <c r="E1561" t="s">
        <v>6</v>
      </c>
      <c r="F1561" t="s">
        <v>7</v>
      </c>
      <c r="G1561" s="1">
        <f t="shared" si="72"/>
        <v>45199</v>
      </c>
      <c r="H1561">
        <f t="shared" si="73"/>
        <v>6</v>
      </c>
      <c r="I1561">
        <f t="shared" si="74"/>
        <v>1</v>
      </c>
      <c r="J1561">
        <f>IF(Table1[[#This Row],[Active_months]]&gt;=1, 1, 0)</f>
        <v>1</v>
      </c>
    </row>
    <row r="1562" spans="1:10" x14ac:dyDescent="0.3">
      <c r="A1562">
        <v>204598188</v>
      </c>
      <c r="B1562" s="1">
        <v>45008</v>
      </c>
      <c r="C1562" s="1">
        <v>45169</v>
      </c>
      <c r="D1562">
        <v>39</v>
      </c>
      <c r="E1562" t="s">
        <v>6</v>
      </c>
      <c r="F1562" t="s">
        <v>7</v>
      </c>
      <c r="G1562" s="1">
        <f t="shared" si="72"/>
        <v>45169</v>
      </c>
      <c r="H1562">
        <f t="shared" si="73"/>
        <v>5</v>
      </c>
      <c r="I1562">
        <f t="shared" si="74"/>
        <v>1</v>
      </c>
      <c r="J1562">
        <f>IF(Table1[[#This Row],[Active_months]]&gt;=1, 1, 0)</f>
        <v>1</v>
      </c>
    </row>
    <row r="1563" spans="1:10" x14ac:dyDescent="0.3">
      <c r="A1563">
        <v>206447228</v>
      </c>
      <c r="B1563" s="1">
        <v>45008</v>
      </c>
      <c r="C1563" s="1">
        <v>45072</v>
      </c>
      <c r="D1563">
        <v>39</v>
      </c>
      <c r="E1563" t="s">
        <v>6</v>
      </c>
      <c r="F1563" t="s">
        <v>7</v>
      </c>
      <c r="G1563" s="1">
        <f t="shared" si="72"/>
        <v>45072</v>
      </c>
      <c r="H1563">
        <f t="shared" si="73"/>
        <v>2</v>
      </c>
      <c r="I1563">
        <f t="shared" si="74"/>
        <v>0</v>
      </c>
      <c r="J1563">
        <f>IF(Table1[[#This Row],[Active_months]]&gt;=1, 1, 0)</f>
        <v>1</v>
      </c>
    </row>
    <row r="1564" spans="1:10" x14ac:dyDescent="0.3">
      <c r="A1564">
        <v>206190599</v>
      </c>
      <c r="B1564" s="1">
        <v>45008</v>
      </c>
      <c r="C1564" s="1">
        <v>45057</v>
      </c>
      <c r="D1564">
        <v>39</v>
      </c>
      <c r="E1564" t="s">
        <v>6</v>
      </c>
      <c r="F1564" t="s">
        <v>7</v>
      </c>
      <c r="G1564" s="1">
        <f t="shared" si="72"/>
        <v>45057</v>
      </c>
      <c r="H1564">
        <f t="shared" si="73"/>
        <v>2</v>
      </c>
      <c r="I1564">
        <f t="shared" si="74"/>
        <v>0</v>
      </c>
      <c r="J1564">
        <f>IF(Table1[[#This Row],[Active_months]]&gt;=1, 1, 0)</f>
        <v>1</v>
      </c>
    </row>
    <row r="1565" spans="1:10" x14ac:dyDescent="0.3">
      <c r="A1565">
        <v>207014740</v>
      </c>
      <c r="B1565" s="1">
        <v>45008</v>
      </c>
      <c r="C1565" s="1">
        <v>45023</v>
      </c>
      <c r="D1565">
        <v>39</v>
      </c>
      <c r="E1565" t="s">
        <v>6</v>
      </c>
      <c r="F1565" t="s">
        <v>7</v>
      </c>
      <c r="G1565" s="1">
        <f t="shared" si="72"/>
        <v>45023</v>
      </c>
      <c r="H1565">
        <f t="shared" si="73"/>
        <v>1</v>
      </c>
      <c r="I1565">
        <f t="shared" si="74"/>
        <v>0</v>
      </c>
      <c r="J1565">
        <f>IF(Table1[[#This Row],[Active_months]]&gt;=1, 1, 0)</f>
        <v>1</v>
      </c>
    </row>
    <row r="1566" spans="1:10" x14ac:dyDescent="0.3">
      <c r="A1566">
        <v>156762690</v>
      </c>
      <c r="B1566" s="1">
        <v>45008</v>
      </c>
      <c r="C1566" s="1">
        <v>45037</v>
      </c>
      <c r="D1566">
        <v>39</v>
      </c>
      <c r="E1566" t="s">
        <v>6</v>
      </c>
      <c r="F1566" t="s">
        <v>7</v>
      </c>
      <c r="G1566" s="1">
        <f t="shared" si="72"/>
        <v>45037</v>
      </c>
      <c r="H1566">
        <f t="shared" si="73"/>
        <v>1</v>
      </c>
      <c r="I1566">
        <f t="shared" si="74"/>
        <v>0</v>
      </c>
      <c r="J1566">
        <f>IF(Table1[[#This Row],[Active_months]]&gt;=1, 1, 0)</f>
        <v>1</v>
      </c>
    </row>
    <row r="1567" spans="1:10" x14ac:dyDescent="0.3">
      <c r="A1567">
        <v>207116463</v>
      </c>
      <c r="B1567" s="1">
        <v>45008</v>
      </c>
      <c r="C1567" s="1">
        <v>45037</v>
      </c>
      <c r="D1567">
        <v>39</v>
      </c>
      <c r="E1567" t="s">
        <v>6</v>
      </c>
      <c r="F1567" t="s">
        <v>7</v>
      </c>
      <c r="G1567" s="1">
        <f t="shared" si="72"/>
        <v>45037</v>
      </c>
      <c r="H1567">
        <f t="shared" si="73"/>
        <v>1</v>
      </c>
      <c r="I1567">
        <f t="shared" si="74"/>
        <v>0</v>
      </c>
      <c r="J1567">
        <f>IF(Table1[[#This Row],[Active_months]]&gt;=1, 1, 0)</f>
        <v>1</v>
      </c>
    </row>
    <row r="1568" spans="1:10" x14ac:dyDescent="0.3">
      <c r="A1568">
        <v>206555111</v>
      </c>
      <c r="B1568" s="1">
        <v>45008</v>
      </c>
      <c r="C1568" s="1">
        <v>45033</v>
      </c>
      <c r="D1568">
        <v>39</v>
      </c>
      <c r="E1568" t="s">
        <v>6</v>
      </c>
      <c r="F1568" t="s">
        <v>7</v>
      </c>
      <c r="G1568" s="1">
        <f t="shared" si="72"/>
        <v>45033</v>
      </c>
      <c r="H1568">
        <f t="shared" si="73"/>
        <v>1</v>
      </c>
      <c r="I1568">
        <f t="shared" si="74"/>
        <v>0</v>
      </c>
      <c r="J1568">
        <f>IF(Table1[[#This Row],[Active_months]]&gt;=1, 1, 0)</f>
        <v>1</v>
      </c>
    </row>
    <row r="1569" spans="1:10" x14ac:dyDescent="0.3">
      <c r="A1569">
        <v>169543155</v>
      </c>
      <c r="B1569" s="1">
        <v>45008</v>
      </c>
      <c r="C1569" s="1">
        <v>45046</v>
      </c>
      <c r="D1569">
        <v>39</v>
      </c>
      <c r="E1569" t="s">
        <v>6</v>
      </c>
      <c r="F1569" t="s">
        <v>7</v>
      </c>
      <c r="G1569" s="1">
        <f t="shared" si="72"/>
        <v>45046</v>
      </c>
      <c r="H1569">
        <f t="shared" si="73"/>
        <v>1</v>
      </c>
      <c r="I1569">
        <f t="shared" si="74"/>
        <v>0</v>
      </c>
      <c r="J1569">
        <f>IF(Table1[[#This Row],[Active_months]]&gt;=1, 1, 0)</f>
        <v>1</v>
      </c>
    </row>
    <row r="1570" spans="1:10" x14ac:dyDescent="0.3">
      <c r="A1570">
        <v>202270426</v>
      </c>
      <c r="B1570" s="1">
        <v>45008</v>
      </c>
      <c r="C1570" s="1">
        <v>45046</v>
      </c>
      <c r="D1570">
        <v>39</v>
      </c>
      <c r="E1570" t="s">
        <v>6</v>
      </c>
      <c r="F1570" t="s">
        <v>7</v>
      </c>
      <c r="G1570" s="1">
        <f t="shared" si="72"/>
        <v>45046</v>
      </c>
      <c r="H1570">
        <f t="shared" si="73"/>
        <v>1</v>
      </c>
      <c r="I1570">
        <f t="shared" si="74"/>
        <v>0</v>
      </c>
      <c r="J1570">
        <f>IF(Table1[[#This Row],[Active_months]]&gt;=1, 1, 0)</f>
        <v>1</v>
      </c>
    </row>
    <row r="1571" spans="1:10" x14ac:dyDescent="0.3">
      <c r="A1571">
        <v>207005361</v>
      </c>
      <c r="B1571" s="1">
        <v>45008</v>
      </c>
      <c r="C1571" s="1">
        <v>45118</v>
      </c>
      <c r="D1571">
        <v>39</v>
      </c>
      <c r="E1571" t="s">
        <v>6</v>
      </c>
      <c r="F1571" t="s">
        <v>7</v>
      </c>
      <c r="G1571" s="1">
        <f t="shared" si="72"/>
        <v>45118</v>
      </c>
      <c r="H1571">
        <f t="shared" si="73"/>
        <v>4</v>
      </c>
      <c r="I1571">
        <f t="shared" si="74"/>
        <v>0</v>
      </c>
      <c r="J1571">
        <f>IF(Table1[[#This Row],[Active_months]]&gt;=1, 1, 0)</f>
        <v>1</v>
      </c>
    </row>
    <row r="1572" spans="1:10" x14ac:dyDescent="0.3">
      <c r="A1572">
        <v>206105763</v>
      </c>
      <c r="B1572" s="1">
        <v>45009</v>
      </c>
      <c r="D1572">
        <v>39</v>
      </c>
      <c r="E1572" t="s">
        <v>6</v>
      </c>
      <c r="F1572" t="s">
        <v>7</v>
      </c>
      <c r="G1572" s="1">
        <f t="shared" si="72"/>
        <v>45199</v>
      </c>
      <c r="H1572">
        <f t="shared" si="73"/>
        <v>6</v>
      </c>
      <c r="I1572">
        <f t="shared" si="74"/>
        <v>1</v>
      </c>
      <c r="J1572">
        <f>IF(Table1[[#This Row],[Active_months]]&gt;=1, 1, 0)</f>
        <v>1</v>
      </c>
    </row>
    <row r="1573" spans="1:10" x14ac:dyDescent="0.3">
      <c r="A1573">
        <v>198968224</v>
      </c>
      <c r="B1573" s="1">
        <v>45009</v>
      </c>
      <c r="D1573">
        <v>39</v>
      </c>
      <c r="E1573" t="s">
        <v>6</v>
      </c>
      <c r="F1573" t="s">
        <v>7</v>
      </c>
      <c r="G1573" s="1">
        <f t="shared" si="72"/>
        <v>45199</v>
      </c>
      <c r="H1573">
        <f t="shared" si="73"/>
        <v>6</v>
      </c>
      <c r="I1573">
        <f t="shared" si="74"/>
        <v>1</v>
      </c>
      <c r="J1573">
        <f>IF(Table1[[#This Row],[Active_months]]&gt;=1, 1, 0)</f>
        <v>1</v>
      </c>
    </row>
    <row r="1574" spans="1:10" x14ac:dyDescent="0.3">
      <c r="A1574">
        <v>205342230</v>
      </c>
      <c r="B1574" s="1">
        <v>45009</v>
      </c>
      <c r="D1574">
        <v>39</v>
      </c>
      <c r="E1574" t="s">
        <v>6</v>
      </c>
      <c r="F1574" t="s">
        <v>7</v>
      </c>
      <c r="G1574" s="1">
        <f t="shared" si="72"/>
        <v>45199</v>
      </c>
      <c r="H1574">
        <f t="shared" si="73"/>
        <v>6</v>
      </c>
      <c r="I1574">
        <f t="shared" si="74"/>
        <v>1</v>
      </c>
      <c r="J1574">
        <f>IF(Table1[[#This Row],[Active_months]]&gt;=1, 1, 0)</f>
        <v>1</v>
      </c>
    </row>
    <row r="1575" spans="1:10" x14ac:dyDescent="0.3">
      <c r="A1575">
        <v>207224044</v>
      </c>
      <c r="B1575" s="1">
        <v>45009</v>
      </c>
      <c r="D1575">
        <v>39</v>
      </c>
      <c r="E1575" t="s">
        <v>6</v>
      </c>
      <c r="F1575" t="s">
        <v>7</v>
      </c>
      <c r="G1575" s="1">
        <f t="shared" si="72"/>
        <v>45199</v>
      </c>
      <c r="H1575">
        <f t="shared" si="73"/>
        <v>6</v>
      </c>
      <c r="I1575">
        <f t="shared" si="74"/>
        <v>1</v>
      </c>
      <c r="J1575">
        <f>IF(Table1[[#This Row],[Active_months]]&gt;=1, 1, 0)</f>
        <v>1</v>
      </c>
    </row>
    <row r="1576" spans="1:10" x14ac:dyDescent="0.3">
      <c r="A1576">
        <v>174232231</v>
      </c>
      <c r="B1576" s="1">
        <v>45009</v>
      </c>
      <c r="D1576">
        <v>39</v>
      </c>
      <c r="E1576" t="s">
        <v>6</v>
      </c>
      <c r="F1576" t="s">
        <v>7</v>
      </c>
      <c r="G1576" s="1">
        <f t="shared" si="72"/>
        <v>45199</v>
      </c>
      <c r="H1576">
        <f t="shared" si="73"/>
        <v>6</v>
      </c>
      <c r="I1576">
        <f t="shared" si="74"/>
        <v>1</v>
      </c>
      <c r="J1576">
        <f>IF(Table1[[#This Row],[Active_months]]&gt;=1, 1, 0)</f>
        <v>1</v>
      </c>
    </row>
    <row r="1577" spans="1:10" x14ac:dyDescent="0.3">
      <c r="A1577">
        <v>207017124</v>
      </c>
      <c r="B1577" s="1">
        <v>45009</v>
      </c>
      <c r="C1577" s="1">
        <v>45009</v>
      </c>
      <c r="D1577">
        <v>39</v>
      </c>
      <c r="E1577" t="s">
        <v>6</v>
      </c>
      <c r="F1577" t="s">
        <v>8</v>
      </c>
      <c r="G1577" s="1">
        <f t="shared" si="72"/>
        <v>45009</v>
      </c>
      <c r="H1577">
        <f t="shared" si="73"/>
        <v>0</v>
      </c>
      <c r="I1577">
        <f t="shared" si="74"/>
        <v>0</v>
      </c>
      <c r="J1577">
        <f>IF(Table1[[#This Row],[Active_months]]&gt;=1, 1, 0)</f>
        <v>0</v>
      </c>
    </row>
    <row r="1578" spans="1:10" x14ac:dyDescent="0.3">
      <c r="A1578">
        <v>194006146</v>
      </c>
      <c r="B1578" s="1">
        <v>45009</v>
      </c>
      <c r="C1578" s="1">
        <v>45093</v>
      </c>
      <c r="D1578">
        <v>39</v>
      </c>
      <c r="E1578" t="s">
        <v>6</v>
      </c>
      <c r="F1578" t="s">
        <v>7</v>
      </c>
      <c r="G1578" s="1">
        <f t="shared" si="72"/>
        <v>45093</v>
      </c>
      <c r="H1578">
        <f t="shared" si="73"/>
        <v>3</v>
      </c>
      <c r="I1578">
        <f t="shared" si="74"/>
        <v>0</v>
      </c>
      <c r="J1578">
        <f>IF(Table1[[#This Row],[Active_months]]&gt;=1, 1, 0)</f>
        <v>1</v>
      </c>
    </row>
    <row r="1579" spans="1:10" x14ac:dyDescent="0.3">
      <c r="A1579">
        <v>150509580</v>
      </c>
      <c r="B1579" s="1">
        <v>45009</v>
      </c>
      <c r="C1579" s="1">
        <v>45086</v>
      </c>
      <c r="D1579">
        <v>39</v>
      </c>
      <c r="E1579" t="s">
        <v>6</v>
      </c>
      <c r="F1579" t="s">
        <v>7</v>
      </c>
      <c r="G1579" s="1">
        <f t="shared" si="72"/>
        <v>45086</v>
      </c>
      <c r="H1579">
        <f t="shared" si="73"/>
        <v>3</v>
      </c>
      <c r="I1579">
        <f t="shared" si="74"/>
        <v>0</v>
      </c>
      <c r="J1579">
        <f>IF(Table1[[#This Row],[Active_months]]&gt;=1, 1, 0)</f>
        <v>1</v>
      </c>
    </row>
    <row r="1580" spans="1:10" x14ac:dyDescent="0.3">
      <c r="A1580">
        <v>207120479</v>
      </c>
      <c r="B1580" s="1">
        <v>45009</v>
      </c>
      <c r="C1580" s="1">
        <v>45076</v>
      </c>
      <c r="D1580">
        <v>39</v>
      </c>
      <c r="E1580" t="s">
        <v>6</v>
      </c>
      <c r="F1580" t="s">
        <v>7</v>
      </c>
      <c r="G1580" s="1">
        <f t="shared" si="72"/>
        <v>45076</v>
      </c>
      <c r="H1580">
        <f t="shared" si="73"/>
        <v>2</v>
      </c>
      <c r="I1580">
        <f t="shared" si="74"/>
        <v>0</v>
      </c>
      <c r="J1580">
        <f>IF(Table1[[#This Row],[Active_months]]&gt;=1, 1, 0)</f>
        <v>1</v>
      </c>
    </row>
    <row r="1581" spans="1:10" x14ac:dyDescent="0.3">
      <c r="A1581">
        <v>162069198</v>
      </c>
      <c r="B1581" s="1">
        <v>45009</v>
      </c>
      <c r="C1581" s="1">
        <v>45039</v>
      </c>
      <c r="D1581">
        <v>39</v>
      </c>
      <c r="E1581" t="s">
        <v>6</v>
      </c>
      <c r="F1581" t="s">
        <v>7</v>
      </c>
      <c r="G1581" s="1">
        <f t="shared" si="72"/>
        <v>45039</v>
      </c>
      <c r="H1581">
        <f t="shared" si="73"/>
        <v>1</v>
      </c>
      <c r="I1581">
        <f t="shared" si="74"/>
        <v>0</v>
      </c>
      <c r="J1581">
        <f>IF(Table1[[#This Row],[Active_months]]&gt;=1, 1, 0)</f>
        <v>1</v>
      </c>
    </row>
    <row r="1582" spans="1:10" x14ac:dyDescent="0.3">
      <c r="A1582">
        <v>206742272</v>
      </c>
      <c r="B1582" s="1">
        <v>45009</v>
      </c>
      <c r="C1582" s="1">
        <v>45044</v>
      </c>
      <c r="D1582">
        <v>39</v>
      </c>
      <c r="E1582" t="s">
        <v>6</v>
      </c>
      <c r="F1582" t="s">
        <v>7</v>
      </c>
      <c r="G1582" s="1">
        <f t="shared" si="72"/>
        <v>45044</v>
      </c>
      <c r="H1582">
        <f t="shared" si="73"/>
        <v>1</v>
      </c>
      <c r="I1582">
        <f t="shared" si="74"/>
        <v>0</v>
      </c>
      <c r="J1582">
        <f>IF(Table1[[#This Row],[Active_months]]&gt;=1, 1, 0)</f>
        <v>1</v>
      </c>
    </row>
    <row r="1583" spans="1:10" x14ac:dyDescent="0.3">
      <c r="A1583">
        <v>207433836</v>
      </c>
      <c r="B1583" s="1">
        <v>45010</v>
      </c>
      <c r="D1583">
        <v>39</v>
      </c>
      <c r="E1583" t="s">
        <v>6</v>
      </c>
      <c r="F1583" t="s">
        <v>7</v>
      </c>
      <c r="G1583" s="1">
        <f t="shared" si="72"/>
        <v>45199</v>
      </c>
      <c r="H1583">
        <f t="shared" si="73"/>
        <v>6</v>
      </c>
      <c r="I1583">
        <f t="shared" si="74"/>
        <v>1</v>
      </c>
      <c r="J1583">
        <f>IF(Table1[[#This Row],[Active_months]]&gt;=1, 1, 0)</f>
        <v>1</v>
      </c>
    </row>
    <row r="1584" spans="1:10" x14ac:dyDescent="0.3">
      <c r="A1584">
        <v>207382183</v>
      </c>
      <c r="B1584" s="1">
        <v>45010</v>
      </c>
      <c r="D1584">
        <v>39</v>
      </c>
      <c r="E1584" t="s">
        <v>6</v>
      </c>
      <c r="F1584" t="s">
        <v>7</v>
      </c>
      <c r="G1584" s="1">
        <f t="shared" si="72"/>
        <v>45199</v>
      </c>
      <c r="H1584">
        <f t="shared" si="73"/>
        <v>6</v>
      </c>
      <c r="I1584">
        <f t="shared" si="74"/>
        <v>1</v>
      </c>
      <c r="J1584">
        <f>IF(Table1[[#This Row],[Active_months]]&gt;=1, 1, 0)</f>
        <v>1</v>
      </c>
    </row>
    <row r="1585" spans="1:10" x14ac:dyDescent="0.3">
      <c r="A1585">
        <v>205051942</v>
      </c>
      <c r="B1585" s="1">
        <v>45010</v>
      </c>
      <c r="D1585">
        <v>39</v>
      </c>
      <c r="E1585" t="s">
        <v>6</v>
      </c>
      <c r="F1585" t="s">
        <v>7</v>
      </c>
      <c r="G1585" s="1">
        <f t="shared" si="72"/>
        <v>45199</v>
      </c>
      <c r="H1585">
        <f t="shared" si="73"/>
        <v>6</v>
      </c>
      <c r="I1585">
        <f t="shared" si="74"/>
        <v>1</v>
      </c>
      <c r="J1585">
        <f>IF(Table1[[#This Row],[Active_months]]&gt;=1, 1, 0)</f>
        <v>1</v>
      </c>
    </row>
    <row r="1586" spans="1:10" x14ac:dyDescent="0.3">
      <c r="A1586">
        <v>132631414</v>
      </c>
      <c r="B1586" s="1">
        <v>45010</v>
      </c>
      <c r="C1586" s="1">
        <v>45109</v>
      </c>
      <c r="D1586">
        <v>39</v>
      </c>
      <c r="E1586" t="s">
        <v>6</v>
      </c>
      <c r="F1586" t="s">
        <v>7</v>
      </c>
      <c r="G1586" s="1">
        <f t="shared" si="72"/>
        <v>45109</v>
      </c>
      <c r="H1586">
        <f t="shared" si="73"/>
        <v>4</v>
      </c>
      <c r="I1586">
        <f t="shared" si="74"/>
        <v>0</v>
      </c>
      <c r="J1586">
        <f>IF(Table1[[#This Row],[Active_months]]&gt;=1, 1, 0)</f>
        <v>1</v>
      </c>
    </row>
    <row r="1587" spans="1:10" x14ac:dyDescent="0.3">
      <c r="A1587">
        <v>207529664</v>
      </c>
      <c r="B1587" s="1">
        <v>45010</v>
      </c>
      <c r="C1587" s="1">
        <v>45016</v>
      </c>
      <c r="D1587">
        <v>39</v>
      </c>
      <c r="E1587" t="s">
        <v>6</v>
      </c>
      <c r="F1587" t="s">
        <v>7</v>
      </c>
      <c r="G1587" s="1">
        <f t="shared" si="72"/>
        <v>45016</v>
      </c>
      <c r="H1587">
        <f t="shared" si="73"/>
        <v>0</v>
      </c>
      <c r="I1587">
        <f t="shared" si="74"/>
        <v>0</v>
      </c>
      <c r="J1587">
        <f>IF(Table1[[#This Row],[Active_months]]&gt;=1, 1, 0)</f>
        <v>0</v>
      </c>
    </row>
    <row r="1588" spans="1:10" x14ac:dyDescent="0.3">
      <c r="A1588">
        <v>207022940</v>
      </c>
      <c r="B1588" s="1">
        <v>45010</v>
      </c>
      <c r="C1588" s="1">
        <v>45117</v>
      </c>
      <c r="D1588">
        <v>39</v>
      </c>
      <c r="E1588" t="s">
        <v>6</v>
      </c>
      <c r="F1588" t="s">
        <v>7</v>
      </c>
      <c r="G1588" s="1">
        <f t="shared" si="72"/>
        <v>45117</v>
      </c>
      <c r="H1588">
        <f t="shared" si="73"/>
        <v>4</v>
      </c>
      <c r="I1588">
        <f t="shared" si="74"/>
        <v>0</v>
      </c>
      <c r="J1588">
        <f>IF(Table1[[#This Row],[Active_months]]&gt;=1, 1, 0)</f>
        <v>1</v>
      </c>
    </row>
    <row r="1589" spans="1:10" x14ac:dyDescent="0.3">
      <c r="A1589">
        <v>207388337</v>
      </c>
      <c r="B1589" s="1">
        <v>45010</v>
      </c>
      <c r="C1589" s="1">
        <v>45141</v>
      </c>
      <c r="D1589">
        <v>39</v>
      </c>
      <c r="E1589" t="s">
        <v>6</v>
      </c>
      <c r="F1589" t="s">
        <v>7</v>
      </c>
      <c r="G1589" s="1">
        <f t="shared" si="72"/>
        <v>45141</v>
      </c>
      <c r="H1589">
        <f t="shared" si="73"/>
        <v>5</v>
      </c>
      <c r="I1589">
        <f t="shared" si="74"/>
        <v>1</v>
      </c>
      <c r="J1589">
        <f>IF(Table1[[#This Row],[Active_months]]&gt;=1, 1, 0)</f>
        <v>1</v>
      </c>
    </row>
    <row r="1590" spans="1:10" x14ac:dyDescent="0.3">
      <c r="A1590">
        <v>205883858</v>
      </c>
      <c r="B1590" s="1">
        <v>45011</v>
      </c>
      <c r="D1590">
        <v>39</v>
      </c>
      <c r="E1590" t="s">
        <v>6</v>
      </c>
      <c r="F1590" t="s">
        <v>7</v>
      </c>
      <c r="G1590" s="1">
        <f t="shared" si="72"/>
        <v>45199</v>
      </c>
      <c r="H1590">
        <f t="shared" si="73"/>
        <v>6</v>
      </c>
      <c r="I1590">
        <f t="shared" si="74"/>
        <v>1</v>
      </c>
      <c r="J1590">
        <f>IF(Table1[[#This Row],[Active_months]]&gt;=1, 1, 0)</f>
        <v>1</v>
      </c>
    </row>
    <row r="1591" spans="1:10" x14ac:dyDescent="0.3">
      <c r="A1591">
        <v>173711359</v>
      </c>
      <c r="B1591" s="1">
        <v>45011</v>
      </c>
      <c r="C1591" s="1">
        <v>45087</v>
      </c>
      <c r="D1591">
        <v>39</v>
      </c>
      <c r="E1591" t="s">
        <v>6</v>
      </c>
      <c r="F1591" t="s">
        <v>7</v>
      </c>
      <c r="G1591" s="1">
        <f t="shared" si="72"/>
        <v>45087</v>
      </c>
      <c r="H1591">
        <f t="shared" si="73"/>
        <v>3</v>
      </c>
      <c r="I1591">
        <f t="shared" si="74"/>
        <v>0</v>
      </c>
      <c r="J1591">
        <f>IF(Table1[[#This Row],[Active_months]]&gt;=1, 1, 0)</f>
        <v>1</v>
      </c>
    </row>
    <row r="1592" spans="1:10" x14ac:dyDescent="0.3">
      <c r="A1592">
        <v>207078726</v>
      </c>
      <c r="B1592" s="1">
        <v>45011</v>
      </c>
      <c r="C1592" s="1">
        <v>45090</v>
      </c>
      <c r="D1592">
        <v>39</v>
      </c>
      <c r="E1592" t="s">
        <v>6</v>
      </c>
      <c r="F1592" t="s">
        <v>7</v>
      </c>
      <c r="G1592" s="1">
        <f t="shared" si="72"/>
        <v>45090</v>
      </c>
      <c r="H1592">
        <f t="shared" si="73"/>
        <v>3</v>
      </c>
      <c r="I1592">
        <f t="shared" si="74"/>
        <v>0</v>
      </c>
      <c r="J1592">
        <f>IF(Table1[[#This Row],[Active_months]]&gt;=1, 1, 0)</f>
        <v>1</v>
      </c>
    </row>
    <row r="1593" spans="1:10" x14ac:dyDescent="0.3">
      <c r="A1593">
        <v>207415911</v>
      </c>
      <c r="B1593" s="1">
        <v>45011</v>
      </c>
      <c r="C1593" s="1">
        <v>45077</v>
      </c>
      <c r="D1593">
        <v>39</v>
      </c>
      <c r="E1593" t="s">
        <v>6</v>
      </c>
      <c r="F1593" t="s">
        <v>7</v>
      </c>
      <c r="G1593" s="1">
        <f t="shared" si="72"/>
        <v>45077</v>
      </c>
      <c r="H1593">
        <f t="shared" si="73"/>
        <v>2</v>
      </c>
      <c r="I1593">
        <f t="shared" si="74"/>
        <v>0</v>
      </c>
      <c r="J1593">
        <f>IF(Table1[[#This Row],[Active_months]]&gt;=1, 1, 0)</f>
        <v>1</v>
      </c>
    </row>
    <row r="1594" spans="1:10" x14ac:dyDescent="0.3">
      <c r="A1594">
        <v>207391012</v>
      </c>
      <c r="B1594" s="1">
        <v>45011</v>
      </c>
      <c r="C1594" s="1">
        <v>45022</v>
      </c>
      <c r="D1594">
        <v>39</v>
      </c>
      <c r="E1594" t="s">
        <v>6</v>
      </c>
      <c r="F1594" t="s">
        <v>7</v>
      </c>
      <c r="G1594" s="1">
        <f t="shared" si="72"/>
        <v>45022</v>
      </c>
      <c r="H1594">
        <f t="shared" si="73"/>
        <v>1</v>
      </c>
      <c r="I1594">
        <f t="shared" si="74"/>
        <v>0</v>
      </c>
      <c r="J1594">
        <f>IF(Table1[[#This Row],[Active_months]]&gt;=1, 1, 0)</f>
        <v>1</v>
      </c>
    </row>
    <row r="1595" spans="1:10" x14ac:dyDescent="0.3">
      <c r="A1595">
        <v>207699946</v>
      </c>
      <c r="B1595" s="1">
        <v>45011</v>
      </c>
      <c r="C1595" s="1">
        <v>45040</v>
      </c>
      <c r="D1595">
        <v>39</v>
      </c>
      <c r="E1595" t="s">
        <v>6</v>
      </c>
      <c r="F1595" t="s">
        <v>7</v>
      </c>
      <c r="G1595" s="1">
        <f t="shared" si="72"/>
        <v>45040</v>
      </c>
      <c r="H1595">
        <f t="shared" si="73"/>
        <v>1</v>
      </c>
      <c r="I1595">
        <f t="shared" si="74"/>
        <v>0</v>
      </c>
      <c r="J1595">
        <f>IF(Table1[[#This Row],[Active_months]]&gt;=1, 1, 0)</f>
        <v>1</v>
      </c>
    </row>
    <row r="1596" spans="1:10" x14ac:dyDescent="0.3">
      <c r="A1596">
        <v>207665488</v>
      </c>
      <c r="B1596" s="1">
        <v>45011</v>
      </c>
      <c r="C1596" s="1">
        <v>45011</v>
      </c>
      <c r="D1596">
        <v>39</v>
      </c>
      <c r="E1596" t="s">
        <v>6</v>
      </c>
      <c r="F1596" t="s">
        <v>7</v>
      </c>
      <c r="G1596" s="1">
        <f t="shared" si="72"/>
        <v>45011</v>
      </c>
      <c r="H1596">
        <f t="shared" si="73"/>
        <v>0</v>
      </c>
      <c r="I1596">
        <f t="shared" si="74"/>
        <v>0</v>
      </c>
      <c r="J1596">
        <f>IF(Table1[[#This Row],[Active_months]]&gt;=1, 1, 0)</f>
        <v>0</v>
      </c>
    </row>
    <row r="1597" spans="1:10" x14ac:dyDescent="0.3">
      <c r="A1597">
        <v>207742153</v>
      </c>
      <c r="B1597" s="1">
        <v>45011</v>
      </c>
      <c r="C1597" s="1">
        <v>45114</v>
      </c>
      <c r="D1597">
        <v>39</v>
      </c>
      <c r="E1597" t="s">
        <v>6</v>
      </c>
      <c r="F1597" t="s">
        <v>7</v>
      </c>
      <c r="G1597" s="1">
        <f t="shared" si="72"/>
        <v>45114</v>
      </c>
      <c r="H1597">
        <f t="shared" si="73"/>
        <v>4</v>
      </c>
      <c r="I1597">
        <f t="shared" si="74"/>
        <v>0</v>
      </c>
      <c r="J1597">
        <f>IF(Table1[[#This Row],[Active_months]]&gt;=1, 1, 0)</f>
        <v>1</v>
      </c>
    </row>
    <row r="1598" spans="1:10" x14ac:dyDescent="0.3">
      <c r="A1598">
        <v>207288677</v>
      </c>
      <c r="B1598" s="1">
        <v>45012</v>
      </c>
      <c r="D1598">
        <v>39</v>
      </c>
      <c r="E1598" t="s">
        <v>6</v>
      </c>
      <c r="F1598" t="s">
        <v>7</v>
      </c>
      <c r="G1598" s="1">
        <f t="shared" si="72"/>
        <v>45199</v>
      </c>
      <c r="H1598">
        <f t="shared" si="73"/>
        <v>6</v>
      </c>
      <c r="I1598">
        <f t="shared" si="74"/>
        <v>1</v>
      </c>
      <c r="J1598">
        <f>IF(Table1[[#This Row],[Active_months]]&gt;=1, 1, 0)</f>
        <v>1</v>
      </c>
    </row>
    <row r="1599" spans="1:10" x14ac:dyDescent="0.3">
      <c r="A1599">
        <v>208151007</v>
      </c>
      <c r="B1599" s="1">
        <v>45012</v>
      </c>
      <c r="D1599">
        <v>39</v>
      </c>
      <c r="E1599" t="s">
        <v>6</v>
      </c>
      <c r="F1599" t="s">
        <v>7</v>
      </c>
      <c r="G1599" s="1">
        <f t="shared" si="72"/>
        <v>45199</v>
      </c>
      <c r="H1599">
        <f t="shared" si="73"/>
        <v>6</v>
      </c>
      <c r="I1599">
        <f t="shared" si="74"/>
        <v>1</v>
      </c>
      <c r="J1599">
        <f>IF(Table1[[#This Row],[Active_months]]&gt;=1, 1, 0)</f>
        <v>1</v>
      </c>
    </row>
    <row r="1600" spans="1:10" x14ac:dyDescent="0.3">
      <c r="A1600">
        <v>207218336</v>
      </c>
      <c r="B1600" s="1">
        <v>45012</v>
      </c>
      <c r="D1600">
        <v>39</v>
      </c>
      <c r="E1600" t="s">
        <v>6</v>
      </c>
      <c r="F1600" t="s">
        <v>7</v>
      </c>
      <c r="G1600" s="1">
        <f t="shared" si="72"/>
        <v>45199</v>
      </c>
      <c r="H1600">
        <f t="shared" si="73"/>
        <v>6</v>
      </c>
      <c r="I1600">
        <f t="shared" si="74"/>
        <v>1</v>
      </c>
      <c r="J1600">
        <f>IF(Table1[[#This Row],[Active_months]]&gt;=1, 1, 0)</f>
        <v>1</v>
      </c>
    </row>
    <row r="1601" spans="1:10" x14ac:dyDescent="0.3">
      <c r="A1601">
        <v>208105889</v>
      </c>
      <c r="B1601" s="1">
        <v>45012</v>
      </c>
      <c r="D1601">
        <v>39</v>
      </c>
      <c r="E1601" t="s">
        <v>6</v>
      </c>
      <c r="F1601" t="s">
        <v>7</v>
      </c>
      <c r="G1601" s="1">
        <f t="shared" si="72"/>
        <v>45199</v>
      </c>
      <c r="H1601">
        <f t="shared" si="73"/>
        <v>6</v>
      </c>
      <c r="I1601">
        <f t="shared" si="74"/>
        <v>1</v>
      </c>
      <c r="J1601">
        <f>IF(Table1[[#This Row],[Active_months]]&gt;=1, 1, 0)</f>
        <v>1</v>
      </c>
    </row>
    <row r="1602" spans="1:10" x14ac:dyDescent="0.3">
      <c r="A1602">
        <v>152221925</v>
      </c>
      <c r="B1602" s="1">
        <v>45012</v>
      </c>
      <c r="C1602" s="1">
        <v>45096</v>
      </c>
      <c r="D1602">
        <v>39</v>
      </c>
      <c r="E1602" t="s">
        <v>6</v>
      </c>
      <c r="F1602" t="s">
        <v>7</v>
      </c>
      <c r="G1602" s="1">
        <f t="shared" si="72"/>
        <v>45096</v>
      </c>
      <c r="H1602">
        <f t="shared" si="73"/>
        <v>3</v>
      </c>
      <c r="I1602">
        <f t="shared" si="74"/>
        <v>0</v>
      </c>
      <c r="J1602">
        <f>IF(Table1[[#This Row],[Active_months]]&gt;=1, 1, 0)</f>
        <v>1</v>
      </c>
    </row>
    <row r="1603" spans="1:10" x14ac:dyDescent="0.3">
      <c r="A1603">
        <v>207090754</v>
      </c>
      <c r="B1603" s="1">
        <v>45012</v>
      </c>
      <c r="C1603" s="1">
        <v>45078</v>
      </c>
      <c r="D1603">
        <v>39</v>
      </c>
      <c r="E1603" t="s">
        <v>6</v>
      </c>
      <c r="F1603" t="s">
        <v>7</v>
      </c>
      <c r="G1603" s="1">
        <f t="shared" ref="G1603:G1666" si="75">IF(ISBLANK(C1603), DATE(2023,9,30), C1603)</f>
        <v>45078</v>
      </c>
      <c r="H1603">
        <f t="shared" ref="H1603:H1666" si="76">(YEAR(G1603)-YEAR(B1603))*12 + (MONTH(G1603)-MONTH(B1603))</f>
        <v>3</v>
      </c>
      <c r="I1603">
        <f t="shared" ref="I1603:I1666" si="77">IF(H1603 &gt;=5, 1, 0)</f>
        <v>0</v>
      </c>
      <c r="J1603">
        <f>IF(Table1[[#This Row],[Active_months]]&gt;=1, 1, 0)</f>
        <v>1</v>
      </c>
    </row>
    <row r="1604" spans="1:10" x14ac:dyDescent="0.3">
      <c r="A1604">
        <v>128283235</v>
      </c>
      <c r="B1604" s="1">
        <v>45012</v>
      </c>
      <c r="C1604" s="1">
        <v>45134</v>
      </c>
      <c r="D1604">
        <v>39</v>
      </c>
      <c r="E1604" t="s">
        <v>6</v>
      </c>
      <c r="F1604" t="s">
        <v>7</v>
      </c>
      <c r="G1604" s="1">
        <f t="shared" si="75"/>
        <v>45134</v>
      </c>
      <c r="H1604">
        <f t="shared" si="76"/>
        <v>4</v>
      </c>
      <c r="I1604">
        <f t="shared" si="77"/>
        <v>0</v>
      </c>
      <c r="J1604">
        <f>IF(Table1[[#This Row],[Active_months]]&gt;=1, 1, 0)</f>
        <v>1</v>
      </c>
    </row>
    <row r="1605" spans="1:10" x14ac:dyDescent="0.3">
      <c r="A1605">
        <v>206686106</v>
      </c>
      <c r="B1605" s="1">
        <v>45012</v>
      </c>
      <c r="C1605" s="1">
        <v>45050</v>
      </c>
      <c r="D1605">
        <v>39</v>
      </c>
      <c r="E1605" t="s">
        <v>6</v>
      </c>
      <c r="F1605" t="s">
        <v>7</v>
      </c>
      <c r="G1605" s="1">
        <f t="shared" si="75"/>
        <v>45050</v>
      </c>
      <c r="H1605">
        <f t="shared" si="76"/>
        <v>2</v>
      </c>
      <c r="I1605">
        <f t="shared" si="77"/>
        <v>0</v>
      </c>
      <c r="J1605">
        <f>IF(Table1[[#This Row],[Active_months]]&gt;=1, 1, 0)</f>
        <v>1</v>
      </c>
    </row>
    <row r="1606" spans="1:10" x14ac:dyDescent="0.3">
      <c r="A1606">
        <v>208090380</v>
      </c>
      <c r="B1606" s="1">
        <v>45012</v>
      </c>
      <c r="C1606" s="1">
        <v>45026</v>
      </c>
      <c r="D1606">
        <v>39</v>
      </c>
      <c r="E1606" t="s">
        <v>6</v>
      </c>
      <c r="F1606" t="s">
        <v>7</v>
      </c>
      <c r="G1606" s="1">
        <f t="shared" si="75"/>
        <v>45026</v>
      </c>
      <c r="H1606">
        <f t="shared" si="76"/>
        <v>1</v>
      </c>
      <c r="I1606">
        <f t="shared" si="77"/>
        <v>0</v>
      </c>
      <c r="J1606">
        <f>IF(Table1[[#This Row],[Active_months]]&gt;=1, 1, 0)</f>
        <v>1</v>
      </c>
    </row>
    <row r="1607" spans="1:10" x14ac:dyDescent="0.3">
      <c r="A1607">
        <v>153281230</v>
      </c>
      <c r="B1607" s="1">
        <v>45012</v>
      </c>
      <c r="C1607" s="1">
        <v>45033</v>
      </c>
      <c r="D1607">
        <v>39</v>
      </c>
      <c r="E1607" t="s">
        <v>6</v>
      </c>
      <c r="F1607" t="s">
        <v>7</v>
      </c>
      <c r="G1607" s="1">
        <f t="shared" si="75"/>
        <v>45033</v>
      </c>
      <c r="H1607">
        <f t="shared" si="76"/>
        <v>1</v>
      </c>
      <c r="I1607">
        <f t="shared" si="77"/>
        <v>0</v>
      </c>
      <c r="J1607">
        <f>IF(Table1[[#This Row],[Active_months]]&gt;=1, 1, 0)</f>
        <v>1</v>
      </c>
    </row>
    <row r="1608" spans="1:10" x14ac:dyDescent="0.3">
      <c r="A1608">
        <v>205049710</v>
      </c>
      <c r="B1608" s="1">
        <v>45012</v>
      </c>
      <c r="C1608" s="1">
        <v>45013</v>
      </c>
      <c r="D1608">
        <v>39</v>
      </c>
      <c r="E1608" t="s">
        <v>6</v>
      </c>
      <c r="F1608" t="s">
        <v>7</v>
      </c>
      <c r="G1608" s="1">
        <f t="shared" si="75"/>
        <v>45013</v>
      </c>
      <c r="H1608">
        <f t="shared" si="76"/>
        <v>0</v>
      </c>
      <c r="I1608">
        <f t="shared" si="77"/>
        <v>0</v>
      </c>
      <c r="J1608">
        <f>IF(Table1[[#This Row],[Active_months]]&gt;=1, 1, 0)</f>
        <v>0</v>
      </c>
    </row>
    <row r="1609" spans="1:10" x14ac:dyDescent="0.3">
      <c r="A1609">
        <v>208618235</v>
      </c>
      <c r="B1609" s="1">
        <v>45013</v>
      </c>
      <c r="D1609">
        <v>39</v>
      </c>
      <c r="E1609" t="s">
        <v>6</v>
      </c>
      <c r="F1609" t="s">
        <v>7</v>
      </c>
      <c r="G1609" s="1">
        <f t="shared" si="75"/>
        <v>45199</v>
      </c>
      <c r="H1609">
        <f t="shared" si="76"/>
        <v>6</v>
      </c>
      <c r="I1609">
        <f t="shared" si="77"/>
        <v>1</v>
      </c>
      <c r="J1609">
        <f>IF(Table1[[#This Row],[Active_months]]&gt;=1, 1, 0)</f>
        <v>1</v>
      </c>
    </row>
    <row r="1610" spans="1:10" x14ac:dyDescent="0.3">
      <c r="A1610">
        <v>167713351</v>
      </c>
      <c r="B1610" s="1">
        <v>45013</v>
      </c>
      <c r="D1610">
        <v>39</v>
      </c>
      <c r="E1610" t="s">
        <v>6</v>
      </c>
      <c r="F1610" t="s">
        <v>7</v>
      </c>
      <c r="G1610" s="1">
        <f t="shared" si="75"/>
        <v>45199</v>
      </c>
      <c r="H1610">
        <f t="shared" si="76"/>
        <v>6</v>
      </c>
      <c r="I1610">
        <f t="shared" si="77"/>
        <v>1</v>
      </c>
      <c r="J1610">
        <f>IF(Table1[[#This Row],[Active_months]]&gt;=1, 1, 0)</f>
        <v>1</v>
      </c>
    </row>
    <row r="1611" spans="1:10" x14ac:dyDescent="0.3">
      <c r="A1611">
        <v>149975492</v>
      </c>
      <c r="B1611" s="1">
        <v>45013</v>
      </c>
      <c r="D1611">
        <v>39</v>
      </c>
      <c r="E1611" t="s">
        <v>6</v>
      </c>
      <c r="F1611" t="s">
        <v>7</v>
      </c>
      <c r="G1611" s="1">
        <f t="shared" si="75"/>
        <v>45199</v>
      </c>
      <c r="H1611">
        <f t="shared" si="76"/>
        <v>6</v>
      </c>
      <c r="I1611">
        <f t="shared" si="77"/>
        <v>1</v>
      </c>
      <c r="J1611">
        <f>IF(Table1[[#This Row],[Active_months]]&gt;=1, 1, 0)</f>
        <v>1</v>
      </c>
    </row>
    <row r="1612" spans="1:10" x14ac:dyDescent="0.3">
      <c r="A1612">
        <v>208286745</v>
      </c>
      <c r="B1612" s="1">
        <v>45013</v>
      </c>
      <c r="D1612">
        <v>39</v>
      </c>
      <c r="E1612" t="s">
        <v>6</v>
      </c>
      <c r="F1612" t="s">
        <v>7</v>
      </c>
      <c r="G1612" s="1">
        <f t="shared" si="75"/>
        <v>45199</v>
      </c>
      <c r="H1612">
        <f t="shared" si="76"/>
        <v>6</v>
      </c>
      <c r="I1612">
        <f t="shared" si="77"/>
        <v>1</v>
      </c>
      <c r="J1612">
        <f>IF(Table1[[#This Row],[Active_months]]&gt;=1, 1, 0)</f>
        <v>1</v>
      </c>
    </row>
    <row r="1613" spans="1:10" x14ac:dyDescent="0.3">
      <c r="A1613">
        <v>208473540</v>
      </c>
      <c r="B1613" s="1">
        <v>45013</v>
      </c>
      <c r="C1613" s="1">
        <v>45013</v>
      </c>
      <c r="D1613">
        <v>39</v>
      </c>
      <c r="E1613" t="s">
        <v>6</v>
      </c>
      <c r="F1613" t="s">
        <v>7</v>
      </c>
      <c r="G1613" s="1">
        <f t="shared" si="75"/>
        <v>45013</v>
      </c>
      <c r="H1613">
        <f t="shared" si="76"/>
        <v>0</v>
      </c>
      <c r="I1613">
        <f t="shared" si="77"/>
        <v>0</v>
      </c>
      <c r="J1613">
        <f>IF(Table1[[#This Row],[Active_months]]&gt;=1, 1, 0)</f>
        <v>0</v>
      </c>
    </row>
    <row r="1614" spans="1:10" x14ac:dyDescent="0.3">
      <c r="A1614">
        <v>137721176</v>
      </c>
      <c r="B1614" s="1">
        <v>45013</v>
      </c>
      <c r="C1614" s="1">
        <v>45138</v>
      </c>
      <c r="D1614">
        <v>39</v>
      </c>
      <c r="E1614" t="s">
        <v>6</v>
      </c>
      <c r="F1614" t="s">
        <v>7</v>
      </c>
      <c r="G1614" s="1">
        <f t="shared" si="75"/>
        <v>45138</v>
      </c>
      <c r="H1614">
        <f t="shared" si="76"/>
        <v>4</v>
      </c>
      <c r="I1614">
        <f t="shared" si="77"/>
        <v>0</v>
      </c>
      <c r="J1614">
        <f>IF(Table1[[#This Row],[Active_months]]&gt;=1, 1, 0)</f>
        <v>1</v>
      </c>
    </row>
    <row r="1615" spans="1:10" x14ac:dyDescent="0.3">
      <c r="A1615">
        <v>140062581</v>
      </c>
      <c r="B1615" s="1">
        <v>45013</v>
      </c>
      <c r="C1615" s="1">
        <v>45059</v>
      </c>
      <c r="D1615">
        <v>39</v>
      </c>
      <c r="E1615" t="s">
        <v>6</v>
      </c>
      <c r="F1615" t="s">
        <v>7</v>
      </c>
      <c r="G1615" s="1">
        <f t="shared" si="75"/>
        <v>45059</v>
      </c>
      <c r="H1615">
        <f t="shared" si="76"/>
        <v>2</v>
      </c>
      <c r="I1615">
        <f t="shared" si="77"/>
        <v>0</v>
      </c>
      <c r="J1615">
        <f>IF(Table1[[#This Row],[Active_months]]&gt;=1, 1, 0)</f>
        <v>1</v>
      </c>
    </row>
    <row r="1616" spans="1:10" x14ac:dyDescent="0.3">
      <c r="A1616">
        <v>208488674</v>
      </c>
      <c r="B1616" s="1">
        <v>45013</v>
      </c>
      <c r="C1616" s="1">
        <v>45078</v>
      </c>
      <c r="D1616">
        <v>39</v>
      </c>
      <c r="E1616" t="s">
        <v>6</v>
      </c>
      <c r="F1616" t="s">
        <v>7</v>
      </c>
      <c r="G1616" s="1">
        <f t="shared" si="75"/>
        <v>45078</v>
      </c>
      <c r="H1616">
        <f t="shared" si="76"/>
        <v>3</v>
      </c>
      <c r="I1616">
        <f t="shared" si="77"/>
        <v>0</v>
      </c>
      <c r="J1616">
        <f>IF(Table1[[#This Row],[Active_months]]&gt;=1, 1, 0)</f>
        <v>1</v>
      </c>
    </row>
    <row r="1617" spans="1:10" x14ac:dyDescent="0.3">
      <c r="A1617">
        <v>162752410</v>
      </c>
      <c r="B1617" s="1">
        <v>45013</v>
      </c>
      <c r="C1617" s="1">
        <v>45158</v>
      </c>
      <c r="D1617">
        <v>39</v>
      </c>
      <c r="E1617" t="s">
        <v>6</v>
      </c>
      <c r="F1617" t="s">
        <v>7</v>
      </c>
      <c r="G1617" s="1">
        <f t="shared" si="75"/>
        <v>45158</v>
      </c>
      <c r="H1617">
        <f t="shared" si="76"/>
        <v>5</v>
      </c>
      <c r="I1617">
        <f t="shared" si="77"/>
        <v>1</v>
      </c>
      <c r="J1617">
        <f>IF(Table1[[#This Row],[Active_months]]&gt;=1, 1, 0)</f>
        <v>1</v>
      </c>
    </row>
    <row r="1618" spans="1:10" x14ac:dyDescent="0.3">
      <c r="A1618">
        <v>208598415</v>
      </c>
      <c r="B1618" s="1">
        <v>45013</v>
      </c>
      <c r="C1618" s="1">
        <v>45049</v>
      </c>
      <c r="D1618">
        <v>39</v>
      </c>
      <c r="E1618" t="s">
        <v>6</v>
      </c>
      <c r="F1618" t="s">
        <v>7</v>
      </c>
      <c r="G1618" s="1">
        <f t="shared" si="75"/>
        <v>45049</v>
      </c>
      <c r="H1618">
        <f t="shared" si="76"/>
        <v>2</v>
      </c>
      <c r="I1618">
        <f t="shared" si="77"/>
        <v>0</v>
      </c>
      <c r="J1618">
        <f>IF(Table1[[#This Row],[Active_months]]&gt;=1, 1, 0)</f>
        <v>1</v>
      </c>
    </row>
    <row r="1619" spans="1:10" x14ac:dyDescent="0.3">
      <c r="A1619">
        <v>143427096</v>
      </c>
      <c r="B1619" s="1">
        <v>45013</v>
      </c>
      <c r="C1619" s="1">
        <v>45047</v>
      </c>
      <c r="D1619">
        <v>39</v>
      </c>
      <c r="E1619" t="s">
        <v>6</v>
      </c>
      <c r="F1619" t="s">
        <v>7</v>
      </c>
      <c r="G1619" s="1">
        <f t="shared" si="75"/>
        <v>45047</v>
      </c>
      <c r="H1619">
        <f t="shared" si="76"/>
        <v>2</v>
      </c>
      <c r="I1619">
        <f t="shared" si="77"/>
        <v>0</v>
      </c>
      <c r="J1619">
        <f>IF(Table1[[#This Row],[Active_months]]&gt;=1, 1, 0)</f>
        <v>1</v>
      </c>
    </row>
    <row r="1620" spans="1:10" x14ac:dyDescent="0.3">
      <c r="A1620">
        <v>208480650</v>
      </c>
      <c r="B1620" s="1">
        <v>45013</v>
      </c>
      <c r="C1620" s="1">
        <v>45030</v>
      </c>
      <c r="D1620">
        <v>39</v>
      </c>
      <c r="E1620" t="s">
        <v>6</v>
      </c>
      <c r="F1620" t="s">
        <v>7</v>
      </c>
      <c r="G1620" s="1">
        <f t="shared" si="75"/>
        <v>45030</v>
      </c>
      <c r="H1620">
        <f t="shared" si="76"/>
        <v>1</v>
      </c>
      <c r="I1620">
        <f t="shared" si="77"/>
        <v>0</v>
      </c>
      <c r="J1620">
        <f>IF(Table1[[#This Row],[Active_months]]&gt;=1, 1, 0)</f>
        <v>1</v>
      </c>
    </row>
    <row r="1621" spans="1:10" x14ac:dyDescent="0.3">
      <c r="A1621">
        <v>147000442</v>
      </c>
      <c r="B1621" s="1">
        <v>45014</v>
      </c>
      <c r="D1621">
        <v>39</v>
      </c>
      <c r="E1621" t="s">
        <v>6</v>
      </c>
      <c r="F1621" t="s">
        <v>7</v>
      </c>
      <c r="G1621" s="1">
        <f t="shared" si="75"/>
        <v>45199</v>
      </c>
      <c r="H1621">
        <f t="shared" si="76"/>
        <v>6</v>
      </c>
      <c r="I1621">
        <f t="shared" si="77"/>
        <v>1</v>
      </c>
      <c r="J1621">
        <f>IF(Table1[[#This Row],[Active_months]]&gt;=1, 1, 0)</f>
        <v>1</v>
      </c>
    </row>
    <row r="1622" spans="1:10" x14ac:dyDescent="0.3">
      <c r="A1622">
        <v>207062508</v>
      </c>
      <c r="B1622" s="1">
        <v>45014</v>
      </c>
      <c r="D1622">
        <v>39</v>
      </c>
      <c r="E1622" t="s">
        <v>6</v>
      </c>
      <c r="F1622" t="s">
        <v>7</v>
      </c>
      <c r="G1622" s="1">
        <f t="shared" si="75"/>
        <v>45199</v>
      </c>
      <c r="H1622">
        <f t="shared" si="76"/>
        <v>6</v>
      </c>
      <c r="I1622">
        <f t="shared" si="77"/>
        <v>1</v>
      </c>
      <c r="J1622">
        <f>IF(Table1[[#This Row],[Active_months]]&gt;=1, 1, 0)</f>
        <v>1</v>
      </c>
    </row>
    <row r="1623" spans="1:10" x14ac:dyDescent="0.3">
      <c r="A1623">
        <v>206862916</v>
      </c>
      <c r="B1623" s="1">
        <v>45014</v>
      </c>
      <c r="D1623">
        <v>39</v>
      </c>
      <c r="E1623" t="s">
        <v>6</v>
      </c>
      <c r="F1623" t="s">
        <v>7</v>
      </c>
      <c r="G1623" s="1">
        <f t="shared" si="75"/>
        <v>45199</v>
      </c>
      <c r="H1623">
        <f t="shared" si="76"/>
        <v>6</v>
      </c>
      <c r="I1623">
        <f t="shared" si="77"/>
        <v>1</v>
      </c>
      <c r="J1623">
        <f>IF(Table1[[#This Row],[Active_months]]&gt;=1, 1, 0)</f>
        <v>1</v>
      </c>
    </row>
    <row r="1624" spans="1:10" x14ac:dyDescent="0.3">
      <c r="A1624">
        <v>208706866</v>
      </c>
      <c r="B1624" s="1">
        <v>45014</v>
      </c>
      <c r="D1624">
        <v>39</v>
      </c>
      <c r="E1624" t="s">
        <v>6</v>
      </c>
      <c r="F1624" t="s">
        <v>7</v>
      </c>
      <c r="G1624" s="1">
        <f t="shared" si="75"/>
        <v>45199</v>
      </c>
      <c r="H1624">
        <f t="shared" si="76"/>
        <v>6</v>
      </c>
      <c r="I1624">
        <f t="shared" si="77"/>
        <v>1</v>
      </c>
      <c r="J1624">
        <f>IF(Table1[[#This Row],[Active_months]]&gt;=1, 1, 0)</f>
        <v>1</v>
      </c>
    </row>
    <row r="1625" spans="1:10" x14ac:dyDescent="0.3">
      <c r="A1625">
        <v>134719816</v>
      </c>
      <c r="B1625" s="1">
        <v>45014</v>
      </c>
      <c r="C1625" s="1">
        <v>45095</v>
      </c>
      <c r="D1625">
        <v>39</v>
      </c>
      <c r="E1625" t="s">
        <v>6</v>
      </c>
      <c r="F1625" t="s">
        <v>7</v>
      </c>
      <c r="G1625" s="1">
        <f t="shared" si="75"/>
        <v>45095</v>
      </c>
      <c r="H1625">
        <f t="shared" si="76"/>
        <v>3</v>
      </c>
      <c r="I1625">
        <f t="shared" si="77"/>
        <v>0</v>
      </c>
      <c r="J1625">
        <f>IF(Table1[[#This Row],[Active_months]]&gt;=1, 1, 0)</f>
        <v>1</v>
      </c>
    </row>
    <row r="1626" spans="1:10" x14ac:dyDescent="0.3">
      <c r="A1626">
        <v>138548670</v>
      </c>
      <c r="B1626" s="1">
        <v>45014</v>
      </c>
      <c r="C1626" s="1">
        <v>45076</v>
      </c>
      <c r="D1626">
        <v>39</v>
      </c>
      <c r="E1626" t="s">
        <v>6</v>
      </c>
      <c r="F1626" t="s">
        <v>7</v>
      </c>
      <c r="G1626" s="1">
        <f t="shared" si="75"/>
        <v>45076</v>
      </c>
      <c r="H1626">
        <f t="shared" si="76"/>
        <v>2</v>
      </c>
      <c r="I1626">
        <f t="shared" si="77"/>
        <v>0</v>
      </c>
      <c r="J1626">
        <f>IF(Table1[[#This Row],[Active_months]]&gt;=1, 1, 0)</f>
        <v>1</v>
      </c>
    </row>
    <row r="1627" spans="1:10" x14ac:dyDescent="0.3">
      <c r="A1627">
        <v>208745476</v>
      </c>
      <c r="B1627" s="1">
        <v>45014</v>
      </c>
      <c r="C1627" s="1">
        <v>45098</v>
      </c>
      <c r="D1627">
        <v>39</v>
      </c>
      <c r="E1627" t="s">
        <v>6</v>
      </c>
      <c r="F1627" t="s">
        <v>7</v>
      </c>
      <c r="G1627" s="1">
        <f t="shared" si="75"/>
        <v>45098</v>
      </c>
      <c r="H1627">
        <f t="shared" si="76"/>
        <v>3</v>
      </c>
      <c r="I1627">
        <f t="shared" si="77"/>
        <v>0</v>
      </c>
      <c r="J1627">
        <f>IF(Table1[[#This Row],[Active_months]]&gt;=1, 1, 0)</f>
        <v>1</v>
      </c>
    </row>
    <row r="1628" spans="1:10" x14ac:dyDescent="0.3">
      <c r="A1628">
        <v>182584521</v>
      </c>
      <c r="B1628" s="1">
        <v>45014</v>
      </c>
      <c r="C1628" s="1">
        <v>45052</v>
      </c>
      <c r="D1628">
        <v>39</v>
      </c>
      <c r="E1628" t="s">
        <v>6</v>
      </c>
      <c r="F1628" t="s">
        <v>7</v>
      </c>
      <c r="G1628" s="1">
        <f t="shared" si="75"/>
        <v>45052</v>
      </c>
      <c r="H1628">
        <f t="shared" si="76"/>
        <v>2</v>
      </c>
      <c r="I1628">
        <f t="shared" si="77"/>
        <v>0</v>
      </c>
      <c r="J1628">
        <f>IF(Table1[[#This Row],[Active_months]]&gt;=1, 1, 0)</f>
        <v>1</v>
      </c>
    </row>
    <row r="1629" spans="1:10" x14ac:dyDescent="0.3">
      <c r="A1629">
        <v>206463427</v>
      </c>
      <c r="B1629" s="1">
        <v>45014</v>
      </c>
      <c r="C1629" s="1">
        <v>45050</v>
      </c>
      <c r="D1629">
        <v>39</v>
      </c>
      <c r="E1629" t="s">
        <v>6</v>
      </c>
      <c r="F1629" t="s">
        <v>7</v>
      </c>
      <c r="G1629" s="1">
        <f t="shared" si="75"/>
        <v>45050</v>
      </c>
      <c r="H1629">
        <f t="shared" si="76"/>
        <v>2</v>
      </c>
      <c r="I1629">
        <f t="shared" si="77"/>
        <v>0</v>
      </c>
      <c r="J1629">
        <f>IF(Table1[[#This Row],[Active_months]]&gt;=1, 1, 0)</f>
        <v>1</v>
      </c>
    </row>
    <row r="1630" spans="1:10" x14ac:dyDescent="0.3">
      <c r="A1630">
        <v>158947936</v>
      </c>
      <c r="B1630" s="1">
        <v>45014</v>
      </c>
      <c r="C1630" s="1">
        <v>45044</v>
      </c>
      <c r="D1630">
        <v>39</v>
      </c>
      <c r="E1630" t="s">
        <v>6</v>
      </c>
      <c r="F1630" t="s">
        <v>7</v>
      </c>
      <c r="G1630" s="1">
        <f t="shared" si="75"/>
        <v>45044</v>
      </c>
      <c r="H1630">
        <f t="shared" si="76"/>
        <v>1</v>
      </c>
      <c r="I1630">
        <f t="shared" si="77"/>
        <v>0</v>
      </c>
      <c r="J1630">
        <f>IF(Table1[[#This Row],[Active_months]]&gt;=1, 1, 0)</f>
        <v>1</v>
      </c>
    </row>
    <row r="1631" spans="1:10" x14ac:dyDescent="0.3">
      <c r="A1631">
        <v>182737296</v>
      </c>
      <c r="B1631" s="1">
        <v>45014</v>
      </c>
      <c r="C1631" s="1">
        <v>45045</v>
      </c>
      <c r="D1631">
        <v>39</v>
      </c>
      <c r="E1631" t="s">
        <v>6</v>
      </c>
      <c r="F1631" t="s">
        <v>7</v>
      </c>
      <c r="G1631" s="1">
        <f t="shared" si="75"/>
        <v>45045</v>
      </c>
      <c r="H1631">
        <f t="shared" si="76"/>
        <v>1</v>
      </c>
      <c r="I1631">
        <f t="shared" si="77"/>
        <v>0</v>
      </c>
      <c r="J1631">
        <f>IF(Table1[[#This Row],[Active_months]]&gt;=1, 1, 0)</f>
        <v>1</v>
      </c>
    </row>
    <row r="1632" spans="1:10" x14ac:dyDescent="0.3">
      <c r="A1632">
        <v>156550538</v>
      </c>
      <c r="B1632" s="1">
        <v>45015</v>
      </c>
      <c r="D1632">
        <v>39</v>
      </c>
      <c r="E1632" t="s">
        <v>6</v>
      </c>
      <c r="F1632" t="s">
        <v>7</v>
      </c>
      <c r="G1632" s="1">
        <f t="shared" si="75"/>
        <v>45199</v>
      </c>
      <c r="H1632">
        <f t="shared" si="76"/>
        <v>6</v>
      </c>
      <c r="I1632">
        <f t="shared" si="77"/>
        <v>1</v>
      </c>
      <c r="J1632">
        <f>IF(Table1[[#This Row],[Active_months]]&gt;=1, 1, 0)</f>
        <v>1</v>
      </c>
    </row>
    <row r="1633" spans="1:10" x14ac:dyDescent="0.3">
      <c r="A1633">
        <v>208897557</v>
      </c>
      <c r="B1633" s="1">
        <v>45015</v>
      </c>
      <c r="D1633">
        <v>39</v>
      </c>
      <c r="E1633" t="s">
        <v>6</v>
      </c>
      <c r="F1633" t="s">
        <v>7</v>
      </c>
      <c r="G1633" s="1">
        <f t="shared" si="75"/>
        <v>45199</v>
      </c>
      <c r="H1633">
        <f t="shared" si="76"/>
        <v>6</v>
      </c>
      <c r="I1633">
        <f t="shared" si="77"/>
        <v>1</v>
      </c>
      <c r="J1633">
        <f>IF(Table1[[#This Row],[Active_months]]&gt;=1, 1, 0)</f>
        <v>1</v>
      </c>
    </row>
    <row r="1634" spans="1:10" x14ac:dyDescent="0.3">
      <c r="A1634">
        <v>157484010</v>
      </c>
      <c r="B1634" s="1">
        <v>45015</v>
      </c>
      <c r="D1634">
        <v>39</v>
      </c>
      <c r="E1634" t="s">
        <v>6</v>
      </c>
      <c r="F1634" t="s">
        <v>7</v>
      </c>
      <c r="G1634" s="1">
        <f t="shared" si="75"/>
        <v>45199</v>
      </c>
      <c r="H1634">
        <f t="shared" si="76"/>
        <v>6</v>
      </c>
      <c r="I1634">
        <f t="shared" si="77"/>
        <v>1</v>
      </c>
      <c r="J1634">
        <f>IF(Table1[[#This Row],[Active_months]]&gt;=1, 1, 0)</f>
        <v>1</v>
      </c>
    </row>
    <row r="1635" spans="1:10" x14ac:dyDescent="0.3">
      <c r="A1635">
        <v>146450388</v>
      </c>
      <c r="B1635" s="1">
        <v>45015</v>
      </c>
      <c r="C1635" s="1">
        <v>45083</v>
      </c>
      <c r="D1635">
        <v>39</v>
      </c>
      <c r="E1635" t="s">
        <v>6</v>
      </c>
      <c r="F1635" t="s">
        <v>7</v>
      </c>
      <c r="G1635" s="1">
        <f t="shared" si="75"/>
        <v>45083</v>
      </c>
      <c r="H1635">
        <f t="shared" si="76"/>
        <v>3</v>
      </c>
      <c r="I1635">
        <f t="shared" si="77"/>
        <v>0</v>
      </c>
      <c r="J1635">
        <f>IF(Table1[[#This Row],[Active_months]]&gt;=1, 1, 0)</f>
        <v>1</v>
      </c>
    </row>
    <row r="1636" spans="1:10" x14ac:dyDescent="0.3">
      <c r="A1636">
        <v>208610366</v>
      </c>
      <c r="B1636" s="1">
        <v>45015</v>
      </c>
      <c r="C1636" s="1">
        <v>45114</v>
      </c>
      <c r="D1636">
        <v>39</v>
      </c>
      <c r="E1636" t="s">
        <v>6</v>
      </c>
      <c r="F1636" t="s">
        <v>7</v>
      </c>
      <c r="G1636" s="1">
        <f t="shared" si="75"/>
        <v>45114</v>
      </c>
      <c r="H1636">
        <f t="shared" si="76"/>
        <v>4</v>
      </c>
      <c r="I1636">
        <f t="shared" si="77"/>
        <v>0</v>
      </c>
      <c r="J1636">
        <f>IF(Table1[[#This Row],[Active_months]]&gt;=1, 1, 0)</f>
        <v>1</v>
      </c>
    </row>
    <row r="1637" spans="1:10" x14ac:dyDescent="0.3">
      <c r="A1637">
        <v>208913022</v>
      </c>
      <c r="B1637" s="1">
        <v>45015</v>
      </c>
      <c r="C1637" s="1">
        <v>45065</v>
      </c>
      <c r="D1637">
        <v>39</v>
      </c>
      <c r="E1637" t="s">
        <v>6</v>
      </c>
      <c r="F1637" t="s">
        <v>7</v>
      </c>
      <c r="G1637" s="1">
        <f t="shared" si="75"/>
        <v>45065</v>
      </c>
      <c r="H1637">
        <f t="shared" si="76"/>
        <v>2</v>
      </c>
      <c r="I1637">
        <f t="shared" si="77"/>
        <v>0</v>
      </c>
      <c r="J1637">
        <f>IF(Table1[[#This Row],[Active_months]]&gt;=1, 1, 0)</f>
        <v>1</v>
      </c>
    </row>
    <row r="1638" spans="1:10" x14ac:dyDescent="0.3">
      <c r="A1638">
        <v>205813846</v>
      </c>
      <c r="B1638" s="1">
        <v>45015</v>
      </c>
      <c r="C1638" s="1">
        <v>45065</v>
      </c>
      <c r="D1638">
        <v>39</v>
      </c>
      <c r="E1638" t="s">
        <v>6</v>
      </c>
      <c r="F1638" t="s">
        <v>7</v>
      </c>
      <c r="G1638" s="1">
        <f t="shared" si="75"/>
        <v>45065</v>
      </c>
      <c r="H1638">
        <f t="shared" si="76"/>
        <v>2</v>
      </c>
      <c r="I1638">
        <f t="shared" si="77"/>
        <v>0</v>
      </c>
      <c r="J1638">
        <f>IF(Table1[[#This Row],[Active_months]]&gt;=1, 1, 0)</f>
        <v>1</v>
      </c>
    </row>
    <row r="1639" spans="1:10" x14ac:dyDescent="0.3">
      <c r="A1639">
        <v>208762353</v>
      </c>
      <c r="B1639" s="1">
        <v>45015</v>
      </c>
      <c r="C1639" s="1">
        <v>45037</v>
      </c>
      <c r="D1639">
        <v>39</v>
      </c>
      <c r="E1639" t="s">
        <v>6</v>
      </c>
      <c r="F1639" t="s">
        <v>7</v>
      </c>
      <c r="G1639" s="1">
        <f t="shared" si="75"/>
        <v>45037</v>
      </c>
      <c r="H1639">
        <f t="shared" si="76"/>
        <v>1</v>
      </c>
      <c r="I1639">
        <f t="shared" si="77"/>
        <v>0</v>
      </c>
      <c r="J1639">
        <f>IF(Table1[[#This Row],[Active_months]]&gt;=1, 1, 0)</f>
        <v>1</v>
      </c>
    </row>
    <row r="1640" spans="1:10" x14ac:dyDescent="0.3">
      <c r="A1640">
        <v>153099249</v>
      </c>
      <c r="B1640" s="1">
        <v>45015</v>
      </c>
      <c r="C1640" s="1">
        <v>45029</v>
      </c>
      <c r="D1640">
        <v>39</v>
      </c>
      <c r="E1640" t="s">
        <v>6</v>
      </c>
      <c r="F1640" t="s">
        <v>7</v>
      </c>
      <c r="G1640" s="1">
        <f t="shared" si="75"/>
        <v>45029</v>
      </c>
      <c r="H1640">
        <f t="shared" si="76"/>
        <v>1</v>
      </c>
      <c r="I1640">
        <f t="shared" si="77"/>
        <v>0</v>
      </c>
      <c r="J1640">
        <f>IF(Table1[[#This Row],[Active_months]]&gt;=1, 1, 0)</f>
        <v>1</v>
      </c>
    </row>
    <row r="1641" spans="1:10" x14ac:dyDescent="0.3">
      <c r="A1641">
        <v>208734252</v>
      </c>
      <c r="B1641" s="1">
        <v>45015</v>
      </c>
      <c r="C1641" s="1">
        <v>45046</v>
      </c>
      <c r="D1641">
        <v>39</v>
      </c>
      <c r="E1641" t="s">
        <v>6</v>
      </c>
      <c r="F1641" t="s">
        <v>7</v>
      </c>
      <c r="G1641" s="1">
        <f t="shared" si="75"/>
        <v>45046</v>
      </c>
      <c r="H1641">
        <f t="shared" si="76"/>
        <v>1</v>
      </c>
      <c r="I1641">
        <f t="shared" si="77"/>
        <v>0</v>
      </c>
      <c r="J1641">
        <f>IF(Table1[[#This Row],[Active_months]]&gt;=1, 1, 0)</f>
        <v>1</v>
      </c>
    </row>
    <row r="1642" spans="1:10" x14ac:dyDescent="0.3">
      <c r="A1642">
        <v>208320510</v>
      </c>
      <c r="B1642" s="1">
        <v>45016</v>
      </c>
      <c r="D1642">
        <v>39</v>
      </c>
      <c r="E1642" t="s">
        <v>6</v>
      </c>
      <c r="F1642" t="s">
        <v>7</v>
      </c>
      <c r="G1642" s="1">
        <f t="shared" si="75"/>
        <v>45199</v>
      </c>
      <c r="H1642">
        <f t="shared" si="76"/>
        <v>6</v>
      </c>
      <c r="I1642">
        <f t="shared" si="77"/>
        <v>1</v>
      </c>
      <c r="J1642">
        <f>IF(Table1[[#This Row],[Active_months]]&gt;=1, 1, 0)</f>
        <v>1</v>
      </c>
    </row>
    <row r="1643" spans="1:10" x14ac:dyDescent="0.3">
      <c r="A1643">
        <v>207229509</v>
      </c>
      <c r="B1643" s="1">
        <v>45016</v>
      </c>
      <c r="C1643" s="1">
        <v>45016</v>
      </c>
      <c r="D1643">
        <v>39</v>
      </c>
      <c r="E1643" t="s">
        <v>6</v>
      </c>
      <c r="F1643" t="s">
        <v>8</v>
      </c>
      <c r="G1643" s="1">
        <f t="shared" si="75"/>
        <v>45016</v>
      </c>
      <c r="H1643">
        <f t="shared" si="76"/>
        <v>0</v>
      </c>
      <c r="I1643">
        <f t="shared" si="77"/>
        <v>0</v>
      </c>
      <c r="J1643">
        <f>IF(Table1[[#This Row],[Active_months]]&gt;=1, 1, 0)</f>
        <v>0</v>
      </c>
    </row>
    <row r="1644" spans="1:10" x14ac:dyDescent="0.3">
      <c r="A1644">
        <v>208492287</v>
      </c>
      <c r="B1644" s="1">
        <v>45016</v>
      </c>
      <c r="C1644" s="1">
        <v>45084</v>
      </c>
      <c r="D1644">
        <v>39</v>
      </c>
      <c r="E1644" t="s">
        <v>6</v>
      </c>
      <c r="F1644" t="s">
        <v>7</v>
      </c>
      <c r="G1644" s="1">
        <f t="shared" si="75"/>
        <v>45084</v>
      </c>
      <c r="H1644">
        <f t="shared" si="76"/>
        <v>3</v>
      </c>
      <c r="I1644">
        <f t="shared" si="77"/>
        <v>0</v>
      </c>
      <c r="J1644">
        <f>IF(Table1[[#This Row],[Active_months]]&gt;=1, 1, 0)</f>
        <v>1</v>
      </c>
    </row>
    <row r="1645" spans="1:10" x14ac:dyDescent="0.3">
      <c r="A1645">
        <v>195047202</v>
      </c>
      <c r="B1645" s="1">
        <v>45016</v>
      </c>
      <c r="C1645" s="1">
        <v>45069</v>
      </c>
      <c r="D1645">
        <v>39</v>
      </c>
      <c r="E1645" t="s">
        <v>6</v>
      </c>
      <c r="F1645" t="s">
        <v>7</v>
      </c>
      <c r="G1645" s="1">
        <f t="shared" si="75"/>
        <v>45069</v>
      </c>
      <c r="H1645">
        <f t="shared" si="76"/>
        <v>2</v>
      </c>
      <c r="I1645">
        <f t="shared" si="77"/>
        <v>0</v>
      </c>
      <c r="J1645">
        <f>IF(Table1[[#This Row],[Active_months]]&gt;=1, 1, 0)</f>
        <v>1</v>
      </c>
    </row>
    <row r="1646" spans="1:10" x14ac:dyDescent="0.3">
      <c r="A1646">
        <v>208890352</v>
      </c>
      <c r="B1646" s="1">
        <v>45016</v>
      </c>
      <c r="C1646" s="1">
        <v>45072</v>
      </c>
      <c r="D1646">
        <v>39</v>
      </c>
      <c r="E1646" t="s">
        <v>6</v>
      </c>
      <c r="F1646" t="s">
        <v>7</v>
      </c>
      <c r="G1646" s="1">
        <f t="shared" si="75"/>
        <v>45072</v>
      </c>
      <c r="H1646">
        <f t="shared" si="76"/>
        <v>2</v>
      </c>
      <c r="I1646">
        <f t="shared" si="77"/>
        <v>0</v>
      </c>
      <c r="J1646">
        <f>IF(Table1[[#This Row],[Active_months]]&gt;=1, 1, 0)</f>
        <v>1</v>
      </c>
    </row>
    <row r="1647" spans="1:10" x14ac:dyDescent="0.3">
      <c r="A1647">
        <v>151282537</v>
      </c>
      <c r="B1647" s="1">
        <v>45016</v>
      </c>
      <c r="C1647" s="1">
        <v>45108</v>
      </c>
      <c r="D1647">
        <v>39</v>
      </c>
      <c r="E1647" t="s">
        <v>6</v>
      </c>
      <c r="F1647" t="s">
        <v>7</v>
      </c>
      <c r="G1647" s="1">
        <f t="shared" si="75"/>
        <v>45108</v>
      </c>
      <c r="H1647">
        <f t="shared" si="76"/>
        <v>4</v>
      </c>
      <c r="I1647">
        <f t="shared" si="77"/>
        <v>0</v>
      </c>
      <c r="J1647">
        <f>IF(Table1[[#This Row],[Active_months]]&gt;=1, 1, 0)</f>
        <v>1</v>
      </c>
    </row>
    <row r="1648" spans="1:10" x14ac:dyDescent="0.3">
      <c r="A1648">
        <v>206625246</v>
      </c>
      <c r="B1648" s="1">
        <v>45017</v>
      </c>
      <c r="D1648">
        <v>39</v>
      </c>
      <c r="E1648" t="s">
        <v>6</v>
      </c>
      <c r="F1648" t="s">
        <v>7</v>
      </c>
      <c r="G1648" s="1">
        <f t="shared" si="75"/>
        <v>45199</v>
      </c>
      <c r="H1648">
        <f t="shared" si="76"/>
        <v>5</v>
      </c>
      <c r="I1648">
        <f t="shared" si="77"/>
        <v>1</v>
      </c>
      <c r="J1648">
        <f>IF(Table1[[#This Row],[Active_months]]&gt;=1, 1, 0)</f>
        <v>1</v>
      </c>
    </row>
    <row r="1649" spans="1:10" x14ac:dyDescent="0.3">
      <c r="A1649">
        <v>208748964</v>
      </c>
      <c r="B1649" s="1">
        <v>45017</v>
      </c>
      <c r="D1649">
        <v>39</v>
      </c>
      <c r="E1649" t="s">
        <v>6</v>
      </c>
      <c r="F1649" t="s">
        <v>7</v>
      </c>
      <c r="G1649" s="1">
        <f t="shared" si="75"/>
        <v>45199</v>
      </c>
      <c r="H1649">
        <f t="shared" si="76"/>
        <v>5</v>
      </c>
      <c r="I1649">
        <f t="shared" si="77"/>
        <v>1</v>
      </c>
      <c r="J1649">
        <f>IF(Table1[[#This Row],[Active_months]]&gt;=1, 1, 0)</f>
        <v>1</v>
      </c>
    </row>
    <row r="1650" spans="1:10" x14ac:dyDescent="0.3">
      <c r="A1650">
        <v>151904783</v>
      </c>
      <c r="B1650" s="1">
        <v>45017</v>
      </c>
      <c r="D1650">
        <v>39</v>
      </c>
      <c r="E1650" t="s">
        <v>6</v>
      </c>
      <c r="F1650" t="s">
        <v>7</v>
      </c>
      <c r="G1650" s="1">
        <f t="shared" si="75"/>
        <v>45199</v>
      </c>
      <c r="H1650">
        <f t="shared" si="76"/>
        <v>5</v>
      </c>
      <c r="I1650">
        <f t="shared" si="77"/>
        <v>1</v>
      </c>
      <c r="J1650">
        <f>IF(Table1[[#This Row],[Active_months]]&gt;=1, 1, 0)</f>
        <v>1</v>
      </c>
    </row>
    <row r="1651" spans="1:10" x14ac:dyDescent="0.3">
      <c r="A1651">
        <v>160351988</v>
      </c>
      <c r="B1651" s="1">
        <v>45017</v>
      </c>
      <c r="C1651" s="1">
        <v>45115</v>
      </c>
      <c r="D1651">
        <v>39</v>
      </c>
      <c r="E1651" t="s">
        <v>6</v>
      </c>
      <c r="F1651" t="s">
        <v>7</v>
      </c>
      <c r="G1651" s="1">
        <f t="shared" si="75"/>
        <v>45115</v>
      </c>
      <c r="H1651">
        <f t="shared" si="76"/>
        <v>3</v>
      </c>
      <c r="I1651">
        <f t="shared" si="77"/>
        <v>0</v>
      </c>
      <c r="J1651">
        <f>IF(Table1[[#This Row],[Active_months]]&gt;=1, 1, 0)</f>
        <v>1</v>
      </c>
    </row>
    <row r="1652" spans="1:10" x14ac:dyDescent="0.3">
      <c r="A1652">
        <v>145622106</v>
      </c>
      <c r="B1652" s="1">
        <v>45017</v>
      </c>
      <c r="C1652" s="1">
        <v>45017</v>
      </c>
      <c r="D1652">
        <v>39</v>
      </c>
      <c r="E1652" t="s">
        <v>6</v>
      </c>
      <c r="F1652" t="s">
        <v>7</v>
      </c>
      <c r="G1652" s="1">
        <f t="shared" si="75"/>
        <v>45017</v>
      </c>
      <c r="H1652">
        <f t="shared" si="76"/>
        <v>0</v>
      </c>
      <c r="I1652">
        <f t="shared" si="77"/>
        <v>0</v>
      </c>
      <c r="J1652">
        <f>IF(Table1[[#This Row],[Active_months]]&gt;=1, 1, 0)</f>
        <v>0</v>
      </c>
    </row>
    <row r="1653" spans="1:10" x14ac:dyDescent="0.3">
      <c r="A1653">
        <v>192475408</v>
      </c>
      <c r="B1653" s="1">
        <v>45017</v>
      </c>
      <c r="C1653" s="1">
        <v>45042</v>
      </c>
      <c r="D1653">
        <v>39</v>
      </c>
      <c r="E1653" t="s">
        <v>6</v>
      </c>
      <c r="F1653" t="s">
        <v>7</v>
      </c>
      <c r="G1653" s="1">
        <f t="shared" si="75"/>
        <v>45042</v>
      </c>
      <c r="H1653">
        <f t="shared" si="76"/>
        <v>0</v>
      </c>
      <c r="I1653">
        <f t="shared" si="77"/>
        <v>0</v>
      </c>
      <c r="J1653">
        <f>IF(Table1[[#This Row],[Active_months]]&gt;=1, 1, 0)</f>
        <v>0</v>
      </c>
    </row>
    <row r="1654" spans="1:10" x14ac:dyDescent="0.3">
      <c r="A1654">
        <v>208597905</v>
      </c>
      <c r="B1654" s="1">
        <v>45018</v>
      </c>
      <c r="D1654">
        <v>39</v>
      </c>
      <c r="E1654" t="s">
        <v>6</v>
      </c>
      <c r="F1654" t="s">
        <v>7</v>
      </c>
      <c r="G1654" s="1">
        <f t="shared" si="75"/>
        <v>45199</v>
      </c>
      <c r="H1654">
        <f t="shared" si="76"/>
        <v>5</v>
      </c>
      <c r="I1654">
        <f t="shared" si="77"/>
        <v>1</v>
      </c>
      <c r="J1654">
        <f>IF(Table1[[#This Row],[Active_months]]&gt;=1, 1, 0)</f>
        <v>1</v>
      </c>
    </row>
    <row r="1655" spans="1:10" x14ac:dyDescent="0.3">
      <c r="A1655">
        <v>209469556</v>
      </c>
      <c r="B1655" s="1">
        <v>45018</v>
      </c>
      <c r="C1655" s="1">
        <v>45019</v>
      </c>
      <c r="D1655">
        <v>39</v>
      </c>
      <c r="E1655" t="s">
        <v>6</v>
      </c>
      <c r="F1655" t="s">
        <v>8</v>
      </c>
      <c r="G1655" s="1">
        <f t="shared" si="75"/>
        <v>45019</v>
      </c>
      <c r="H1655">
        <f t="shared" si="76"/>
        <v>0</v>
      </c>
      <c r="I1655">
        <f t="shared" si="77"/>
        <v>0</v>
      </c>
      <c r="J1655">
        <f>IF(Table1[[#This Row],[Active_months]]&gt;=1, 1, 0)</f>
        <v>0</v>
      </c>
    </row>
    <row r="1656" spans="1:10" x14ac:dyDescent="0.3">
      <c r="A1656">
        <v>207183892</v>
      </c>
      <c r="B1656" s="1">
        <v>45018</v>
      </c>
      <c r="C1656" s="1">
        <v>45019</v>
      </c>
      <c r="D1656">
        <v>39</v>
      </c>
      <c r="E1656" t="s">
        <v>6</v>
      </c>
      <c r="F1656" t="s">
        <v>8</v>
      </c>
      <c r="G1656" s="1">
        <f t="shared" si="75"/>
        <v>45019</v>
      </c>
      <c r="H1656">
        <f t="shared" si="76"/>
        <v>0</v>
      </c>
      <c r="I1656">
        <f t="shared" si="77"/>
        <v>0</v>
      </c>
      <c r="J1656">
        <f>IF(Table1[[#This Row],[Active_months]]&gt;=1, 1, 0)</f>
        <v>0</v>
      </c>
    </row>
    <row r="1657" spans="1:10" x14ac:dyDescent="0.3">
      <c r="A1657">
        <v>125980506</v>
      </c>
      <c r="B1657" s="1">
        <v>45018</v>
      </c>
      <c r="C1657" s="1">
        <v>45109</v>
      </c>
      <c r="D1657">
        <v>39</v>
      </c>
      <c r="E1657" t="s">
        <v>6</v>
      </c>
      <c r="F1657" t="s">
        <v>7</v>
      </c>
      <c r="G1657" s="1">
        <f t="shared" si="75"/>
        <v>45109</v>
      </c>
      <c r="H1657">
        <f t="shared" si="76"/>
        <v>3</v>
      </c>
      <c r="I1657">
        <f t="shared" si="77"/>
        <v>0</v>
      </c>
      <c r="J1657">
        <f>IF(Table1[[#This Row],[Active_months]]&gt;=1, 1, 0)</f>
        <v>1</v>
      </c>
    </row>
    <row r="1658" spans="1:10" x14ac:dyDescent="0.3">
      <c r="A1658">
        <v>162635107</v>
      </c>
      <c r="B1658" s="1">
        <v>45018</v>
      </c>
      <c r="C1658" s="1">
        <v>45112</v>
      </c>
      <c r="D1658">
        <v>39</v>
      </c>
      <c r="E1658" t="s">
        <v>6</v>
      </c>
      <c r="F1658" t="s">
        <v>7</v>
      </c>
      <c r="G1658" s="1">
        <f t="shared" si="75"/>
        <v>45112</v>
      </c>
      <c r="H1658">
        <f t="shared" si="76"/>
        <v>3</v>
      </c>
      <c r="I1658">
        <f t="shared" si="77"/>
        <v>0</v>
      </c>
      <c r="J1658">
        <f>IF(Table1[[#This Row],[Active_months]]&gt;=1, 1, 0)</f>
        <v>1</v>
      </c>
    </row>
    <row r="1659" spans="1:10" x14ac:dyDescent="0.3">
      <c r="A1659">
        <v>154655775</v>
      </c>
      <c r="B1659" s="1">
        <v>45018</v>
      </c>
      <c r="C1659" s="1">
        <v>45131</v>
      </c>
      <c r="D1659">
        <v>39</v>
      </c>
      <c r="E1659" t="s">
        <v>6</v>
      </c>
      <c r="F1659" t="s">
        <v>7</v>
      </c>
      <c r="G1659" s="1">
        <f t="shared" si="75"/>
        <v>45131</v>
      </c>
      <c r="H1659">
        <f t="shared" si="76"/>
        <v>3</v>
      </c>
      <c r="I1659">
        <f t="shared" si="77"/>
        <v>0</v>
      </c>
      <c r="J1659">
        <f>IF(Table1[[#This Row],[Active_months]]&gt;=1, 1, 0)</f>
        <v>1</v>
      </c>
    </row>
    <row r="1660" spans="1:10" x14ac:dyDescent="0.3">
      <c r="A1660">
        <v>154911229</v>
      </c>
      <c r="B1660" s="1">
        <v>45019</v>
      </c>
      <c r="D1660">
        <v>39</v>
      </c>
      <c r="E1660" t="s">
        <v>6</v>
      </c>
      <c r="F1660" t="s">
        <v>7</v>
      </c>
      <c r="G1660" s="1">
        <f t="shared" si="75"/>
        <v>45199</v>
      </c>
      <c r="H1660">
        <f t="shared" si="76"/>
        <v>5</v>
      </c>
      <c r="I1660">
        <f t="shared" si="77"/>
        <v>1</v>
      </c>
      <c r="J1660">
        <f>IF(Table1[[#This Row],[Active_months]]&gt;=1, 1, 0)</f>
        <v>1</v>
      </c>
    </row>
    <row r="1661" spans="1:10" x14ac:dyDescent="0.3">
      <c r="A1661">
        <v>206812076</v>
      </c>
      <c r="B1661" s="1">
        <v>45019</v>
      </c>
      <c r="D1661">
        <v>39</v>
      </c>
      <c r="E1661" t="s">
        <v>6</v>
      </c>
      <c r="F1661" t="s">
        <v>7</v>
      </c>
      <c r="G1661" s="1">
        <f t="shared" si="75"/>
        <v>45199</v>
      </c>
      <c r="H1661">
        <f t="shared" si="76"/>
        <v>5</v>
      </c>
      <c r="I1661">
        <f t="shared" si="77"/>
        <v>1</v>
      </c>
      <c r="J1661">
        <f>IF(Table1[[#This Row],[Active_months]]&gt;=1, 1, 0)</f>
        <v>1</v>
      </c>
    </row>
    <row r="1662" spans="1:10" x14ac:dyDescent="0.3">
      <c r="A1662">
        <v>208490747</v>
      </c>
      <c r="B1662" s="1">
        <v>45019</v>
      </c>
      <c r="D1662">
        <v>39</v>
      </c>
      <c r="E1662" t="s">
        <v>6</v>
      </c>
      <c r="F1662" t="s">
        <v>7</v>
      </c>
      <c r="G1662" s="1">
        <f t="shared" si="75"/>
        <v>45199</v>
      </c>
      <c r="H1662">
        <f t="shared" si="76"/>
        <v>5</v>
      </c>
      <c r="I1662">
        <f t="shared" si="77"/>
        <v>1</v>
      </c>
      <c r="J1662">
        <f>IF(Table1[[#This Row],[Active_months]]&gt;=1, 1, 0)</f>
        <v>1</v>
      </c>
    </row>
    <row r="1663" spans="1:10" x14ac:dyDescent="0.3">
      <c r="A1663">
        <v>131761056</v>
      </c>
      <c r="B1663" s="1">
        <v>45019</v>
      </c>
      <c r="D1663">
        <v>39</v>
      </c>
      <c r="E1663" t="s">
        <v>6</v>
      </c>
      <c r="F1663" t="s">
        <v>7</v>
      </c>
      <c r="G1663" s="1">
        <f t="shared" si="75"/>
        <v>45199</v>
      </c>
      <c r="H1663">
        <f t="shared" si="76"/>
        <v>5</v>
      </c>
      <c r="I1663">
        <f t="shared" si="77"/>
        <v>1</v>
      </c>
      <c r="J1663">
        <f>IF(Table1[[#This Row],[Active_months]]&gt;=1, 1, 0)</f>
        <v>1</v>
      </c>
    </row>
    <row r="1664" spans="1:10" x14ac:dyDescent="0.3">
      <c r="A1664">
        <v>208115534</v>
      </c>
      <c r="B1664" s="1">
        <v>45019</v>
      </c>
      <c r="C1664" s="1">
        <v>45056</v>
      </c>
      <c r="D1664">
        <v>39</v>
      </c>
      <c r="E1664" t="s">
        <v>6</v>
      </c>
      <c r="F1664" t="s">
        <v>8</v>
      </c>
      <c r="G1664" s="1">
        <f t="shared" si="75"/>
        <v>45056</v>
      </c>
      <c r="H1664">
        <f t="shared" si="76"/>
        <v>1</v>
      </c>
      <c r="I1664">
        <f t="shared" si="77"/>
        <v>0</v>
      </c>
      <c r="J1664">
        <f>IF(Table1[[#This Row],[Active_months]]&gt;=1, 1, 0)</f>
        <v>1</v>
      </c>
    </row>
    <row r="1665" spans="1:10" x14ac:dyDescent="0.3">
      <c r="A1665">
        <v>202126471</v>
      </c>
      <c r="B1665" s="1">
        <v>45019</v>
      </c>
      <c r="C1665" s="1">
        <v>45104</v>
      </c>
      <c r="D1665">
        <v>39</v>
      </c>
      <c r="E1665" t="s">
        <v>6</v>
      </c>
      <c r="F1665" t="s">
        <v>7</v>
      </c>
      <c r="G1665" s="1">
        <f t="shared" si="75"/>
        <v>45104</v>
      </c>
      <c r="H1665">
        <f t="shared" si="76"/>
        <v>2</v>
      </c>
      <c r="I1665">
        <f t="shared" si="77"/>
        <v>0</v>
      </c>
      <c r="J1665">
        <f>IF(Table1[[#This Row],[Active_months]]&gt;=1, 1, 0)</f>
        <v>1</v>
      </c>
    </row>
    <row r="1666" spans="1:10" x14ac:dyDescent="0.3">
      <c r="A1666">
        <v>209738836</v>
      </c>
      <c r="B1666" s="1">
        <v>45019</v>
      </c>
      <c r="C1666" s="1">
        <v>45060</v>
      </c>
      <c r="D1666">
        <v>39</v>
      </c>
      <c r="E1666" t="s">
        <v>6</v>
      </c>
      <c r="F1666" t="s">
        <v>7</v>
      </c>
      <c r="G1666" s="1">
        <f t="shared" si="75"/>
        <v>45060</v>
      </c>
      <c r="H1666">
        <f t="shared" si="76"/>
        <v>1</v>
      </c>
      <c r="I1666">
        <f t="shared" si="77"/>
        <v>0</v>
      </c>
      <c r="J1666">
        <f>IF(Table1[[#This Row],[Active_months]]&gt;=1, 1, 0)</f>
        <v>1</v>
      </c>
    </row>
    <row r="1667" spans="1:10" x14ac:dyDescent="0.3">
      <c r="A1667">
        <v>209470128</v>
      </c>
      <c r="B1667" s="1">
        <v>45019</v>
      </c>
      <c r="C1667" s="1">
        <v>45076</v>
      </c>
      <c r="D1667">
        <v>39</v>
      </c>
      <c r="E1667" t="s">
        <v>6</v>
      </c>
      <c r="F1667" t="s">
        <v>7</v>
      </c>
      <c r="G1667" s="1">
        <f t="shared" ref="G1667:G1730" si="78">IF(ISBLANK(C1667), DATE(2023,9,30), C1667)</f>
        <v>45076</v>
      </c>
      <c r="H1667">
        <f t="shared" ref="H1667:H1730" si="79">(YEAR(G1667)-YEAR(B1667))*12 + (MONTH(G1667)-MONTH(B1667))</f>
        <v>1</v>
      </c>
      <c r="I1667">
        <f t="shared" ref="I1667:I1730" si="80">IF(H1667 &gt;=5, 1, 0)</f>
        <v>0</v>
      </c>
      <c r="J1667">
        <f>IF(Table1[[#This Row],[Active_months]]&gt;=1, 1, 0)</f>
        <v>1</v>
      </c>
    </row>
    <row r="1668" spans="1:10" x14ac:dyDescent="0.3">
      <c r="A1668">
        <v>209745334</v>
      </c>
      <c r="B1668" s="1">
        <v>45019</v>
      </c>
      <c r="C1668" s="1">
        <v>45170</v>
      </c>
      <c r="D1668">
        <v>39</v>
      </c>
      <c r="E1668" t="s">
        <v>6</v>
      </c>
      <c r="F1668" t="s">
        <v>7</v>
      </c>
      <c r="G1668" s="1">
        <f t="shared" si="78"/>
        <v>45170</v>
      </c>
      <c r="H1668">
        <f t="shared" si="79"/>
        <v>5</v>
      </c>
      <c r="I1668">
        <f t="shared" si="80"/>
        <v>1</v>
      </c>
      <c r="J1668">
        <f>IF(Table1[[#This Row],[Active_months]]&gt;=1, 1, 0)</f>
        <v>1</v>
      </c>
    </row>
    <row r="1669" spans="1:10" x14ac:dyDescent="0.3">
      <c r="A1669">
        <v>209751690</v>
      </c>
      <c r="B1669" s="1">
        <v>45020</v>
      </c>
      <c r="D1669">
        <v>39</v>
      </c>
      <c r="E1669" t="s">
        <v>6</v>
      </c>
      <c r="F1669" t="s">
        <v>7</v>
      </c>
      <c r="G1669" s="1">
        <f t="shared" si="78"/>
        <v>45199</v>
      </c>
      <c r="H1669">
        <f t="shared" si="79"/>
        <v>5</v>
      </c>
      <c r="I1669">
        <f t="shared" si="80"/>
        <v>1</v>
      </c>
      <c r="J1669">
        <f>IF(Table1[[#This Row],[Active_months]]&gt;=1, 1, 0)</f>
        <v>1</v>
      </c>
    </row>
    <row r="1670" spans="1:10" x14ac:dyDescent="0.3">
      <c r="A1670">
        <v>209730490</v>
      </c>
      <c r="B1670" s="1">
        <v>45020</v>
      </c>
      <c r="C1670" s="1">
        <v>45021</v>
      </c>
      <c r="D1670">
        <v>39</v>
      </c>
      <c r="E1670" t="s">
        <v>6</v>
      </c>
      <c r="F1670" t="s">
        <v>8</v>
      </c>
      <c r="G1670" s="1">
        <f t="shared" si="78"/>
        <v>45021</v>
      </c>
      <c r="H1670">
        <f t="shared" si="79"/>
        <v>0</v>
      </c>
      <c r="I1670">
        <f t="shared" si="80"/>
        <v>0</v>
      </c>
      <c r="J1670">
        <f>IF(Table1[[#This Row],[Active_months]]&gt;=1, 1, 0)</f>
        <v>0</v>
      </c>
    </row>
    <row r="1671" spans="1:10" x14ac:dyDescent="0.3">
      <c r="A1671">
        <v>208115648</v>
      </c>
      <c r="B1671" s="1">
        <v>45020</v>
      </c>
      <c r="C1671" s="1">
        <v>45082</v>
      </c>
      <c r="D1671">
        <v>39</v>
      </c>
      <c r="E1671" t="s">
        <v>6</v>
      </c>
      <c r="F1671" t="s">
        <v>7</v>
      </c>
      <c r="G1671" s="1">
        <f t="shared" si="78"/>
        <v>45082</v>
      </c>
      <c r="H1671">
        <f t="shared" si="79"/>
        <v>2</v>
      </c>
      <c r="I1671">
        <f t="shared" si="80"/>
        <v>0</v>
      </c>
      <c r="J1671">
        <f>IF(Table1[[#This Row],[Active_months]]&gt;=1, 1, 0)</f>
        <v>1</v>
      </c>
    </row>
    <row r="1672" spans="1:10" x14ac:dyDescent="0.3">
      <c r="A1672">
        <v>210087900</v>
      </c>
      <c r="B1672" s="1">
        <v>45020</v>
      </c>
      <c r="C1672" s="1">
        <v>45054</v>
      </c>
      <c r="D1672">
        <v>39</v>
      </c>
      <c r="E1672" t="s">
        <v>6</v>
      </c>
      <c r="F1672" t="s">
        <v>7</v>
      </c>
      <c r="G1672" s="1">
        <f t="shared" si="78"/>
        <v>45054</v>
      </c>
      <c r="H1672">
        <f t="shared" si="79"/>
        <v>1</v>
      </c>
      <c r="I1672">
        <f t="shared" si="80"/>
        <v>0</v>
      </c>
      <c r="J1672">
        <f>IF(Table1[[#This Row],[Active_months]]&gt;=1, 1, 0)</f>
        <v>1</v>
      </c>
    </row>
    <row r="1673" spans="1:10" x14ac:dyDescent="0.3">
      <c r="A1673">
        <v>208890316</v>
      </c>
      <c r="B1673" s="1">
        <v>45020</v>
      </c>
      <c r="C1673" s="1">
        <v>45070</v>
      </c>
      <c r="D1673">
        <v>39</v>
      </c>
      <c r="E1673" t="s">
        <v>6</v>
      </c>
      <c r="F1673" t="s">
        <v>7</v>
      </c>
      <c r="G1673" s="1">
        <f t="shared" si="78"/>
        <v>45070</v>
      </c>
      <c r="H1673">
        <f t="shared" si="79"/>
        <v>1</v>
      </c>
      <c r="I1673">
        <f t="shared" si="80"/>
        <v>0</v>
      </c>
      <c r="J1673">
        <f>IF(Table1[[#This Row],[Active_months]]&gt;=1, 1, 0)</f>
        <v>1</v>
      </c>
    </row>
    <row r="1674" spans="1:10" x14ac:dyDescent="0.3">
      <c r="A1674">
        <v>143706140</v>
      </c>
      <c r="B1674" s="1">
        <v>45020</v>
      </c>
      <c r="C1674" s="1">
        <v>45023</v>
      </c>
      <c r="D1674">
        <v>39</v>
      </c>
      <c r="E1674" t="s">
        <v>6</v>
      </c>
      <c r="F1674" t="s">
        <v>7</v>
      </c>
      <c r="G1674" s="1">
        <f t="shared" si="78"/>
        <v>45023</v>
      </c>
      <c r="H1674">
        <f t="shared" si="79"/>
        <v>0</v>
      </c>
      <c r="I1674">
        <f t="shared" si="80"/>
        <v>0</v>
      </c>
      <c r="J1674">
        <f>IF(Table1[[#This Row],[Active_months]]&gt;=1, 1, 0)</f>
        <v>0</v>
      </c>
    </row>
    <row r="1675" spans="1:10" x14ac:dyDescent="0.3">
      <c r="A1675">
        <v>209950443</v>
      </c>
      <c r="B1675" s="1">
        <v>45020</v>
      </c>
      <c r="C1675" s="1">
        <v>45030</v>
      </c>
      <c r="D1675">
        <v>39</v>
      </c>
      <c r="E1675" t="s">
        <v>6</v>
      </c>
      <c r="F1675" t="s">
        <v>7</v>
      </c>
      <c r="G1675" s="1">
        <f t="shared" si="78"/>
        <v>45030</v>
      </c>
      <c r="H1675">
        <f t="shared" si="79"/>
        <v>0</v>
      </c>
      <c r="I1675">
        <f t="shared" si="80"/>
        <v>0</v>
      </c>
      <c r="J1675">
        <f>IF(Table1[[#This Row],[Active_months]]&gt;=1, 1, 0)</f>
        <v>0</v>
      </c>
    </row>
    <row r="1676" spans="1:10" x14ac:dyDescent="0.3">
      <c r="A1676">
        <v>208892072</v>
      </c>
      <c r="B1676" s="1">
        <v>45020</v>
      </c>
      <c r="C1676" s="1">
        <v>45041</v>
      </c>
      <c r="D1676">
        <v>39</v>
      </c>
      <c r="E1676" t="s">
        <v>6</v>
      </c>
      <c r="F1676" t="s">
        <v>7</v>
      </c>
      <c r="G1676" s="1">
        <f t="shared" si="78"/>
        <v>45041</v>
      </c>
      <c r="H1676">
        <f t="shared" si="79"/>
        <v>0</v>
      </c>
      <c r="I1676">
        <f t="shared" si="80"/>
        <v>0</v>
      </c>
      <c r="J1676">
        <f>IF(Table1[[#This Row],[Active_months]]&gt;=1, 1, 0)</f>
        <v>0</v>
      </c>
    </row>
    <row r="1677" spans="1:10" x14ac:dyDescent="0.3">
      <c r="A1677">
        <v>205767174</v>
      </c>
      <c r="B1677" s="1">
        <v>45020</v>
      </c>
      <c r="C1677" s="1">
        <v>45150</v>
      </c>
      <c r="D1677">
        <v>39</v>
      </c>
      <c r="E1677" t="s">
        <v>6</v>
      </c>
      <c r="F1677" t="s">
        <v>7</v>
      </c>
      <c r="G1677" s="1">
        <f t="shared" si="78"/>
        <v>45150</v>
      </c>
      <c r="H1677">
        <f t="shared" si="79"/>
        <v>4</v>
      </c>
      <c r="I1677">
        <f t="shared" si="80"/>
        <v>0</v>
      </c>
      <c r="J1677">
        <f>IF(Table1[[#This Row],[Active_months]]&gt;=1, 1, 0)</f>
        <v>1</v>
      </c>
    </row>
    <row r="1678" spans="1:10" x14ac:dyDescent="0.3">
      <c r="A1678">
        <v>206676416</v>
      </c>
      <c r="B1678" s="1">
        <v>45020</v>
      </c>
      <c r="C1678" s="1">
        <v>45124</v>
      </c>
      <c r="D1678">
        <v>39</v>
      </c>
      <c r="E1678" t="s">
        <v>6</v>
      </c>
      <c r="F1678" t="s">
        <v>7</v>
      </c>
      <c r="G1678" s="1">
        <f t="shared" si="78"/>
        <v>45124</v>
      </c>
      <c r="H1678">
        <f t="shared" si="79"/>
        <v>3</v>
      </c>
      <c r="I1678">
        <f t="shared" si="80"/>
        <v>0</v>
      </c>
      <c r="J1678">
        <f>IF(Table1[[#This Row],[Active_months]]&gt;=1, 1, 0)</f>
        <v>1</v>
      </c>
    </row>
    <row r="1679" spans="1:10" x14ac:dyDescent="0.3">
      <c r="A1679">
        <v>160676837</v>
      </c>
      <c r="B1679" s="1">
        <v>45021</v>
      </c>
      <c r="D1679">
        <v>39</v>
      </c>
      <c r="E1679" t="s">
        <v>6</v>
      </c>
      <c r="F1679" t="s">
        <v>7</v>
      </c>
      <c r="G1679" s="1">
        <f t="shared" si="78"/>
        <v>45199</v>
      </c>
      <c r="H1679">
        <f t="shared" si="79"/>
        <v>5</v>
      </c>
      <c r="I1679">
        <f t="shared" si="80"/>
        <v>1</v>
      </c>
      <c r="J1679">
        <f>IF(Table1[[#This Row],[Active_months]]&gt;=1, 1, 0)</f>
        <v>1</v>
      </c>
    </row>
    <row r="1680" spans="1:10" x14ac:dyDescent="0.3">
      <c r="A1680">
        <v>204274153</v>
      </c>
      <c r="B1680" s="1">
        <v>45021</v>
      </c>
      <c r="D1680">
        <v>39</v>
      </c>
      <c r="E1680" t="s">
        <v>6</v>
      </c>
      <c r="F1680" t="s">
        <v>7</v>
      </c>
      <c r="G1680" s="1">
        <f t="shared" si="78"/>
        <v>45199</v>
      </c>
      <c r="H1680">
        <f t="shared" si="79"/>
        <v>5</v>
      </c>
      <c r="I1680">
        <f t="shared" si="80"/>
        <v>1</v>
      </c>
      <c r="J1680">
        <f>IF(Table1[[#This Row],[Active_months]]&gt;=1, 1, 0)</f>
        <v>1</v>
      </c>
    </row>
    <row r="1681" spans="1:10" x14ac:dyDescent="0.3">
      <c r="A1681">
        <v>210327236</v>
      </c>
      <c r="B1681" s="1">
        <v>45021</v>
      </c>
      <c r="C1681" s="1">
        <v>45022</v>
      </c>
      <c r="D1681">
        <v>39</v>
      </c>
      <c r="E1681" t="s">
        <v>6</v>
      </c>
      <c r="F1681" t="s">
        <v>8</v>
      </c>
      <c r="G1681" s="1">
        <f t="shared" si="78"/>
        <v>45022</v>
      </c>
      <c r="H1681">
        <f t="shared" si="79"/>
        <v>0</v>
      </c>
      <c r="I1681">
        <f t="shared" si="80"/>
        <v>0</v>
      </c>
      <c r="J1681">
        <f>IF(Table1[[#This Row],[Active_months]]&gt;=1, 1, 0)</f>
        <v>0</v>
      </c>
    </row>
    <row r="1682" spans="1:10" x14ac:dyDescent="0.3">
      <c r="A1682">
        <v>210326352</v>
      </c>
      <c r="B1682" s="1">
        <v>45021</v>
      </c>
      <c r="C1682" s="1">
        <v>45021</v>
      </c>
      <c r="D1682">
        <v>39</v>
      </c>
      <c r="E1682" t="s">
        <v>6</v>
      </c>
      <c r="F1682" t="s">
        <v>8</v>
      </c>
      <c r="G1682" s="1">
        <f t="shared" si="78"/>
        <v>45021</v>
      </c>
      <c r="H1682">
        <f t="shared" si="79"/>
        <v>0</v>
      </c>
      <c r="I1682">
        <f t="shared" si="80"/>
        <v>0</v>
      </c>
      <c r="J1682">
        <f>IF(Table1[[#This Row],[Active_months]]&gt;=1, 1, 0)</f>
        <v>0</v>
      </c>
    </row>
    <row r="1683" spans="1:10" x14ac:dyDescent="0.3">
      <c r="A1683">
        <v>124155104</v>
      </c>
      <c r="B1683" s="1">
        <v>45021</v>
      </c>
      <c r="C1683" s="1">
        <v>45058</v>
      </c>
      <c r="D1683">
        <v>39</v>
      </c>
      <c r="E1683" t="s">
        <v>6</v>
      </c>
      <c r="F1683" t="s">
        <v>7</v>
      </c>
      <c r="G1683" s="1">
        <f t="shared" si="78"/>
        <v>45058</v>
      </c>
      <c r="H1683">
        <f t="shared" si="79"/>
        <v>1</v>
      </c>
      <c r="I1683">
        <f t="shared" si="80"/>
        <v>0</v>
      </c>
      <c r="J1683">
        <f>IF(Table1[[#This Row],[Active_months]]&gt;=1, 1, 0)</f>
        <v>1</v>
      </c>
    </row>
    <row r="1684" spans="1:10" x14ac:dyDescent="0.3">
      <c r="A1684">
        <v>209517408</v>
      </c>
      <c r="B1684" s="1">
        <v>45021</v>
      </c>
      <c r="C1684" s="1">
        <v>45050</v>
      </c>
      <c r="D1684">
        <v>39</v>
      </c>
      <c r="E1684" t="s">
        <v>6</v>
      </c>
      <c r="F1684" t="s">
        <v>7</v>
      </c>
      <c r="G1684" s="1">
        <f t="shared" si="78"/>
        <v>45050</v>
      </c>
      <c r="H1684">
        <f t="shared" si="79"/>
        <v>1</v>
      </c>
      <c r="I1684">
        <f t="shared" si="80"/>
        <v>0</v>
      </c>
      <c r="J1684">
        <f>IF(Table1[[#This Row],[Active_months]]&gt;=1, 1, 0)</f>
        <v>1</v>
      </c>
    </row>
    <row r="1685" spans="1:10" x14ac:dyDescent="0.3">
      <c r="A1685">
        <v>210432450</v>
      </c>
      <c r="B1685" s="1">
        <v>45021</v>
      </c>
      <c r="C1685" s="1">
        <v>45028</v>
      </c>
      <c r="D1685">
        <v>39</v>
      </c>
      <c r="E1685" t="s">
        <v>6</v>
      </c>
      <c r="F1685" t="s">
        <v>7</v>
      </c>
      <c r="G1685" s="1">
        <f t="shared" si="78"/>
        <v>45028</v>
      </c>
      <c r="H1685">
        <f t="shared" si="79"/>
        <v>0</v>
      </c>
      <c r="I1685">
        <f t="shared" si="80"/>
        <v>0</v>
      </c>
      <c r="J1685">
        <f>IF(Table1[[#This Row],[Active_months]]&gt;=1, 1, 0)</f>
        <v>0</v>
      </c>
    </row>
    <row r="1686" spans="1:10" x14ac:dyDescent="0.3">
      <c r="A1686">
        <v>210138564</v>
      </c>
      <c r="B1686" s="1">
        <v>45022</v>
      </c>
      <c r="D1686">
        <v>39</v>
      </c>
      <c r="E1686" t="s">
        <v>6</v>
      </c>
      <c r="F1686" t="s">
        <v>7</v>
      </c>
      <c r="G1686" s="1">
        <f t="shared" si="78"/>
        <v>45199</v>
      </c>
      <c r="H1686">
        <f t="shared" si="79"/>
        <v>5</v>
      </c>
      <c r="I1686">
        <f t="shared" si="80"/>
        <v>1</v>
      </c>
      <c r="J1686">
        <f>IF(Table1[[#This Row],[Active_months]]&gt;=1, 1, 0)</f>
        <v>1</v>
      </c>
    </row>
    <row r="1687" spans="1:10" x14ac:dyDescent="0.3">
      <c r="A1687">
        <v>210617010</v>
      </c>
      <c r="B1687" s="1">
        <v>45022</v>
      </c>
      <c r="C1687" s="1">
        <v>45022</v>
      </c>
      <c r="D1687">
        <v>39</v>
      </c>
      <c r="E1687" t="s">
        <v>6</v>
      </c>
      <c r="F1687" t="s">
        <v>7</v>
      </c>
      <c r="G1687" s="1">
        <f t="shared" si="78"/>
        <v>45022</v>
      </c>
      <c r="H1687">
        <f t="shared" si="79"/>
        <v>0</v>
      </c>
      <c r="I1687">
        <f t="shared" si="80"/>
        <v>0</v>
      </c>
      <c r="J1687">
        <f>IF(Table1[[#This Row],[Active_months]]&gt;=1, 1, 0)</f>
        <v>0</v>
      </c>
    </row>
    <row r="1688" spans="1:10" x14ac:dyDescent="0.3">
      <c r="A1688">
        <v>134894187</v>
      </c>
      <c r="B1688" s="1">
        <v>45022</v>
      </c>
      <c r="C1688" s="1">
        <v>45064</v>
      </c>
      <c r="D1688">
        <v>39</v>
      </c>
      <c r="E1688" t="s">
        <v>6</v>
      </c>
      <c r="F1688" t="s">
        <v>7</v>
      </c>
      <c r="G1688" s="1">
        <f t="shared" si="78"/>
        <v>45064</v>
      </c>
      <c r="H1688">
        <f t="shared" si="79"/>
        <v>1</v>
      </c>
      <c r="I1688">
        <f t="shared" si="80"/>
        <v>0</v>
      </c>
      <c r="J1688">
        <f>IF(Table1[[#This Row],[Active_months]]&gt;=1, 1, 0)</f>
        <v>1</v>
      </c>
    </row>
    <row r="1689" spans="1:10" x14ac:dyDescent="0.3">
      <c r="A1689">
        <v>150643785</v>
      </c>
      <c r="B1689" s="1">
        <v>45022</v>
      </c>
      <c r="C1689" s="1">
        <v>45083</v>
      </c>
      <c r="D1689">
        <v>39</v>
      </c>
      <c r="E1689" t="s">
        <v>6</v>
      </c>
      <c r="F1689" t="s">
        <v>7</v>
      </c>
      <c r="G1689" s="1">
        <f t="shared" si="78"/>
        <v>45083</v>
      </c>
      <c r="H1689">
        <f t="shared" si="79"/>
        <v>2</v>
      </c>
      <c r="I1689">
        <f t="shared" si="80"/>
        <v>0</v>
      </c>
      <c r="J1689">
        <f>IF(Table1[[#This Row],[Active_months]]&gt;=1, 1, 0)</f>
        <v>1</v>
      </c>
    </row>
    <row r="1690" spans="1:10" x14ac:dyDescent="0.3">
      <c r="A1690">
        <v>149986782</v>
      </c>
      <c r="B1690" s="1">
        <v>45022</v>
      </c>
      <c r="C1690" s="1">
        <v>45081</v>
      </c>
      <c r="D1690">
        <v>39</v>
      </c>
      <c r="E1690" t="s">
        <v>6</v>
      </c>
      <c r="F1690" t="s">
        <v>7</v>
      </c>
      <c r="G1690" s="1">
        <f t="shared" si="78"/>
        <v>45081</v>
      </c>
      <c r="H1690">
        <f t="shared" si="79"/>
        <v>2</v>
      </c>
      <c r="I1690">
        <f t="shared" si="80"/>
        <v>0</v>
      </c>
      <c r="J1690">
        <f>IF(Table1[[#This Row],[Active_months]]&gt;=1, 1, 0)</f>
        <v>1</v>
      </c>
    </row>
    <row r="1691" spans="1:10" x14ac:dyDescent="0.3">
      <c r="A1691">
        <v>205463099</v>
      </c>
      <c r="B1691" s="1">
        <v>45022</v>
      </c>
      <c r="C1691" s="1">
        <v>45093</v>
      </c>
      <c r="D1691">
        <v>39</v>
      </c>
      <c r="E1691" t="s">
        <v>6</v>
      </c>
      <c r="F1691" t="s">
        <v>7</v>
      </c>
      <c r="G1691" s="1">
        <f t="shared" si="78"/>
        <v>45093</v>
      </c>
      <c r="H1691">
        <f t="shared" si="79"/>
        <v>2</v>
      </c>
      <c r="I1691">
        <f t="shared" si="80"/>
        <v>0</v>
      </c>
      <c r="J1691">
        <f>IF(Table1[[#This Row],[Active_months]]&gt;=1, 1, 0)</f>
        <v>1</v>
      </c>
    </row>
    <row r="1692" spans="1:10" x14ac:dyDescent="0.3">
      <c r="A1692">
        <v>210565466</v>
      </c>
      <c r="B1692" s="1">
        <v>45022</v>
      </c>
      <c r="C1692" s="1">
        <v>45059</v>
      </c>
      <c r="D1692">
        <v>39</v>
      </c>
      <c r="E1692" t="s">
        <v>6</v>
      </c>
      <c r="F1692" t="s">
        <v>7</v>
      </c>
      <c r="G1692" s="1">
        <f t="shared" si="78"/>
        <v>45059</v>
      </c>
      <c r="H1692">
        <f t="shared" si="79"/>
        <v>1</v>
      </c>
      <c r="I1692">
        <f t="shared" si="80"/>
        <v>0</v>
      </c>
      <c r="J1692">
        <f>IF(Table1[[#This Row],[Active_months]]&gt;=1, 1, 0)</f>
        <v>1</v>
      </c>
    </row>
    <row r="1693" spans="1:10" x14ac:dyDescent="0.3">
      <c r="A1693">
        <v>209072132</v>
      </c>
      <c r="B1693" s="1">
        <v>45023</v>
      </c>
      <c r="D1693">
        <v>39</v>
      </c>
      <c r="E1693" t="s">
        <v>6</v>
      </c>
      <c r="F1693" t="s">
        <v>7</v>
      </c>
      <c r="G1693" s="1">
        <f t="shared" si="78"/>
        <v>45199</v>
      </c>
      <c r="H1693">
        <f t="shared" si="79"/>
        <v>5</v>
      </c>
      <c r="I1693">
        <f t="shared" si="80"/>
        <v>1</v>
      </c>
      <c r="J1693">
        <f>IF(Table1[[#This Row],[Active_months]]&gt;=1, 1, 0)</f>
        <v>1</v>
      </c>
    </row>
    <row r="1694" spans="1:10" x14ac:dyDescent="0.3">
      <c r="A1694">
        <v>210388772</v>
      </c>
      <c r="B1694" s="1">
        <v>45023</v>
      </c>
      <c r="D1694">
        <v>39</v>
      </c>
      <c r="E1694" t="s">
        <v>6</v>
      </c>
      <c r="F1694" t="s">
        <v>7</v>
      </c>
      <c r="G1694" s="1">
        <f t="shared" si="78"/>
        <v>45199</v>
      </c>
      <c r="H1694">
        <f t="shared" si="79"/>
        <v>5</v>
      </c>
      <c r="I1694">
        <f t="shared" si="80"/>
        <v>1</v>
      </c>
      <c r="J1694">
        <f>IF(Table1[[#This Row],[Active_months]]&gt;=1, 1, 0)</f>
        <v>1</v>
      </c>
    </row>
    <row r="1695" spans="1:10" x14ac:dyDescent="0.3">
      <c r="A1695">
        <v>210617010</v>
      </c>
      <c r="B1695" s="1">
        <v>45023</v>
      </c>
      <c r="C1695" s="1">
        <v>45086</v>
      </c>
      <c r="D1695">
        <v>39</v>
      </c>
      <c r="E1695" t="s">
        <v>6</v>
      </c>
      <c r="F1695" t="s">
        <v>7</v>
      </c>
      <c r="G1695" s="1">
        <f t="shared" si="78"/>
        <v>45086</v>
      </c>
      <c r="H1695">
        <f t="shared" si="79"/>
        <v>2</v>
      </c>
      <c r="I1695">
        <f t="shared" si="80"/>
        <v>0</v>
      </c>
      <c r="J1695">
        <f>IF(Table1[[#This Row],[Active_months]]&gt;=1, 1, 0)</f>
        <v>1</v>
      </c>
    </row>
    <row r="1696" spans="1:10" x14ac:dyDescent="0.3">
      <c r="A1696">
        <v>210694562</v>
      </c>
      <c r="B1696" s="1">
        <v>45023</v>
      </c>
      <c r="C1696" s="1">
        <v>45060</v>
      </c>
      <c r="D1696">
        <v>39</v>
      </c>
      <c r="E1696" t="s">
        <v>6</v>
      </c>
      <c r="F1696" t="s">
        <v>7</v>
      </c>
      <c r="G1696" s="1">
        <f t="shared" si="78"/>
        <v>45060</v>
      </c>
      <c r="H1696">
        <f t="shared" si="79"/>
        <v>1</v>
      </c>
      <c r="I1696">
        <f t="shared" si="80"/>
        <v>0</v>
      </c>
      <c r="J1696">
        <f>IF(Table1[[#This Row],[Active_months]]&gt;=1, 1, 0)</f>
        <v>1</v>
      </c>
    </row>
    <row r="1697" spans="1:10" x14ac:dyDescent="0.3">
      <c r="A1697">
        <v>134833306</v>
      </c>
      <c r="B1697" s="1">
        <v>45023</v>
      </c>
      <c r="C1697" s="1">
        <v>45054</v>
      </c>
      <c r="D1697">
        <v>39</v>
      </c>
      <c r="E1697" t="s">
        <v>6</v>
      </c>
      <c r="F1697" t="s">
        <v>7</v>
      </c>
      <c r="G1697" s="1">
        <f t="shared" si="78"/>
        <v>45054</v>
      </c>
      <c r="H1697">
        <f t="shared" si="79"/>
        <v>1</v>
      </c>
      <c r="I1697">
        <f t="shared" si="80"/>
        <v>0</v>
      </c>
      <c r="J1697">
        <f>IF(Table1[[#This Row],[Active_months]]&gt;=1, 1, 0)</f>
        <v>1</v>
      </c>
    </row>
    <row r="1698" spans="1:10" x14ac:dyDescent="0.3">
      <c r="A1698">
        <v>211220014</v>
      </c>
      <c r="B1698" s="1">
        <v>45024</v>
      </c>
      <c r="D1698">
        <v>39</v>
      </c>
      <c r="E1698" t="s">
        <v>6</v>
      </c>
      <c r="F1698" t="s">
        <v>7</v>
      </c>
      <c r="G1698" s="1">
        <f t="shared" si="78"/>
        <v>45199</v>
      </c>
      <c r="H1698">
        <f t="shared" si="79"/>
        <v>5</v>
      </c>
      <c r="I1698">
        <f t="shared" si="80"/>
        <v>1</v>
      </c>
      <c r="J1698">
        <f>IF(Table1[[#This Row],[Active_months]]&gt;=1, 1, 0)</f>
        <v>1</v>
      </c>
    </row>
    <row r="1699" spans="1:10" x14ac:dyDescent="0.3">
      <c r="A1699">
        <v>121571816</v>
      </c>
      <c r="B1699" s="1">
        <v>45024</v>
      </c>
      <c r="D1699">
        <v>39</v>
      </c>
      <c r="E1699" t="s">
        <v>6</v>
      </c>
      <c r="F1699" t="s">
        <v>7</v>
      </c>
      <c r="G1699" s="1">
        <f t="shared" si="78"/>
        <v>45199</v>
      </c>
      <c r="H1699">
        <f t="shared" si="79"/>
        <v>5</v>
      </c>
      <c r="I1699">
        <f t="shared" si="80"/>
        <v>1</v>
      </c>
      <c r="J1699">
        <f>IF(Table1[[#This Row],[Active_months]]&gt;=1, 1, 0)</f>
        <v>1</v>
      </c>
    </row>
    <row r="1700" spans="1:10" x14ac:dyDescent="0.3">
      <c r="A1700">
        <v>211216060</v>
      </c>
      <c r="B1700" s="1">
        <v>45024</v>
      </c>
      <c r="D1700">
        <v>39</v>
      </c>
      <c r="E1700" t="s">
        <v>6</v>
      </c>
      <c r="F1700" t="s">
        <v>7</v>
      </c>
      <c r="G1700" s="1">
        <f t="shared" si="78"/>
        <v>45199</v>
      </c>
      <c r="H1700">
        <f t="shared" si="79"/>
        <v>5</v>
      </c>
      <c r="I1700">
        <f t="shared" si="80"/>
        <v>1</v>
      </c>
      <c r="J1700">
        <f>IF(Table1[[#This Row],[Active_months]]&gt;=1, 1, 0)</f>
        <v>1</v>
      </c>
    </row>
    <row r="1701" spans="1:10" x14ac:dyDescent="0.3">
      <c r="A1701">
        <v>211114276</v>
      </c>
      <c r="B1701" s="1">
        <v>45024</v>
      </c>
      <c r="D1701">
        <v>39</v>
      </c>
      <c r="E1701" t="s">
        <v>6</v>
      </c>
      <c r="F1701" t="s">
        <v>7</v>
      </c>
      <c r="G1701" s="1">
        <f t="shared" si="78"/>
        <v>45199</v>
      </c>
      <c r="H1701">
        <f t="shared" si="79"/>
        <v>5</v>
      </c>
      <c r="I1701">
        <f t="shared" si="80"/>
        <v>1</v>
      </c>
      <c r="J1701">
        <f>IF(Table1[[#This Row],[Active_months]]&gt;=1, 1, 0)</f>
        <v>1</v>
      </c>
    </row>
    <row r="1702" spans="1:10" x14ac:dyDescent="0.3">
      <c r="A1702">
        <v>211224883</v>
      </c>
      <c r="B1702" s="1">
        <v>45024</v>
      </c>
      <c r="C1702" s="1">
        <v>45025</v>
      </c>
      <c r="D1702">
        <v>39</v>
      </c>
      <c r="E1702" t="s">
        <v>6</v>
      </c>
      <c r="F1702" t="s">
        <v>8</v>
      </c>
      <c r="G1702" s="1">
        <f t="shared" si="78"/>
        <v>45025</v>
      </c>
      <c r="H1702">
        <f t="shared" si="79"/>
        <v>0</v>
      </c>
      <c r="I1702">
        <f t="shared" si="80"/>
        <v>0</v>
      </c>
      <c r="J1702">
        <f>IF(Table1[[#This Row],[Active_months]]&gt;=1, 1, 0)</f>
        <v>0</v>
      </c>
    </row>
    <row r="1703" spans="1:10" x14ac:dyDescent="0.3">
      <c r="A1703">
        <v>211212313</v>
      </c>
      <c r="B1703" s="1">
        <v>45024</v>
      </c>
      <c r="C1703" s="1">
        <v>45083</v>
      </c>
      <c r="D1703">
        <v>39</v>
      </c>
      <c r="E1703" t="s">
        <v>6</v>
      </c>
      <c r="F1703" t="s">
        <v>7</v>
      </c>
      <c r="G1703" s="1">
        <f t="shared" si="78"/>
        <v>45083</v>
      </c>
      <c r="H1703">
        <f t="shared" si="79"/>
        <v>2</v>
      </c>
      <c r="I1703">
        <f t="shared" si="80"/>
        <v>0</v>
      </c>
      <c r="J1703">
        <f>IF(Table1[[#This Row],[Active_months]]&gt;=1, 1, 0)</f>
        <v>1</v>
      </c>
    </row>
    <row r="1704" spans="1:10" x14ac:dyDescent="0.3">
      <c r="A1704">
        <v>210135815</v>
      </c>
      <c r="B1704" s="1">
        <v>45024</v>
      </c>
      <c r="C1704" s="1">
        <v>45034</v>
      </c>
      <c r="D1704">
        <v>39</v>
      </c>
      <c r="E1704" t="s">
        <v>6</v>
      </c>
      <c r="F1704" t="s">
        <v>7</v>
      </c>
      <c r="G1704" s="1">
        <f t="shared" si="78"/>
        <v>45034</v>
      </c>
      <c r="H1704">
        <f t="shared" si="79"/>
        <v>0</v>
      </c>
      <c r="I1704">
        <f t="shared" si="80"/>
        <v>0</v>
      </c>
      <c r="J1704">
        <f>IF(Table1[[#This Row],[Active_months]]&gt;=1, 1, 0)</f>
        <v>0</v>
      </c>
    </row>
    <row r="1705" spans="1:10" x14ac:dyDescent="0.3">
      <c r="A1705">
        <v>211381659</v>
      </c>
      <c r="B1705" s="1">
        <v>45025</v>
      </c>
      <c r="D1705">
        <v>39</v>
      </c>
      <c r="E1705" t="s">
        <v>6</v>
      </c>
      <c r="F1705" t="s">
        <v>7</v>
      </c>
      <c r="G1705" s="1">
        <f t="shared" si="78"/>
        <v>45199</v>
      </c>
      <c r="H1705">
        <f t="shared" si="79"/>
        <v>5</v>
      </c>
      <c r="I1705">
        <f t="shared" si="80"/>
        <v>1</v>
      </c>
      <c r="J1705">
        <f>IF(Table1[[#This Row],[Active_months]]&gt;=1, 1, 0)</f>
        <v>1</v>
      </c>
    </row>
    <row r="1706" spans="1:10" x14ac:dyDescent="0.3">
      <c r="A1706">
        <v>183363812</v>
      </c>
      <c r="B1706" s="1">
        <v>45025</v>
      </c>
      <c r="D1706">
        <v>39</v>
      </c>
      <c r="E1706" t="s">
        <v>6</v>
      </c>
      <c r="F1706" t="s">
        <v>7</v>
      </c>
      <c r="G1706" s="1">
        <f t="shared" si="78"/>
        <v>45199</v>
      </c>
      <c r="H1706">
        <f t="shared" si="79"/>
        <v>5</v>
      </c>
      <c r="I1706">
        <f t="shared" si="80"/>
        <v>1</v>
      </c>
      <c r="J1706">
        <f>IF(Table1[[#This Row],[Active_months]]&gt;=1, 1, 0)</f>
        <v>1</v>
      </c>
    </row>
    <row r="1707" spans="1:10" x14ac:dyDescent="0.3">
      <c r="A1707">
        <v>211289909</v>
      </c>
      <c r="B1707" s="1">
        <v>45025</v>
      </c>
      <c r="D1707">
        <v>39</v>
      </c>
      <c r="E1707" t="s">
        <v>6</v>
      </c>
      <c r="F1707" t="s">
        <v>7</v>
      </c>
      <c r="G1707" s="1">
        <f t="shared" si="78"/>
        <v>45199</v>
      </c>
      <c r="H1707">
        <f t="shared" si="79"/>
        <v>5</v>
      </c>
      <c r="I1707">
        <f t="shared" si="80"/>
        <v>1</v>
      </c>
      <c r="J1707">
        <f>IF(Table1[[#This Row],[Active_months]]&gt;=1, 1, 0)</f>
        <v>1</v>
      </c>
    </row>
    <row r="1708" spans="1:10" x14ac:dyDescent="0.3">
      <c r="A1708">
        <v>211266858</v>
      </c>
      <c r="B1708" s="1">
        <v>45025</v>
      </c>
      <c r="C1708" s="1">
        <v>45048</v>
      </c>
      <c r="D1708">
        <v>39</v>
      </c>
      <c r="E1708" t="s">
        <v>6</v>
      </c>
      <c r="F1708" t="s">
        <v>7</v>
      </c>
      <c r="G1708" s="1">
        <f t="shared" si="78"/>
        <v>45048</v>
      </c>
      <c r="H1708">
        <f t="shared" si="79"/>
        <v>1</v>
      </c>
      <c r="I1708">
        <f t="shared" si="80"/>
        <v>0</v>
      </c>
      <c r="J1708">
        <f>IF(Table1[[#This Row],[Active_months]]&gt;=1, 1, 0)</f>
        <v>1</v>
      </c>
    </row>
    <row r="1709" spans="1:10" x14ac:dyDescent="0.3">
      <c r="A1709">
        <v>153163612</v>
      </c>
      <c r="B1709" s="1">
        <v>45025</v>
      </c>
      <c r="C1709" s="1">
        <v>45040</v>
      </c>
      <c r="D1709">
        <v>39</v>
      </c>
      <c r="E1709" t="s">
        <v>6</v>
      </c>
      <c r="F1709" t="s">
        <v>7</v>
      </c>
      <c r="G1709" s="1">
        <f t="shared" si="78"/>
        <v>45040</v>
      </c>
      <c r="H1709">
        <f t="shared" si="79"/>
        <v>0</v>
      </c>
      <c r="I1709">
        <f t="shared" si="80"/>
        <v>0</v>
      </c>
      <c r="J1709">
        <f>IF(Table1[[#This Row],[Active_months]]&gt;=1, 1, 0)</f>
        <v>0</v>
      </c>
    </row>
    <row r="1710" spans="1:10" x14ac:dyDescent="0.3">
      <c r="A1710">
        <v>209505551</v>
      </c>
      <c r="B1710" s="1">
        <v>45025</v>
      </c>
      <c r="C1710" s="1">
        <v>45041</v>
      </c>
      <c r="D1710">
        <v>39</v>
      </c>
      <c r="E1710" t="s">
        <v>6</v>
      </c>
      <c r="F1710" t="s">
        <v>7</v>
      </c>
      <c r="G1710" s="1">
        <f t="shared" si="78"/>
        <v>45041</v>
      </c>
      <c r="H1710">
        <f t="shared" si="79"/>
        <v>0</v>
      </c>
      <c r="I1710">
        <f t="shared" si="80"/>
        <v>0</v>
      </c>
      <c r="J1710">
        <f>IF(Table1[[#This Row],[Active_months]]&gt;=1, 1, 0)</f>
        <v>0</v>
      </c>
    </row>
    <row r="1711" spans="1:10" x14ac:dyDescent="0.3">
      <c r="A1711">
        <v>211389716</v>
      </c>
      <c r="B1711" s="1">
        <v>45026</v>
      </c>
      <c r="D1711">
        <v>39</v>
      </c>
      <c r="E1711" t="s">
        <v>6</v>
      </c>
      <c r="F1711" t="s">
        <v>7</v>
      </c>
      <c r="G1711" s="1">
        <f t="shared" si="78"/>
        <v>45199</v>
      </c>
      <c r="H1711">
        <f t="shared" si="79"/>
        <v>5</v>
      </c>
      <c r="I1711">
        <f t="shared" si="80"/>
        <v>1</v>
      </c>
      <c r="J1711">
        <f>IF(Table1[[#This Row],[Active_months]]&gt;=1, 1, 0)</f>
        <v>1</v>
      </c>
    </row>
    <row r="1712" spans="1:10" x14ac:dyDescent="0.3">
      <c r="A1712">
        <v>211636708</v>
      </c>
      <c r="B1712" s="1">
        <v>45026</v>
      </c>
      <c r="D1712">
        <v>39</v>
      </c>
      <c r="E1712" t="s">
        <v>6</v>
      </c>
      <c r="F1712" t="s">
        <v>7</v>
      </c>
      <c r="G1712" s="1">
        <f t="shared" si="78"/>
        <v>45199</v>
      </c>
      <c r="H1712">
        <f t="shared" si="79"/>
        <v>5</v>
      </c>
      <c r="I1712">
        <f t="shared" si="80"/>
        <v>1</v>
      </c>
      <c r="J1712">
        <f>IF(Table1[[#This Row],[Active_months]]&gt;=1, 1, 0)</f>
        <v>1</v>
      </c>
    </row>
    <row r="1713" spans="1:10" x14ac:dyDescent="0.3">
      <c r="A1713">
        <v>176884824</v>
      </c>
      <c r="B1713" s="1">
        <v>45026</v>
      </c>
      <c r="D1713">
        <v>39</v>
      </c>
      <c r="E1713" t="s">
        <v>6</v>
      </c>
      <c r="F1713" t="s">
        <v>7</v>
      </c>
      <c r="G1713" s="1">
        <f t="shared" si="78"/>
        <v>45199</v>
      </c>
      <c r="H1713">
        <f t="shared" si="79"/>
        <v>5</v>
      </c>
      <c r="I1713">
        <f t="shared" si="80"/>
        <v>1</v>
      </c>
      <c r="J1713">
        <f>IF(Table1[[#This Row],[Active_months]]&gt;=1, 1, 0)</f>
        <v>1</v>
      </c>
    </row>
    <row r="1714" spans="1:10" x14ac:dyDescent="0.3">
      <c r="A1714">
        <v>211352758</v>
      </c>
      <c r="B1714" s="1">
        <v>45026</v>
      </c>
      <c r="D1714">
        <v>39</v>
      </c>
      <c r="E1714" t="s">
        <v>6</v>
      </c>
      <c r="F1714" t="s">
        <v>7</v>
      </c>
      <c r="G1714" s="1">
        <f t="shared" si="78"/>
        <v>45199</v>
      </c>
      <c r="H1714">
        <f t="shared" si="79"/>
        <v>5</v>
      </c>
      <c r="I1714">
        <f t="shared" si="80"/>
        <v>1</v>
      </c>
      <c r="J1714">
        <f>IF(Table1[[#This Row],[Active_months]]&gt;=1, 1, 0)</f>
        <v>1</v>
      </c>
    </row>
    <row r="1715" spans="1:10" x14ac:dyDescent="0.3">
      <c r="A1715">
        <v>210814163</v>
      </c>
      <c r="B1715" s="1">
        <v>45026</v>
      </c>
      <c r="D1715">
        <v>39</v>
      </c>
      <c r="E1715" t="s">
        <v>6</v>
      </c>
      <c r="F1715" t="s">
        <v>7</v>
      </c>
      <c r="G1715" s="1">
        <f t="shared" si="78"/>
        <v>45199</v>
      </c>
      <c r="H1715">
        <f t="shared" si="79"/>
        <v>5</v>
      </c>
      <c r="I1715">
        <f t="shared" si="80"/>
        <v>1</v>
      </c>
      <c r="J1715">
        <f>IF(Table1[[#This Row],[Active_months]]&gt;=1, 1, 0)</f>
        <v>1</v>
      </c>
    </row>
    <row r="1716" spans="1:10" x14ac:dyDescent="0.3">
      <c r="A1716">
        <v>210893245</v>
      </c>
      <c r="B1716" s="1">
        <v>45026</v>
      </c>
      <c r="D1716">
        <v>39</v>
      </c>
      <c r="E1716" t="s">
        <v>6</v>
      </c>
      <c r="F1716" t="s">
        <v>7</v>
      </c>
      <c r="G1716" s="1">
        <f t="shared" si="78"/>
        <v>45199</v>
      </c>
      <c r="H1716">
        <f t="shared" si="79"/>
        <v>5</v>
      </c>
      <c r="I1716">
        <f t="shared" si="80"/>
        <v>1</v>
      </c>
      <c r="J1716">
        <f>IF(Table1[[#This Row],[Active_months]]&gt;=1, 1, 0)</f>
        <v>1</v>
      </c>
    </row>
    <row r="1717" spans="1:10" x14ac:dyDescent="0.3">
      <c r="A1717">
        <v>130967112</v>
      </c>
      <c r="B1717" s="1">
        <v>45026</v>
      </c>
      <c r="D1717">
        <v>39</v>
      </c>
      <c r="E1717" t="s">
        <v>6</v>
      </c>
      <c r="F1717" t="s">
        <v>7</v>
      </c>
      <c r="G1717" s="1">
        <f t="shared" si="78"/>
        <v>45199</v>
      </c>
      <c r="H1717">
        <f t="shared" si="79"/>
        <v>5</v>
      </c>
      <c r="I1717">
        <f t="shared" si="80"/>
        <v>1</v>
      </c>
      <c r="J1717">
        <f>IF(Table1[[#This Row],[Active_months]]&gt;=1, 1, 0)</f>
        <v>1</v>
      </c>
    </row>
    <row r="1718" spans="1:10" x14ac:dyDescent="0.3">
      <c r="A1718">
        <v>199116000</v>
      </c>
      <c r="B1718" s="1">
        <v>45026</v>
      </c>
      <c r="D1718">
        <v>39</v>
      </c>
      <c r="E1718" t="s">
        <v>6</v>
      </c>
      <c r="F1718" t="s">
        <v>7</v>
      </c>
      <c r="G1718" s="1">
        <f t="shared" si="78"/>
        <v>45199</v>
      </c>
      <c r="H1718">
        <f t="shared" si="79"/>
        <v>5</v>
      </c>
      <c r="I1718">
        <f t="shared" si="80"/>
        <v>1</v>
      </c>
      <c r="J1718">
        <f>IF(Table1[[#This Row],[Active_months]]&gt;=1, 1, 0)</f>
        <v>1</v>
      </c>
    </row>
    <row r="1719" spans="1:10" x14ac:dyDescent="0.3">
      <c r="A1719">
        <v>161182706</v>
      </c>
      <c r="B1719" s="1">
        <v>45026</v>
      </c>
      <c r="C1719" s="1">
        <v>45063</v>
      </c>
      <c r="D1719">
        <v>39</v>
      </c>
      <c r="E1719" t="s">
        <v>6</v>
      </c>
      <c r="F1719" t="s">
        <v>7</v>
      </c>
      <c r="G1719" s="1">
        <f t="shared" si="78"/>
        <v>45063</v>
      </c>
      <c r="H1719">
        <f t="shared" si="79"/>
        <v>1</v>
      </c>
      <c r="I1719">
        <f t="shared" si="80"/>
        <v>0</v>
      </c>
      <c r="J1719">
        <f>IF(Table1[[#This Row],[Active_months]]&gt;=1, 1, 0)</f>
        <v>1</v>
      </c>
    </row>
    <row r="1720" spans="1:10" x14ac:dyDescent="0.3">
      <c r="A1720">
        <v>211576047</v>
      </c>
      <c r="B1720" s="1">
        <v>45027</v>
      </c>
      <c r="D1720">
        <v>39</v>
      </c>
      <c r="E1720" t="s">
        <v>6</v>
      </c>
      <c r="F1720" t="s">
        <v>7</v>
      </c>
      <c r="G1720" s="1">
        <f t="shared" si="78"/>
        <v>45199</v>
      </c>
      <c r="H1720">
        <f t="shared" si="79"/>
        <v>5</v>
      </c>
      <c r="I1720">
        <f t="shared" si="80"/>
        <v>1</v>
      </c>
      <c r="J1720">
        <f>IF(Table1[[#This Row],[Active_months]]&gt;=1, 1, 0)</f>
        <v>1</v>
      </c>
    </row>
    <row r="1721" spans="1:10" x14ac:dyDescent="0.3">
      <c r="A1721">
        <v>211897884</v>
      </c>
      <c r="B1721" s="1">
        <v>45027</v>
      </c>
      <c r="D1721">
        <v>39</v>
      </c>
      <c r="E1721" t="s">
        <v>6</v>
      </c>
      <c r="F1721" t="s">
        <v>7</v>
      </c>
      <c r="G1721" s="1">
        <f t="shared" si="78"/>
        <v>45199</v>
      </c>
      <c r="H1721">
        <f t="shared" si="79"/>
        <v>5</v>
      </c>
      <c r="I1721">
        <f t="shared" si="80"/>
        <v>1</v>
      </c>
      <c r="J1721">
        <f>IF(Table1[[#This Row],[Active_months]]&gt;=1, 1, 0)</f>
        <v>1</v>
      </c>
    </row>
    <row r="1722" spans="1:10" x14ac:dyDescent="0.3">
      <c r="A1722">
        <v>211661733</v>
      </c>
      <c r="B1722" s="1">
        <v>45027</v>
      </c>
      <c r="D1722">
        <v>39</v>
      </c>
      <c r="E1722" t="s">
        <v>6</v>
      </c>
      <c r="F1722" t="s">
        <v>7</v>
      </c>
      <c r="G1722" s="1">
        <f t="shared" si="78"/>
        <v>45199</v>
      </c>
      <c r="H1722">
        <f t="shared" si="79"/>
        <v>5</v>
      </c>
      <c r="I1722">
        <f t="shared" si="80"/>
        <v>1</v>
      </c>
      <c r="J1722">
        <f>IF(Table1[[#This Row],[Active_months]]&gt;=1, 1, 0)</f>
        <v>1</v>
      </c>
    </row>
    <row r="1723" spans="1:10" x14ac:dyDescent="0.3">
      <c r="A1723">
        <v>211561665</v>
      </c>
      <c r="B1723" s="1">
        <v>45027</v>
      </c>
      <c r="D1723">
        <v>39</v>
      </c>
      <c r="E1723" t="s">
        <v>6</v>
      </c>
      <c r="F1723" t="s">
        <v>8</v>
      </c>
      <c r="G1723" s="1">
        <f t="shared" si="78"/>
        <v>45199</v>
      </c>
      <c r="H1723">
        <f t="shared" si="79"/>
        <v>5</v>
      </c>
      <c r="I1723">
        <f t="shared" si="80"/>
        <v>1</v>
      </c>
      <c r="J1723">
        <f>IF(Table1[[#This Row],[Active_months]]&gt;=1, 1, 0)</f>
        <v>1</v>
      </c>
    </row>
    <row r="1724" spans="1:10" x14ac:dyDescent="0.3">
      <c r="A1724">
        <v>211911280</v>
      </c>
      <c r="B1724" s="1">
        <v>45027</v>
      </c>
      <c r="C1724" s="1">
        <v>45161</v>
      </c>
      <c r="D1724">
        <v>39</v>
      </c>
      <c r="E1724" t="s">
        <v>6</v>
      </c>
      <c r="F1724" t="s">
        <v>7</v>
      </c>
      <c r="G1724" s="1">
        <f t="shared" si="78"/>
        <v>45161</v>
      </c>
      <c r="H1724">
        <f t="shared" si="79"/>
        <v>4</v>
      </c>
      <c r="I1724">
        <f t="shared" si="80"/>
        <v>0</v>
      </c>
      <c r="J1724">
        <f>IF(Table1[[#This Row],[Active_months]]&gt;=1, 1, 0)</f>
        <v>1</v>
      </c>
    </row>
    <row r="1725" spans="1:10" x14ac:dyDescent="0.3">
      <c r="A1725">
        <v>123946316</v>
      </c>
      <c r="B1725" s="1">
        <v>45027</v>
      </c>
      <c r="C1725" s="1">
        <v>45094</v>
      </c>
      <c r="D1725">
        <v>39</v>
      </c>
      <c r="E1725" t="s">
        <v>6</v>
      </c>
      <c r="F1725" t="s">
        <v>7</v>
      </c>
      <c r="G1725" s="1">
        <f t="shared" si="78"/>
        <v>45094</v>
      </c>
      <c r="H1725">
        <f t="shared" si="79"/>
        <v>2</v>
      </c>
      <c r="I1725">
        <f t="shared" si="80"/>
        <v>0</v>
      </c>
      <c r="J1725">
        <f>IF(Table1[[#This Row],[Active_months]]&gt;=1, 1, 0)</f>
        <v>1</v>
      </c>
    </row>
    <row r="1726" spans="1:10" x14ac:dyDescent="0.3">
      <c r="A1726">
        <v>144469362</v>
      </c>
      <c r="B1726" s="1">
        <v>45027</v>
      </c>
      <c r="C1726" s="1">
        <v>45047</v>
      </c>
      <c r="D1726">
        <v>39</v>
      </c>
      <c r="E1726" t="s">
        <v>6</v>
      </c>
      <c r="F1726" t="s">
        <v>7</v>
      </c>
      <c r="G1726" s="1">
        <f t="shared" si="78"/>
        <v>45047</v>
      </c>
      <c r="H1726">
        <f t="shared" si="79"/>
        <v>1</v>
      </c>
      <c r="I1726">
        <f t="shared" si="80"/>
        <v>0</v>
      </c>
      <c r="J1726">
        <f>IF(Table1[[#This Row],[Active_months]]&gt;=1, 1, 0)</f>
        <v>1</v>
      </c>
    </row>
    <row r="1727" spans="1:10" x14ac:dyDescent="0.3">
      <c r="A1727">
        <v>187268085</v>
      </c>
      <c r="B1727" s="1">
        <v>45027</v>
      </c>
      <c r="C1727" s="1">
        <v>45054</v>
      </c>
      <c r="D1727">
        <v>39</v>
      </c>
      <c r="E1727" t="s">
        <v>6</v>
      </c>
      <c r="F1727" t="s">
        <v>7</v>
      </c>
      <c r="G1727" s="1">
        <f t="shared" si="78"/>
        <v>45054</v>
      </c>
      <c r="H1727">
        <f t="shared" si="79"/>
        <v>1</v>
      </c>
      <c r="I1727">
        <f t="shared" si="80"/>
        <v>0</v>
      </c>
      <c r="J1727">
        <f>IF(Table1[[#This Row],[Active_months]]&gt;=1, 1, 0)</f>
        <v>1</v>
      </c>
    </row>
    <row r="1728" spans="1:10" x14ac:dyDescent="0.3">
      <c r="A1728">
        <v>210088359</v>
      </c>
      <c r="B1728" s="1">
        <v>45027</v>
      </c>
      <c r="C1728" s="1">
        <v>45103</v>
      </c>
      <c r="D1728">
        <v>39</v>
      </c>
      <c r="E1728" t="s">
        <v>6</v>
      </c>
      <c r="F1728" t="s">
        <v>7</v>
      </c>
      <c r="G1728" s="1">
        <f t="shared" si="78"/>
        <v>45103</v>
      </c>
      <c r="H1728">
        <f t="shared" si="79"/>
        <v>2</v>
      </c>
      <c r="I1728">
        <f t="shared" si="80"/>
        <v>0</v>
      </c>
      <c r="J1728">
        <f>IF(Table1[[#This Row],[Active_months]]&gt;=1, 1, 0)</f>
        <v>1</v>
      </c>
    </row>
    <row r="1729" spans="1:10" x14ac:dyDescent="0.3">
      <c r="A1729">
        <v>211906202</v>
      </c>
      <c r="B1729" s="1">
        <v>45027</v>
      </c>
      <c r="C1729" s="1">
        <v>45068</v>
      </c>
      <c r="D1729">
        <v>39</v>
      </c>
      <c r="E1729" t="s">
        <v>6</v>
      </c>
      <c r="F1729" t="s">
        <v>7</v>
      </c>
      <c r="G1729" s="1">
        <f t="shared" si="78"/>
        <v>45068</v>
      </c>
      <c r="H1729">
        <f t="shared" si="79"/>
        <v>1</v>
      </c>
      <c r="I1729">
        <f t="shared" si="80"/>
        <v>0</v>
      </c>
      <c r="J1729">
        <f>IF(Table1[[#This Row],[Active_months]]&gt;=1, 1, 0)</f>
        <v>1</v>
      </c>
    </row>
    <row r="1730" spans="1:10" x14ac:dyDescent="0.3">
      <c r="A1730">
        <v>126391978</v>
      </c>
      <c r="B1730" s="1">
        <v>45027</v>
      </c>
      <c r="C1730" s="1">
        <v>45127</v>
      </c>
      <c r="D1730">
        <v>39</v>
      </c>
      <c r="E1730" t="s">
        <v>6</v>
      </c>
      <c r="F1730" t="s">
        <v>7</v>
      </c>
      <c r="G1730" s="1">
        <f t="shared" si="78"/>
        <v>45127</v>
      </c>
      <c r="H1730">
        <f t="shared" si="79"/>
        <v>3</v>
      </c>
      <c r="I1730">
        <f t="shared" si="80"/>
        <v>0</v>
      </c>
      <c r="J1730">
        <f>IF(Table1[[#This Row],[Active_months]]&gt;=1, 1, 0)</f>
        <v>1</v>
      </c>
    </row>
    <row r="1731" spans="1:10" x14ac:dyDescent="0.3">
      <c r="A1731">
        <v>154753462</v>
      </c>
      <c r="B1731" s="1">
        <v>45028</v>
      </c>
      <c r="D1731">
        <v>39</v>
      </c>
      <c r="E1731" t="s">
        <v>6</v>
      </c>
      <c r="F1731" t="s">
        <v>7</v>
      </c>
      <c r="G1731" s="1">
        <f t="shared" ref="G1731:G1794" si="81">IF(ISBLANK(C1731), DATE(2023,9,30), C1731)</f>
        <v>45199</v>
      </c>
      <c r="H1731">
        <f t="shared" ref="H1731:H1794" si="82">(YEAR(G1731)-YEAR(B1731))*12 + (MONTH(G1731)-MONTH(B1731))</f>
        <v>5</v>
      </c>
      <c r="I1731">
        <f t="shared" ref="I1731:I1794" si="83">IF(H1731 &gt;=5, 1, 0)</f>
        <v>1</v>
      </c>
      <c r="J1731">
        <f>IF(Table1[[#This Row],[Active_months]]&gt;=1, 1, 0)</f>
        <v>1</v>
      </c>
    </row>
    <row r="1732" spans="1:10" x14ac:dyDescent="0.3">
      <c r="A1732">
        <v>212049757</v>
      </c>
      <c r="B1732" s="1">
        <v>45028</v>
      </c>
      <c r="D1732">
        <v>39</v>
      </c>
      <c r="E1732" t="s">
        <v>6</v>
      </c>
      <c r="F1732" t="s">
        <v>7</v>
      </c>
      <c r="G1732" s="1">
        <f t="shared" si="81"/>
        <v>45199</v>
      </c>
      <c r="H1732">
        <f t="shared" si="82"/>
        <v>5</v>
      </c>
      <c r="I1732">
        <f t="shared" si="83"/>
        <v>1</v>
      </c>
      <c r="J1732">
        <f>IF(Table1[[#This Row],[Active_months]]&gt;=1, 1, 0)</f>
        <v>1</v>
      </c>
    </row>
    <row r="1733" spans="1:10" x14ac:dyDescent="0.3">
      <c r="A1733">
        <v>147015210</v>
      </c>
      <c r="B1733" s="1">
        <v>45028</v>
      </c>
      <c r="D1733">
        <v>39</v>
      </c>
      <c r="E1733" t="s">
        <v>6</v>
      </c>
      <c r="F1733" t="s">
        <v>7</v>
      </c>
      <c r="G1733" s="1">
        <f t="shared" si="81"/>
        <v>45199</v>
      </c>
      <c r="H1733">
        <f t="shared" si="82"/>
        <v>5</v>
      </c>
      <c r="I1733">
        <f t="shared" si="83"/>
        <v>1</v>
      </c>
      <c r="J1733">
        <f>IF(Table1[[#This Row],[Active_months]]&gt;=1, 1, 0)</f>
        <v>1</v>
      </c>
    </row>
    <row r="1734" spans="1:10" x14ac:dyDescent="0.3">
      <c r="A1734">
        <v>212057431</v>
      </c>
      <c r="B1734" s="1">
        <v>45028</v>
      </c>
      <c r="C1734" s="1">
        <v>45029</v>
      </c>
      <c r="D1734">
        <v>39</v>
      </c>
      <c r="E1734" t="s">
        <v>6</v>
      </c>
      <c r="F1734" t="s">
        <v>8</v>
      </c>
      <c r="G1734" s="1">
        <f t="shared" si="81"/>
        <v>45029</v>
      </c>
      <c r="H1734">
        <f t="shared" si="82"/>
        <v>0</v>
      </c>
      <c r="I1734">
        <f t="shared" si="83"/>
        <v>0</v>
      </c>
      <c r="J1734">
        <f>IF(Table1[[#This Row],[Active_months]]&gt;=1, 1, 0)</f>
        <v>0</v>
      </c>
    </row>
    <row r="1735" spans="1:10" x14ac:dyDescent="0.3">
      <c r="A1735">
        <v>205734465</v>
      </c>
      <c r="B1735" s="1">
        <v>45028</v>
      </c>
      <c r="C1735" s="1">
        <v>45085</v>
      </c>
      <c r="D1735">
        <v>39</v>
      </c>
      <c r="E1735" t="s">
        <v>6</v>
      </c>
      <c r="F1735" t="s">
        <v>7</v>
      </c>
      <c r="G1735" s="1">
        <f t="shared" si="81"/>
        <v>45085</v>
      </c>
      <c r="H1735">
        <f t="shared" si="82"/>
        <v>2</v>
      </c>
      <c r="I1735">
        <f t="shared" si="83"/>
        <v>0</v>
      </c>
      <c r="J1735">
        <f>IF(Table1[[#This Row],[Active_months]]&gt;=1, 1, 0)</f>
        <v>1</v>
      </c>
    </row>
    <row r="1736" spans="1:10" x14ac:dyDescent="0.3">
      <c r="A1736">
        <v>208772540</v>
      </c>
      <c r="B1736" s="1">
        <v>45028</v>
      </c>
      <c r="C1736" s="1">
        <v>45046</v>
      </c>
      <c r="D1736">
        <v>39</v>
      </c>
      <c r="E1736" t="s">
        <v>6</v>
      </c>
      <c r="F1736" t="s">
        <v>7</v>
      </c>
      <c r="G1736" s="1">
        <f t="shared" si="81"/>
        <v>45046</v>
      </c>
      <c r="H1736">
        <f t="shared" si="82"/>
        <v>0</v>
      </c>
      <c r="I1736">
        <f t="shared" si="83"/>
        <v>0</v>
      </c>
      <c r="J1736">
        <f>IF(Table1[[#This Row],[Active_months]]&gt;=1, 1, 0)</f>
        <v>0</v>
      </c>
    </row>
    <row r="1737" spans="1:10" x14ac:dyDescent="0.3">
      <c r="A1737">
        <v>182357706</v>
      </c>
      <c r="B1737" s="1">
        <v>45028</v>
      </c>
      <c r="C1737" s="1">
        <v>45111</v>
      </c>
      <c r="D1737">
        <v>39</v>
      </c>
      <c r="E1737" t="s">
        <v>6</v>
      </c>
      <c r="F1737" t="s">
        <v>7</v>
      </c>
      <c r="G1737" s="1">
        <f t="shared" si="81"/>
        <v>45111</v>
      </c>
      <c r="H1737">
        <f t="shared" si="82"/>
        <v>3</v>
      </c>
      <c r="I1737">
        <f t="shared" si="83"/>
        <v>0</v>
      </c>
      <c r="J1737">
        <f>IF(Table1[[#This Row],[Active_months]]&gt;=1, 1, 0)</f>
        <v>1</v>
      </c>
    </row>
    <row r="1738" spans="1:10" x14ac:dyDescent="0.3">
      <c r="A1738">
        <v>211333348</v>
      </c>
      <c r="B1738" s="1">
        <v>45028</v>
      </c>
      <c r="C1738" s="1">
        <v>45115</v>
      </c>
      <c r="D1738">
        <v>39</v>
      </c>
      <c r="E1738" t="s">
        <v>6</v>
      </c>
      <c r="F1738" t="s">
        <v>7</v>
      </c>
      <c r="G1738" s="1">
        <f t="shared" si="81"/>
        <v>45115</v>
      </c>
      <c r="H1738">
        <f t="shared" si="82"/>
        <v>3</v>
      </c>
      <c r="I1738">
        <f t="shared" si="83"/>
        <v>0</v>
      </c>
      <c r="J1738">
        <f>IF(Table1[[#This Row],[Active_months]]&gt;=1, 1, 0)</f>
        <v>1</v>
      </c>
    </row>
    <row r="1739" spans="1:10" x14ac:dyDescent="0.3">
      <c r="A1739">
        <v>211334702</v>
      </c>
      <c r="B1739" s="1">
        <v>45028</v>
      </c>
      <c r="C1739" s="1">
        <v>45132</v>
      </c>
      <c r="D1739">
        <v>39</v>
      </c>
      <c r="E1739" t="s">
        <v>6</v>
      </c>
      <c r="F1739" t="s">
        <v>7</v>
      </c>
      <c r="G1739" s="1">
        <f t="shared" si="81"/>
        <v>45132</v>
      </c>
      <c r="H1739">
        <f t="shared" si="82"/>
        <v>3</v>
      </c>
      <c r="I1739">
        <f t="shared" si="83"/>
        <v>0</v>
      </c>
      <c r="J1739">
        <f>IF(Table1[[#This Row],[Active_months]]&gt;=1, 1, 0)</f>
        <v>1</v>
      </c>
    </row>
    <row r="1740" spans="1:10" x14ac:dyDescent="0.3">
      <c r="A1740">
        <v>212129575</v>
      </c>
      <c r="B1740" s="1">
        <v>45029</v>
      </c>
      <c r="D1740">
        <v>39</v>
      </c>
      <c r="E1740" t="s">
        <v>6</v>
      </c>
      <c r="F1740" t="s">
        <v>7</v>
      </c>
      <c r="G1740" s="1">
        <f t="shared" si="81"/>
        <v>45199</v>
      </c>
      <c r="H1740">
        <f t="shared" si="82"/>
        <v>5</v>
      </c>
      <c r="I1740">
        <f t="shared" si="83"/>
        <v>1</v>
      </c>
      <c r="J1740">
        <f>IF(Table1[[#This Row],[Active_months]]&gt;=1, 1, 0)</f>
        <v>1</v>
      </c>
    </row>
    <row r="1741" spans="1:10" x14ac:dyDescent="0.3">
      <c r="A1741">
        <v>209733088</v>
      </c>
      <c r="B1741" s="1">
        <v>45029</v>
      </c>
      <c r="D1741">
        <v>39</v>
      </c>
      <c r="E1741" t="s">
        <v>6</v>
      </c>
      <c r="F1741" t="s">
        <v>7</v>
      </c>
      <c r="G1741" s="1">
        <f t="shared" si="81"/>
        <v>45199</v>
      </c>
      <c r="H1741">
        <f t="shared" si="82"/>
        <v>5</v>
      </c>
      <c r="I1741">
        <f t="shared" si="83"/>
        <v>1</v>
      </c>
      <c r="J1741">
        <f>IF(Table1[[#This Row],[Active_months]]&gt;=1, 1, 0)</f>
        <v>1</v>
      </c>
    </row>
    <row r="1742" spans="1:10" x14ac:dyDescent="0.3">
      <c r="A1742">
        <v>152792045</v>
      </c>
      <c r="B1742" s="1">
        <v>45029</v>
      </c>
      <c r="C1742" s="1">
        <v>45097</v>
      </c>
      <c r="D1742">
        <v>39</v>
      </c>
      <c r="E1742" t="s">
        <v>6</v>
      </c>
      <c r="F1742" t="s">
        <v>7</v>
      </c>
      <c r="G1742" s="1">
        <f t="shared" si="81"/>
        <v>45097</v>
      </c>
      <c r="H1742">
        <f t="shared" si="82"/>
        <v>2</v>
      </c>
      <c r="I1742">
        <f t="shared" si="83"/>
        <v>0</v>
      </c>
      <c r="J1742">
        <f>IF(Table1[[#This Row],[Active_months]]&gt;=1, 1, 0)</f>
        <v>1</v>
      </c>
    </row>
    <row r="1743" spans="1:10" x14ac:dyDescent="0.3">
      <c r="A1743">
        <v>212163568</v>
      </c>
      <c r="B1743" s="1">
        <v>45029</v>
      </c>
      <c r="C1743" s="1">
        <v>45075</v>
      </c>
      <c r="D1743">
        <v>39</v>
      </c>
      <c r="E1743" t="s">
        <v>6</v>
      </c>
      <c r="F1743" t="s">
        <v>7</v>
      </c>
      <c r="G1743" s="1">
        <f t="shared" si="81"/>
        <v>45075</v>
      </c>
      <c r="H1743">
        <f t="shared" si="82"/>
        <v>1</v>
      </c>
      <c r="I1743">
        <f t="shared" si="83"/>
        <v>0</v>
      </c>
      <c r="J1743">
        <f>IF(Table1[[#This Row],[Active_months]]&gt;=1, 1, 0)</f>
        <v>1</v>
      </c>
    </row>
    <row r="1744" spans="1:10" x14ac:dyDescent="0.3">
      <c r="A1744">
        <v>212260363</v>
      </c>
      <c r="B1744" s="1">
        <v>45029</v>
      </c>
      <c r="C1744" s="1">
        <v>45056</v>
      </c>
      <c r="D1744">
        <v>39</v>
      </c>
      <c r="E1744" t="s">
        <v>6</v>
      </c>
      <c r="F1744" t="s">
        <v>7</v>
      </c>
      <c r="G1744" s="1">
        <f t="shared" si="81"/>
        <v>45056</v>
      </c>
      <c r="H1744">
        <f t="shared" si="82"/>
        <v>1</v>
      </c>
      <c r="I1744">
        <f t="shared" si="83"/>
        <v>0</v>
      </c>
      <c r="J1744">
        <f>IF(Table1[[#This Row],[Active_months]]&gt;=1, 1, 0)</f>
        <v>1</v>
      </c>
    </row>
    <row r="1745" spans="1:10" x14ac:dyDescent="0.3">
      <c r="A1745">
        <v>212164158</v>
      </c>
      <c r="B1745" s="1">
        <v>45029</v>
      </c>
      <c r="C1745" s="1">
        <v>45104</v>
      </c>
      <c r="D1745">
        <v>39</v>
      </c>
      <c r="E1745" t="s">
        <v>6</v>
      </c>
      <c r="F1745" t="s">
        <v>7</v>
      </c>
      <c r="G1745" s="1">
        <f t="shared" si="81"/>
        <v>45104</v>
      </c>
      <c r="H1745">
        <f t="shared" si="82"/>
        <v>2</v>
      </c>
      <c r="I1745">
        <f t="shared" si="83"/>
        <v>0</v>
      </c>
      <c r="J1745">
        <f>IF(Table1[[#This Row],[Active_months]]&gt;=1, 1, 0)</f>
        <v>1</v>
      </c>
    </row>
    <row r="1746" spans="1:10" x14ac:dyDescent="0.3">
      <c r="A1746">
        <v>155604779</v>
      </c>
      <c r="B1746" s="1">
        <v>45029</v>
      </c>
      <c r="C1746" s="1">
        <v>45111</v>
      </c>
      <c r="D1746">
        <v>39</v>
      </c>
      <c r="E1746" t="s">
        <v>6</v>
      </c>
      <c r="F1746" t="s">
        <v>7</v>
      </c>
      <c r="G1746" s="1">
        <f t="shared" si="81"/>
        <v>45111</v>
      </c>
      <c r="H1746">
        <f t="shared" si="82"/>
        <v>3</v>
      </c>
      <c r="I1746">
        <f t="shared" si="83"/>
        <v>0</v>
      </c>
      <c r="J1746">
        <f>IF(Table1[[#This Row],[Active_months]]&gt;=1, 1, 0)</f>
        <v>1</v>
      </c>
    </row>
    <row r="1747" spans="1:10" x14ac:dyDescent="0.3">
      <c r="A1747">
        <v>150421022</v>
      </c>
      <c r="B1747" s="1">
        <v>45029</v>
      </c>
      <c r="C1747" s="1">
        <v>45092</v>
      </c>
      <c r="D1747">
        <v>39</v>
      </c>
      <c r="E1747" t="s">
        <v>6</v>
      </c>
      <c r="F1747" t="s">
        <v>7</v>
      </c>
      <c r="G1747" s="1">
        <f t="shared" si="81"/>
        <v>45092</v>
      </c>
      <c r="H1747">
        <f t="shared" si="82"/>
        <v>2</v>
      </c>
      <c r="I1747">
        <f t="shared" si="83"/>
        <v>0</v>
      </c>
      <c r="J1747">
        <f>IF(Table1[[#This Row],[Active_months]]&gt;=1, 1, 0)</f>
        <v>1</v>
      </c>
    </row>
    <row r="1748" spans="1:10" x14ac:dyDescent="0.3">
      <c r="A1748">
        <v>122616012</v>
      </c>
      <c r="B1748" s="1">
        <v>45029</v>
      </c>
      <c r="C1748" s="1">
        <v>45106</v>
      </c>
      <c r="D1748">
        <v>39</v>
      </c>
      <c r="E1748" t="s">
        <v>6</v>
      </c>
      <c r="F1748" t="s">
        <v>7</v>
      </c>
      <c r="G1748" s="1">
        <f t="shared" si="81"/>
        <v>45106</v>
      </c>
      <c r="H1748">
        <f t="shared" si="82"/>
        <v>2</v>
      </c>
      <c r="I1748">
        <f t="shared" si="83"/>
        <v>0</v>
      </c>
      <c r="J1748">
        <f>IF(Table1[[#This Row],[Active_months]]&gt;=1, 1, 0)</f>
        <v>1</v>
      </c>
    </row>
    <row r="1749" spans="1:10" x14ac:dyDescent="0.3">
      <c r="A1749">
        <v>209356278</v>
      </c>
      <c r="B1749" s="1">
        <v>45030</v>
      </c>
      <c r="D1749">
        <v>39</v>
      </c>
      <c r="E1749" t="s">
        <v>6</v>
      </c>
      <c r="F1749" t="s">
        <v>7</v>
      </c>
      <c r="G1749" s="1">
        <f t="shared" si="81"/>
        <v>45199</v>
      </c>
      <c r="H1749">
        <f t="shared" si="82"/>
        <v>5</v>
      </c>
      <c r="I1749">
        <f t="shared" si="83"/>
        <v>1</v>
      </c>
      <c r="J1749">
        <f>IF(Table1[[#This Row],[Active_months]]&gt;=1, 1, 0)</f>
        <v>1</v>
      </c>
    </row>
    <row r="1750" spans="1:10" x14ac:dyDescent="0.3">
      <c r="A1750">
        <v>212604642</v>
      </c>
      <c r="B1750" s="1">
        <v>45030</v>
      </c>
      <c r="D1750">
        <v>39</v>
      </c>
      <c r="E1750" t="s">
        <v>6</v>
      </c>
      <c r="F1750" t="s">
        <v>7</v>
      </c>
      <c r="G1750" s="1">
        <f t="shared" si="81"/>
        <v>45199</v>
      </c>
      <c r="H1750">
        <f t="shared" si="82"/>
        <v>5</v>
      </c>
      <c r="I1750">
        <f t="shared" si="83"/>
        <v>1</v>
      </c>
      <c r="J1750">
        <f>IF(Table1[[#This Row],[Active_months]]&gt;=1, 1, 0)</f>
        <v>1</v>
      </c>
    </row>
    <row r="1751" spans="1:10" x14ac:dyDescent="0.3">
      <c r="A1751">
        <v>210730447</v>
      </c>
      <c r="B1751" s="1">
        <v>45030</v>
      </c>
      <c r="D1751">
        <v>39</v>
      </c>
      <c r="E1751" t="s">
        <v>6</v>
      </c>
      <c r="F1751" t="s">
        <v>7</v>
      </c>
      <c r="G1751" s="1">
        <f t="shared" si="81"/>
        <v>45199</v>
      </c>
      <c r="H1751">
        <f t="shared" si="82"/>
        <v>5</v>
      </c>
      <c r="I1751">
        <f t="shared" si="83"/>
        <v>1</v>
      </c>
      <c r="J1751">
        <f>IF(Table1[[#This Row],[Active_months]]&gt;=1, 1, 0)</f>
        <v>1</v>
      </c>
    </row>
    <row r="1752" spans="1:10" x14ac:dyDescent="0.3">
      <c r="A1752">
        <v>212388726</v>
      </c>
      <c r="B1752" s="1">
        <v>45030</v>
      </c>
      <c r="D1752">
        <v>39</v>
      </c>
      <c r="E1752" t="s">
        <v>6</v>
      </c>
      <c r="F1752" t="s">
        <v>8</v>
      </c>
      <c r="G1752" s="1">
        <f t="shared" si="81"/>
        <v>45199</v>
      </c>
      <c r="H1752">
        <f t="shared" si="82"/>
        <v>5</v>
      </c>
      <c r="I1752">
        <f t="shared" si="83"/>
        <v>1</v>
      </c>
      <c r="J1752">
        <f>IF(Table1[[#This Row],[Active_months]]&gt;=1, 1, 0)</f>
        <v>1</v>
      </c>
    </row>
    <row r="1753" spans="1:10" x14ac:dyDescent="0.3">
      <c r="A1753">
        <v>127793951</v>
      </c>
      <c r="B1753" s="1">
        <v>45030</v>
      </c>
      <c r="C1753" s="1">
        <v>45169</v>
      </c>
      <c r="D1753">
        <v>39</v>
      </c>
      <c r="E1753" t="s">
        <v>6</v>
      </c>
      <c r="F1753" t="s">
        <v>7</v>
      </c>
      <c r="G1753" s="1">
        <f t="shared" si="81"/>
        <v>45169</v>
      </c>
      <c r="H1753">
        <f t="shared" si="82"/>
        <v>4</v>
      </c>
      <c r="I1753">
        <f t="shared" si="83"/>
        <v>0</v>
      </c>
      <c r="J1753">
        <f>IF(Table1[[#This Row],[Active_months]]&gt;=1, 1, 0)</f>
        <v>1</v>
      </c>
    </row>
    <row r="1754" spans="1:10" x14ac:dyDescent="0.3">
      <c r="A1754">
        <v>189715793</v>
      </c>
      <c r="B1754" s="1">
        <v>45030</v>
      </c>
      <c r="C1754" s="1">
        <v>45067</v>
      </c>
      <c r="D1754">
        <v>39</v>
      </c>
      <c r="E1754" t="s">
        <v>6</v>
      </c>
      <c r="F1754" t="s">
        <v>7</v>
      </c>
      <c r="G1754" s="1">
        <f t="shared" si="81"/>
        <v>45067</v>
      </c>
      <c r="H1754">
        <f t="shared" si="82"/>
        <v>1</v>
      </c>
      <c r="I1754">
        <f t="shared" si="83"/>
        <v>0</v>
      </c>
      <c r="J1754">
        <f>IF(Table1[[#This Row],[Active_months]]&gt;=1, 1, 0)</f>
        <v>1</v>
      </c>
    </row>
    <row r="1755" spans="1:10" x14ac:dyDescent="0.3">
      <c r="A1755">
        <v>148369126</v>
      </c>
      <c r="B1755" s="1">
        <v>45031</v>
      </c>
      <c r="D1755">
        <v>39</v>
      </c>
      <c r="E1755" t="s">
        <v>6</v>
      </c>
      <c r="F1755" t="s">
        <v>7</v>
      </c>
      <c r="G1755" s="1">
        <f t="shared" si="81"/>
        <v>45199</v>
      </c>
      <c r="H1755">
        <f t="shared" si="82"/>
        <v>5</v>
      </c>
      <c r="I1755">
        <f t="shared" si="83"/>
        <v>1</v>
      </c>
      <c r="J1755">
        <f>IF(Table1[[#This Row],[Active_months]]&gt;=1, 1, 0)</f>
        <v>1</v>
      </c>
    </row>
    <row r="1756" spans="1:10" x14ac:dyDescent="0.3">
      <c r="A1756">
        <v>157503290</v>
      </c>
      <c r="B1756" s="1">
        <v>45031</v>
      </c>
      <c r="C1756" s="1">
        <v>45068</v>
      </c>
      <c r="D1756">
        <v>39</v>
      </c>
      <c r="E1756" t="s">
        <v>6</v>
      </c>
      <c r="F1756" t="s">
        <v>7</v>
      </c>
      <c r="G1756" s="1">
        <f t="shared" si="81"/>
        <v>45068</v>
      </c>
      <c r="H1756">
        <f t="shared" si="82"/>
        <v>1</v>
      </c>
      <c r="I1756">
        <f t="shared" si="83"/>
        <v>0</v>
      </c>
      <c r="J1756">
        <f>IF(Table1[[#This Row],[Active_months]]&gt;=1, 1, 0)</f>
        <v>1</v>
      </c>
    </row>
    <row r="1757" spans="1:10" x14ac:dyDescent="0.3">
      <c r="A1757">
        <v>212712986</v>
      </c>
      <c r="B1757" s="1">
        <v>45031</v>
      </c>
      <c r="C1757" s="1">
        <v>45077</v>
      </c>
      <c r="D1757">
        <v>39</v>
      </c>
      <c r="E1757" t="s">
        <v>6</v>
      </c>
      <c r="F1757" t="s">
        <v>7</v>
      </c>
      <c r="G1757" s="1">
        <f t="shared" si="81"/>
        <v>45077</v>
      </c>
      <c r="H1757">
        <f t="shared" si="82"/>
        <v>1</v>
      </c>
      <c r="I1757">
        <f t="shared" si="83"/>
        <v>0</v>
      </c>
      <c r="J1757">
        <f>IF(Table1[[#This Row],[Active_months]]&gt;=1, 1, 0)</f>
        <v>1</v>
      </c>
    </row>
    <row r="1758" spans="1:10" x14ac:dyDescent="0.3">
      <c r="A1758">
        <v>204512028</v>
      </c>
      <c r="B1758" s="1">
        <v>45031</v>
      </c>
      <c r="C1758" s="1">
        <v>45061</v>
      </c>
      <c r="D1758">
        <v>39</v>
      </c>
      <c r="E1758" t="s">
        <v>6</v>
      </c>
      <c r="F1758" t="s">
        <v>7</v>
      </c>
      <c r="G1758" s="1">
        <f t="shared" si="81"/>
        <v>45061</v>
      </c>
      <c r="H1758">
        <f t="shared" si="82"/>
        <v>1</v>
      </c>
      <c r="I1758">
        <f t="shared" si="83"/>
        <v>0</v>
      </c>
      <c r="J1758">
        <f>IF(Table1[[#This Row],[Active_months]]&gt;=1, 1, 0)</f>
        <v>1</v>
      </c>
    </row>
    <row r="1759" spans="1:10" x14ac:dyDescent="0.3">
      <c r="A1759">
        <v>147066240</v>
      </c>
      <c r="B1759" s="1">
        <v>45031</v>
      </c>
      <c r="C1759" s="1">
        <v>45046</v>
      </c>
      <c r="D1759">
        <v>39</v>
      </c>
      <c r="E1759" t="s">
        <v>6</v>
      </c>
      <c r="F1759" t="s">
        <v>7</v>
      </c>
      <c r="G1759" s="1">
        <f t="shared" si="81"/>
        <v>45046</v>
      </c>
      <c r="H1759">
        <f t="shared" si="82"/>
        <v>0</v>
      </c>
      <c r="I1759">
        <f t="shared" si="83"/>
        <v>0</v>
      </c>
      <c r="J1759">
        <f>IF(Table1[[#This Row],[Active_months]]&gt;=1, 1, 0)</f>
        <v>0</v>
      </c>
    </row>
    <row r="1760" spans="1:10" x14ac:dyDescent="0.3">
      <c r="A1760">
        <v>212759443</v>
      </c>
      <c r="B1760" s="1">
        <v>45032</v>
      </c>
      <c r="C1760" s="1">
        <v>45032</v>
      </c>
      <c r="D1760">
        <v>39</v>
      </c>
      <c r="E1760" t="s">
        <v>6</v>
      </c>
      <c r="F1760" t="s">
        <v>7</v>
      </c>
      <c r="G1760" s="1">
        <f t="shared" si="81"/>
        <v>45032</v>
      </c>
      <c r="H1760">
        <f t="shared" si="82"/>
        <v>0</v>
      </c>
      <c r="I1760">
        <f t="shared" si="83"/>
        <v>0</v>
      </c>
      <c r="J1760">
        <f>IF(Table1[[#This Row],[Active_months]]&gt;=1, 1, 0)</f>
        <v>0</v>
      </c>
    </row>
    <row r="1761" spans="1:10" x14ac:dyDescent="0.3">
      <c r="A1761">
        <v>212042832</v>
      </c>
      <c r="B1761" s="1">
        <v>45033</v>
      </c>
      <c r="D1761">
        <v>39</v>
      </c>
      <c r="E1761" t="s">
        <v>6</v>
      </c>
      <c r="F1761" t="s">
        <v>7</v>
      </c>
      <c r="G1761" s="1">
        <f t="shared" si="81"/>
        <v>45199</v>
      </c>
      <c r="H1761">
        <f t="shared" si="82"/>
        <v>5</v>
      </c>
      <c r="I1761">
        <f t="shared" si="83"/>
        <v>1</v>
      </c>
      <c r="J1761">
        <f>IF(Table1[[#This Row],[Active_months]]&gt;=1, 1, 0)</f>
        <v>1</v>
      </c>
    </row>
    <row r="1762" spans="1:10" x14ac:dyDescent="0.3">
      <c r="A1762">
        <v>212113682</v>
      </c>
      <c r="B1762" s="1">
        <v>45033</v>
      </c>
      <c r="D1762">
        <v>39</v>
      </c>
      <c r="E1762" t="s">
        <v>6</v>
      </c>
      <c r="F1762" t="s">
        <v>7</v>
      </c>
      <c r="G1762" s="1">
        <f t="shared" si="81"/>
        <v>45199</v>
      </c>
      <c r="H1762">
        <f t="shared" si="82"/>
        <v>5</v>
      </c>
      <c r="I1762">
        <f t="shared" si="83"/>
        <v>1</v>
      </c>
      <c r="J1762">
        <f>IF(Table1[[#This Row],[Active_months]]&gt;=1, 1, 0)</f>
        <v>1</v>
      </c>
    </row>
    <row r="1763" spans="1:10" x14ac:dyDescent="0.3">
      <c r="A1763">
        <v>181175226</v>
      </c>
      <c r="B1763" s="1">
        <v>45033</v>
      </c>
      <c r="D1763">
        <v>39</v>
      </c>
      <c r="E1763" t="s">
        <v>6</v>
      </c>
      <c r="F1763" t="s">
        <v>7</v>
      </c>
      <c r="G1763" s="1">
        <f t="shared" si="81"/>
        <v>45199</v>
      </c>
      <c r="H1763">
        <f t="shared" si="82"/>
        <v>5</v>
      </c>
      <c r="I1763">
        <f t="shared" si="83"/>
        <v>1</v>
      </c>
      <c r="J1763">
        <f>IF(Table1[[#This Row],[Active_months]]&gt;=1, 1, 0)</f>
        <v>1</v>
      </c>
    </row>
    <row r="1764" spans="1:10" x14ac:dyDescent="0.3">
      <c r="A1764">
        <v>201817514</v>
      </c>
      <c r="B1764" s="1">
        <v>45033</v>
      </c>
      <c r="C1764" s="1">
        <v>45034</v>
      </c>
      <c r="D1764">
        <v>39</v>
      </c>
      <c r="E1764" t="s">
        <v>6</v>
      </c>
      <c r="F1764" t="s">
        <v>7</v>
      </c>
      <c r="G1764" s="1">
        <f t="shared" si="81"/>
        <v>45034</v>
      </c>
      <c r="H1764">
        <f t="shared" si="82"/>
        <v>0</v>
      </c>
      <c r="I1764">
        <f t="shared" si="83"/>
        <v>0</v>
      </c>
      <c r="J1764">
        <f>IF(Table1[[#This Row],[Active_months]]&gt;=1, 1, 0)</f>
        <v>0</v>
      </c>
    </row>
    <row r="1765" spans="1:10" x14ac:dyDescent="0.3">
      <c r="A1765">
        <v>168698174</v>
      </c>
      <c r="B1765" s="1">
        <v>45033</v>
      </c>
      <c r="C1765" s="1">
        <v>45033</v>
      </c>
      <c r="D1765">
        <v>39</v>
      </c>
      <c r="E1765" t="s">
        <v>6</v>
      </c>
      <c r="F1765" t="s">
        <v>7</v>
      </c>
      <c r="G1765" s="1">
        <f t="shared" si="81"/>
        <v>45033</v>
      </c>
      <c r="H1765">
        <f t="shared" si="82"/>
        <v>0</v>
      </c>
      <c r="I1765">
        <f t="shared" si="83"/>
        <v>0</v>
      </c>
      <c r="J1765">
        <f>IF(Table1[[#This Row],[Active_months]]&gt;=1, 1, 0)</f>
        <v>0</v>
      </c>
    </row>
    <row r="1766" spans="1:10" x14ac:dyDescent="0.3">
      <c r="A1766">
        <v>170512298</v>
      </c>
      <c r="B1766" s="1">
        <v>45033</v>
      </c>
      <c r="C1766" s="1">
        <v>45061</v>
      </c>
      <c r="D1766">
        <v>39</v>
      </c>
      <c r="E1766" t="s">
        <v>6</v>
      </c>
      <c r="F1766" t="s">
        <v>7</v>
      </c>
      <c r="G1766" s="1">
        <f t="shared" si="81"/>
        <v>45061</v>
      </c>
      <c r="H1766">
        <f t="shared" si="82"/>
        <v>1</v>
      </c>
      <c r="I1766">
        <f t="shared" si="83"/>
        <v>0</v>
      </c>
      <c r="J1766">
        <f>IF(Table1[[#This Row],[Active_months]]&gt;=1, 1, 0)</f>
        <v>1</v>
      </c>
    </row>
    <row r="1767" spans="1:10" x14ac:dyDescent="0.3">
      <c r="A1767">
        <v>213181546</v>
      </c>
      <c r="B1767" s="1">
        <v>45033</v>
      </c>
      <c r="C1767" s="1">
        <v>45078</v>
      </c>
      <c r="D1767">
        <v>39</v>
      </c>
      <c r="E1767" t="s">
        <v>6</v>
      </c>
      <c r="F1767" t="s">
        <v>7</v>
      </c>
      <c r="G1767" s="1">
        <f t="shared" si="81"/>
        <v>45078</v>
      </c>
      <c r="H1767">
        <f t="shared" si="82"/>
        <v>2</v>
      </c>
      <c r="I1767">
        <f t="shared" si="83"/>
        <v>0</v>
      </c>
      <c r="J1767">
        <f>IF(Table1[[#This Row],[Active_months]]&gt;=1, 1, 0)</f>
        <v>1</v>
      </c>
    </row>
    <row r="1768" spans="1:10" x14ac:dyDescent="0.3">
      <c r="A1768">
        <v>154535908</v>
      </c>
      <c r="B1768" s="1">
        <v>45033</v>
      </c>
      <c r="C1768" s="1">
        <v>45101</v>
      </c>
      <c r="D1768">
        <v>39</v>
      </c>
      <c r="E1768" t="s">
        <v>6</v>
      </c>
      <c r="F1768" t="s">
        <v>7</v>
      </c>
      <c r="G1768" s="1">
        <f t="shared" si="81"/>
        <v>45101</v>
      </c>
      <c r="H1768">
        <f t="shared" si="82"/>
        <v>2</v>
      </c>
      <c r="I1768">
        <f t="shared" si="83"/>
        <v>0</v>
      </c>
      <c r="J1768">
        <f>IF(Table1[[#This Row],[Active_months]]&gt;=1, 1, 0)</f>
        <v>1</v>
      </c>
    </row>
    <row r="1769" spans="1:10" x14ac:dyDescent="0.3">
      <c r="A1769">
        <v>151540809</v>
      </c>
      <c r="B1769" s="1">
        <v>45033</v>
      </c>
      <c r="C1769" s="1">
        <v>45069</v>
      </c>
      <c r="D1769">
        <v>39</v>
      </c>
      <c r="E1769" t="s">
        <v>6</v>
      </c>
      <c r="F1769" t="s">
        <v>7</v>
      </c>
      <c r="G1769" s="1">
        <f t="shared" si="81"/>
        <v>45069</v>
      </c>
      <c r="H1769">
        <f t="shared" si="82"/>
        <v>1</v>
      </c>
      <c r="I1769">
        <f t="shared" si="83"/>
        <v>0</v>
      </c>
      <c r="J1769">
        <f>IF(Table1[[#This Row],[Active_months]]&gt;=1, 1, 0)</f>
        <v>1</v>
      </c>
    </row>
    <row r="1770" spans="1:10" x14ac:dyDescent="0.3">
      <c r="A1770">
        <v>212334937</v>
      </c>
      <c r="B1770" s="1">
        <v>45033</v>
      </c>
      <c r="C1770" s="1">
        <v>45064</v>
      </c>
      <c r="D1770">
        <v>39</v>
      </c>
      <c r="E1770" t="s">
        <v>6</v>
      </c>
      <c r="F1770" t="s">
        <v>7</v>
      </c>
      <c r="G1770" s="1">
        <f t="shared" si="81"/>
        <v>45064</v>
      </c>
      <c r="H1770">
        <f t="shared" si="82"/>
        <v>1</v>
      </c>
      <c r="I1770">
        <f t="shared" si="83"/>
        <v>0</v>
      </c>
      <c r="J1770">
        <f>IF(Table1[[#This Row],[Active_months]]&gt;=1, 1, 0)</f>
        <v>1</v>
      </c>
    </row>
    <row r="1771" spans="1:10" x14ac:dyDescent="0.3">
      <c r="A1771">
        <v>204766175</v>
      </c>
      <c r="B1771" s="1">
        <v>45033</v>
      </c>
      <c r="C1771" s="1">
        <v>45121</v>
      </c>
      <c r="D1771">
        <v>39</v>
      </c>
      <c r="E1771" t="s">
        <v>6</v>
      </c>
      <c r="F1771" t="s">
        <v>7</v>
      </c>
      <c r="G1771" s="1">
        <f t="shared" si="81"/>
        <v>45121</v>
      </c>
      <c r="H1771">
        <f t="shared" si="82"/>
        <v>3</v>
      </c>
      <c r="I1771">
        <f t="shared" si="83"/>
        <v>0</v>
      </c>
      <c r="J1771">
        <f>IF(Table1[[#This Row],[Active_months]]&gt;=1, 1, 0)</f>
        <v>1</v>
      </c>
    </row>
    <row r="1772" spans="1:10" x14ac:dyDescent="0.3">
      <c r="A1772">
        <v>212055738</v>
      </c>
      <c r="B1772" s="1">
        <v>45033</v>
      </c>
      <c r="C1772" s="1">
        <v>45162</v>
      </c>
      <c r="D1772">
        <v>39</v>
      </c>
      <c r="E1772" t="s">
        <v>6</v>
      </c>
      <c r="F1772" t="s">
        <v>7</v>
      </c>
      <c r="G1772" s="1">
        <f t="shared" si="81"/>
        <v>45162</v>
      </c>
      <c r="H1772">
        <f t="shared" si="82"/>
        <v>4</v>
      </c>
      <c r="I1772">
        <f t="shared" si="83"/>
        <v>0</v>
      </c>
      <c r="J1772">
        <f>IF(Table1[[#This Row],[Active_months]]&gt;=1, 1, 0)</f>
        <v>1</v>
      </c>
    </row>
    <row r="1773" spans="1:10" x14ac:dyDescent="0.3">
      <c r="A1773">
        <v>211907956</v>
      </c>
      <c r="B1773" s="1">
        <v>45034</v>
      </c>
      <c r="D1773">
        <v>39</v>
      </c>
      <c r="E1773" t="s">
        <v>6</v>
      </c>
      <c r="F1773" t="s">
        <v>7</v>
      </c>
      <c r="G1773" s="1">
        <f t="shared" si="81"/>
        <v>45199</v>
      </c>
      <c r="H1773">
        <f t="shared" si="82"/>
        <v>5</v>
      </c>
      <c r="I1773">
        <f t="shared" si="83"/>
        <v>1</v>
      </c>
      <c r="J1773">
        <f>IF(Table1[[#This Row],[Active_months]]&gt;=1, 1, 0)</f>
        <v>1</v>
      </c>
    </row>
    <row r="1774" spans="1:10" x14ac:dyDescent="0.3">
      <c r="A1774">
        <v>212759443</v>
      </c>
      <c r="B1774" s="1">
        <v>45034</v>
      </c>
      <c r="D1774">
        <v>39</v>
      </c>
      <c r="E1774" t="s">
        <v>6</v>
      </c>
      <c r="F1774" t="s">
        <v>7</v>
      </c>
      <c r="G1774" s="1">
        <f t="shared" si="81"/>
        <v>45199</v>
      </c>
      <c r="H1774">
        <f t="shared" si="82"/>
        <v>5</v>
      </c>
      <c r="I1774">
        <f t="shared" si="83"/>
        <v>1</v>
      </c>
      <c r="J1774">
        <f>IF(Table1[[#This Row],[Active_months]]&gt;=1, 1, 0)</f>
        <v>1</v>
      </c>
    </row>
    <row r="1775" spans="1:10" x14ac:dyDescent="0.3">
      <c r="A1775">
        <v>213182327</v>
      </c>
      <c r="B1775" s="1">
        <v>45034</v>
      </c>
      <c r="D1775">
        <v>39</v>
      </c>
      <c r="E1775" t="s">
        <v>6</v>
      </c>
      <c r="F1775" t="s">
        <v>7</v>
      </c>
      <c r="G1775" s="1">
        <f t="shared" si="81"/>
        <v>45199</v>
      </c>
      <c r="H1775">
        <f t="shared" si="82"/>
        <v>5</v>
      </c>
      <c r="I1775">
        <f t="shared" si="83"/>
        <v>1</v>
      </c>
      <c r="J1775">
        <f>IF(Table1[[#This Row],[Active_months]]&gt;=1, 1, 0)</f>
        <v>1</v>
      </c>
    </row>
    <row r="1776" spans="1:10" x14ac:dyDescent="0.3">
      <c r="A1776">
        <v>213442067</v>
      </c>
      <c r="B1776" s="1">
        <v>45034</v>
      </c>
      <c r="D1776">
        <v>39</v>
      </c>
      <c r="E1776" t="s">
        <v>6</v>
      </c>
      <c r="F1776" t="s">
        <v>7</v>
      </c>
      <c r="G1776" s="1">
        <f t="shared" si="81"/>
        <v>45199</v>
      </c>
      <c r="H1776">
        <f t="shared" si="82"/>
        <v>5</v>
      </c>
      <c r="I1776">
        <f t="shared" si="83"/>
        <v>1</v>
      </c>
      <c r="J1776">
        <f>IF(Table1[[#This Row],[Active_months]]&gt;=1, 1, 0)</f>
        <v>1</v>
      </c>
    </row>
    <row r="1777" spans="1:10" x14ac:dyDescent="0.3">
      <c r="A1777">
        <v>213427247</v>
      </c>
      <c r="B1777" s="1">
        <v>45034</v>
      </c>
      <c r="D1777">
        <v>39</v>
      </c>
      <c r="E1777" t="s">
        <v>6</v>
      </c>
      <c r="F1777" t="s">
        <v>7</v>
      </c>
      <c r="G1777" s="1">
        <f t="shared" si="81"/>
        <v>45199</v>
      </c>
      <c r="H1777">
        <f t="shared" si="82"/>
        <v>5</v>
      </c>
      <c r="I1777">
        <f t="shared" si="83"/>
        <v>1</v>
      </c>
      <c r="J1777">
        <f>IF(Table1[[#This Row],[Active_months]]&gt;=1, 1, 0)</f>
        <v>1</v>
      </c>
    </row>
    <row r="1778" spans="1:10" x14ac:dyDescent="0.3">
      <c r="A1778">
        <v>172476368</v>
      </c>
      <c r="B1778" s="1">
        <v>45034</v>
      </c>
      <c r="C1778" s="1">
        <v>45061</v>
      </c>
      <c r="D1778">
        <v>39</v>
      </c>
      <c r="E1778" t="s">
        <v>6</v>
      </c>
      <c r="F1778" t="s">
        <v>7</v>
      </c>
      <c r="G1778" s="1">
        <f t="shared" si="81"/>
        <v>45061</v>
      </c>
      <c r="H1778">
        <f t="shared" si="82"/>
        <v>1</v>
      </c>
      <c r="I1778">
        <f t="shared" si="83"/>
        <v>0</v>
      </c>
      <c r="J1778">
        <f>IF(Table1[[#This Row],[Active_months]]&gt;=1, 1, 0)</f>
        <v>1</v>
      </c>
    </row>
    <row r="1779" spans="1:10" x14ac:dyDescent="0.3">
      <c r="A1779">
        <v>148900262</v>
      </c>
      <c r="B1779" s="1">
        <v>45034</v>
      </c>
      <c r="C1779" s="1">
        <v>45057</v>
      </c>
      <c r="D1779">
        <v>39</v>
      </c>
      <c r="E1779" t="s">
        <v>6</v>
      </c>
      <c r="F1779" t="s">
        <v>7</v>
      </c>
      <c r="G1779" s="1">
        <f t="shared" si="81"/>
        <v>45057</v>
      </c>
      <c r="H1779">
        <f t="shared" si="82"/>
        <v>1</v>
      </c>
      <c r="I1779">
        <f t="shared" si="83"/>
        <v>0</v>
      </c>
      <c r="J1779">
        <f>IF(Table1[[#This Row],[Active_months]]&gt;=1, 1, 0)</f>
        <v>1</v>
      </c>
    </row>
    <row r="1780" spans="1:10" x14ac:dyDescent="0.3">
      <c r="A1780">
        <v>213450505</v>
      </c>
      <c r="B1780" s="1">
        <v>45034</v>
      </c>
      <c r="C1780" s="1">
        <v>45062</v>
      </c>
      <c r="D1780">
        <v>39</v>
      </c>
      <c r="E1780" t="s">
        <v>6</v>
      </c>
      <c r="F1780" t="s">
        <v>7</v>
      </c>
      <c r="G1780" s="1">
        <f t="shared" si="81"/>
        <v>45062</v>
      </c>
      <c r="H1780">
        <f t="shared" si="82"/>
        <v>1</v>
      </c>
      <c r="I1780">
        <f t="shared" si="83"/>
        <v>0</v>
      </c>
      <c r="J1780">
        <f>IF(Table1[[#This Row],[Active_months]]&gt;=1, 1, 0)</f>
        <v>1</v>
      </c>
    </row>
    <row r="1781" spans="1:10" x14ac:dyDescent="0.3">
      <c r="A1781">
        <v>168261038</v>
      </c>
      <c r="B1781" s="1">
        <v>45034</v>
      </c>
      <c r="C1781" s="1">
        <v>45072</v>
      </c>
      <c r="D1781">
        <v>39</v>
      </c>
      <c r="E1781" t="s">
        <v>6</v>
      </c>
      <c r="F1781" t="s">
        <v>7</v>
      </c>
      <c r="G1781" s="1">
        <f t="shared" si="81"/>
        <v>45072</v>
      </c>
      <c r="H1781">
        <f t="shared" si="82"/>
        <v>1</v>
      </c>
      <c r="I1781">
        <f t="shared" si="83"/>
        <v>0</v>
      </c>
      <c r="J1781">
        <f>IF(Table1[[#This Row],[Active_months]]&gt;=1, 1, 0)</f>
        <v>1</v>
      </c>
    </row>
    <row r="1782" spans="1:10" x14ac:dyDescent="0.3">
      <c r="A1782">
        <v>207018786</v>
      </c>
      <c r="B1782" s="1">
        <v>45034</v>
      </c>
      <c r="C1782" s="1">
        <v>45132</v>
      </c>
      <c r="D1782">
        <v>39</v>
      </c>
      <c r="E1782" t="s">
        <v>6</v>
      </c>
      <c r="F1782" t="s">
        <v>7</v>
      </c>
      <c r="G1782" s="1">
        <f t="shared" si="81"/>
        <v>45132</v>
      </c>
      <c r="H1782">
        <f t="shared" si="82"/>
        <v>3</v>
      </c>
      <c r="I1782">
        <f t="shared" si="83"/>
        <v>0</v>
      </c>
      <c r="J1782">
        <f>IF(Table1[[#This Row],[Active_months]]&gt;=1, 1, 0)</f>
        <v>1</v>
      </c>
    </row>
    <row r="1783" spans="1:10" x14ac:dyDescent="0.3">
      <c r="A1783">
        <v>213781045</v>
      </c>
      <c r="B1783" s="1">
        <v>45035</v>
      </c>
      <c r="D1783">
        <v>39</v>
      </c>
      <c r="E1783" t="s">
        <v>6</v>
      </c>
      <c r="F1783" t="s">
        <v>7</v>
      </c>
      <c r="G1783" s="1">
        <f t="shared" si="81"/>
        <v>45199</v>
      </c>
      <c r="H1783">
        <f t="shared" si="82"/>
        <v>5</v>
      </c>
      <c r="I1783">
        <f t="shared" si="83"/>
        <v>1</v>
      </c>
      <c r="J1783">
        <f>IF(Table1[[#This Row],[Active_months]]&gt;=1, 1, 0)</f>
        <v>1</v>
      </c>
    </row>
    <row r="1784" spans="1:10" x14ac:dyDescent="0.3">
      <c r="A1784">
        <v>213785402</v>
      </c>
      <c r="B1784" s="1">
        <v>45035</v>
      </c>
      <c r="C1784" s="1">
        <v>45161</v>
      </c>
      <c r="D1784">
        <v>39</v>
      </c>
      <c r="E1784" t="s">
        <v>6</v>
      </c>
      <c r="F1784" t="s">
        <v>7</v>
      </c>
      <c r="G1784" s="1">
        <f t="shared" si="81"/>
        <v>45161</v>
      </c>
      <c r="H1784">
        <f t="shared" si="82"/>
        <v>4</v>
      </c>
      <c r="I1784">
        <f t="shared" si="83"/>
        <v>0</v>
      </c>
      <c r="J1784">
        <f>IF(Table1[[#This Row],[Active_months]]&gt;=1, 1, 0)</f>
        <v>1</v>
      </c>
    </row>
    <row r="1785" spans="1:10" x14ac:dyDescent="0.3">
      <c r="A1785">
        <v>213689187</v>
      </c>
      <c r="B1785" s="1">
        <v>45035</v>
      </c>
      <c r="C1785" s="1">
        <v>45036</v>
      </c>
      <c r="D1785">
        <v>39</v>
      </c>
      <c r="E1785" t="s">
        <v>6</v>
      </c>
      <c r="F1785" t="s">
        <v>8</v>
      </c>
      <c r="G1785" s="1">
        <f t="shared" si="81"/>
        <v>45036</v>
      </c>
      <c r="H1785">
        <f t="shared" si="82"/>
        <v>0</v>
      </c>
      <c r="I1785">
        <f t="shared" si="83"/>
        <v>0</v>
      </c>
      <c r="J1785">
        <f>IF(Table1[[#This Row],[Active_months]]&gt;=1, 1, 0)</f>
        <v>0</v>
      </c>
    </row>
    <row r="1786" spans="1:10" x14ac:dyDescent="0.3">
      <c r="A1786">
        <v>213413298</v>
      </c>
      <c r="B1786" s="1">
        <v>45035</v>
      </c>
      <c r="C1786" s="1">
        <v>45035</v>
      </c>
      <c r="D1786">
        <v>39</v>
      </c>
      <c r="E1786" t="s">
        <v>6</v>
      </c>
      <c r="F1786" t="s">
        <v>8</v>
      </c>
      <c r="G1786" s="1">
        <f t="shared" si="81"/>
        <v>45035</v>
      </c>
      <c r="H1786">
        <f t="shared" si="82"/>
        <v>0</v>
      </c>
      <c r="I1786">
        <f t="shared" si="83"/>
        <v>0</v>
      </c>
      <c r="J1786">
        <f>IF(Table1[[#This Row],[Active_months]]&gt;=1, 1, 0)</f>
        <v>0</v>
      </c>
    </row>
    <row r="1787" spans="1:10" x14ac:dyDescent="0.3">
      <c r="A1787">
        <v>184458429</v>
      </c>
      <c r="B1787" s="1">
        <v>45035</v>
      </c>
      <c r="C1787" s="1">
        <v>45085</v>
      </c>
      <c r="D1787">
        <v>39</v>
      </c>
      <c r="E1787" t="s">
        <v>6</v>
      </c>
      <c r="F1787" t="s">
        <v>7</v>
      </c>
      <c r="G1787" s="1">
        <f t="shared" si="81"/>
        <v>45085</v>
      </c>
      <c r="H1787">
        <f t="shared" si="82"/>
        <v>2</v>
      </c>
      <c r="I1787">
        <f t="shared" si="83"/>
        <v>0</v>
      </c>
      <c r="J1787">
        <f>IF(Table1[[#This Row],[Active_months]]&gt;=1, 1, 0)</f>
        <v>1</v>
      </c>
    </row>
    <row r="1788" spans="1:10" x14ac:dyDescent="0.3">
      <c r="A1788">
        <v>212190070</v>
      </c>
      <c r="B1788" s="1">
        <v>45035</v>
      </c>
      <c r="C1788" s="1">
        <v>45096</v>
      </c>
      <c r="D1788">
        <v>39</v>
      </c>
      <c r="E1788" t="s">
        <v>6</v>
      </c>
      <c r="F1788" t="s">
        <v>7</v>
      </c>
      <c r="G1788" s="1">
        <f t="shared" si="81"/>
        <v>45096</v>
      </c>
      <c r="H1788">
        <f t="shared" si="82"/>
        <v>2</v>
      </c>
      <c r="I1788">
        <f t="shared" si="83"/>
        <v>0</v>
      </c>
      <c r="J1788">
        <f>IF(Table1[[#This Row],[Active_months]]&gt;=1, 1, 0)</f>
        <v>1</v>
      </c>
    </row>
    <row r="1789" spans="1:10" x14ac:dyDescent="0.3">
      <c r="A1789">
        <v>212737739</v>
      </c>
      <c r="B1789" s="1">
        <v>45035</v>
      </c>
      <c r="C1789" s="1">
        <v>45077</v>
      </c>
      <c r="D1789">
        <v>39</v>
      </c>
      <c r="E1789" t="s">
        <v>6</v>
      </c>
      <c r="F1789" t="s">
        <v>7</v>
      </c>
      <c r="G1789" s="1">
        <f t="shared" si="81"/>
        <v>45077</v>
      </c>
      <c r="H1789">
        <f t="shared" si="82"/>
        <v>1</v>
      </c>
      <c r="I1789">
        <f t="shared" si="83"/>
        <v>0</v>
      </c>
      <c r="J1789">
        <f>IF(Table1[[#This Row],[Active_months]]&gt;=1, 1, 0)</f>
        <v>1</v>
      </c>
    </row>
    <row r="1790" spans="1:10" x14ac:dyDescent="0.3">
      <c r="A1790">
        <v>211904660</v>
      </c>
      <c r="B1790" s="1">
        <v>45036</v>
      </c>
      <c r="D1790">
        <v>39</v>
      </c>
      <c r="E1790" t="s">
        <v>6</v>
      </c>
      <c r="F1790" t="s">
        <v>7</v>
      </c>
      <c r="G1790" s="1">
        <f t="shared" si="81"/>
        <v>45199</v>
      </c>
      <c r="H1790">
        <f t="shared" si="82"/>
        <v>5</v>
      </c>
      <c r="I1790">
        <f t="shared" si="83"/>
        <v>1</v>
      </c>
      <c r="J1790">
        <f>IF(Table1[[#This Row],[Active_months]]&gt;=1, 1, 0)</f>
        <v>1</v>
      </c>
    </row>
    <row r="1791" spans="1:10" x14ac:dyDescent="0.3">
      <c r="A1791">
        <v>112792926</v>
      </c>
      <c r="B1791" s="1">
        <v>45036</v>
      </c>
      <c r="D1791">
        <v>39</v>
      </c>
      <c r="E1791" t="s">
        <v>6</v>
      </c>
      <c r="F1791" t="s">
        <v>7</v>
      </c>
      <c r="G1791" s="1">
        <f t="shared" si="81"/>
        <v>45199</v>
      </c>
      <c r="H1791">
        <f t="shared" si="82"/>
        <v>5</v>
      </c>
      <c r="I1791">
        <f t="shared" si="83"/>
        <v>1</v>
      </c>
      <c r="J1791">
        <f>IF(Table1[[#This Row],[Active_months]]&gt;=1, 1, 0)</f>
        <v>1</v>
      </c>
    </row>
    <row r="1792" spans="1:10" x14ac:dyDescent="0.3">
      <c r="A1792">
        <v>213914942</v>
      </c>
      <c r="B1792" s="1">
        <v>45036</v>
      </c>
      <c r="D1792">
        <v>39</v>
      </c>
      <c r="E1792" t="s">
        <v>6</v>
      </c>
      <c r="F1792" t="s">
        <v>7</v>
      </c>
      <c r="G1792" s="1">
        <f t="shared" si="81"/>
        <v>45199</v>
      </c>
      <c r="H1792">
        <f t="shared" si="82"/>
        <v>5</v>
      </c>
      <c r="I1792">
        <f t="shared" si="83"/>
        <v>1</v>
      </c>
      <c r="J1792">
        <f>IF(Table1[[#This Row],[Active_months]]&gt;=1, 1, 0)</f>
        <v>1</v>
      </c>
    </row>
    <row r="1793" spans="1:10" x14ac:dyDescent="0.3">
      <c r="A1793">
        <v>189220435</v>
      </c>
      <c r="B1793" s="1">
        <v>45036</v>
      </c>
      <c r="C1793" s="1">
        <v>45046</v>
      </c>
      <c r="D1793">
        <v>39</v>
      </c>
      <c r="E1793" t="s">
        <v>6</v>
      </c>
      <c r="F1793" t="s">
        <v>7</v>
      </c>
      <c r="G1793" s="1">
        <f t="shared" si="81"/>
        <v>45046</v>
      </c>
      <c r="H1793">
        <f t="shared" si="82"/>
        <v>0</v>
      </c>
      <c r="I1793">
        <f t="shared" si="83"/>
        <v>0</v>
      </c>
      <c r="J1793">
        <f>IF(Table1[[#This Row],[Active_months]]&gt;=1, 1, 0)</f>
        <v>0</v>
      </c>
    </row>
    <row r="1794" spans="1:10" x14ac:dyDescent="0.3">
      <c r="A1794">
        <v>203237584</v>
      </c>
      <c r="B1794" s="1">
        <v>45036</v>
      </c>
      <c r="C1794" s="1">
        <v>45041</v>
      </c>
      <c r="D1794">
        <v>39</v>
      </c>
      <c r="E1794" t="s">
        <v>6</v>
      </c>
      <c r="F1794" t="s">
        <v>7</v>
      </c>
      <c r="G1794" s="1">
        <f t="shared" si="81"/>
        <v>45041</v>
      </c>
      <c r="H1794">
        <f t="shared" si="82"/>
        <v>0</v>
      </c>
      <c r="I1794">
        <f t="shared" si="83"/>
        <v>0</v>
      </c>
      <c r="J1794">
        <f>IF(Table1[[#This Row],[Active_months]]&gt;=1, 1, 0)</f>
        <v>0</v>
      </c>
    </row>
    <row r="1795" spans="1:10" x14ac:dyDescent="0.3">
      <c r="A1795">
        <v>213179140</v>
      </c>
      <c r="B1795" s="1">
        <v>45036</v>
      </c>
      <c r="C1795" s="1">
        <v>45063</v>
      </c>
      <c r="D1795">
        <v>39</v>
      </c>
      <c r="E1795" t="s">
        <v>6</v>
      </c>
      <c r="F1795" t="s">
        <v>7</v>
      </c>
      <c r="G1795" s="1">
        <f t="shared" ref="G1795:G1858" si="84">IF(ISBLANK(C1795), DATE(2023,9,30), C1795)</f>
        <v>45063</v>
      </c>
      <c r="H1795">
        <f t="shared" ref="H1795:H1858" si="85">(YEAR(G1795)-YEAR(B1795))*12 + (MONTH(G1795)-MONTH(B1795))</f>
        <v>1</v>
      </c>
      <c r="I1795">
        <f t="shared" ref="I1795:I1858" si="86">IF(H1795 &gt;=5, 1, 0)</f>
        <v>0</v>
      </c>
      <c r="J1795">
        <f>IF(Table1[[#This Row],[Active_months]]&gt;=1, 1, 0)</f>
        <v>1</v>
      </c>
    </row>
    <row r="1796" spans="1:10" x14ac:dyDescent="0.3">
      <c r="A1796">
        <v>211629536</v>
      </c>
      <c r="B1796" s="1">
        <v>45036</v>
      </c>
      <c r="C1796" s="1">
        <v>45073</v>
      </c>
      <c r="D1796">
        <v>39</v>
      </c>
      <c r="E1796" t="s">
        <v>6</v>
      </c>
      <c r="F1796" t="s">
        <v>7</v>
      </c>
      <c r="G1796" s="1">
        <f t="shared" si="84"/>
        <v>45073</v>
      </c>
      <c r="H1796">
        <f t="shared" si="85"/>
        <v>1</v>
      </c>
      <c r="I1796">
        <f t="shared" si="86"/>
        <v>0</v>
      </c>
      <c r="J1796">
        <f>IF(Table1[[#This Row],[Active_months]]&gt;=1, 1, 0)</f>
        <v>1</v>
      </c>
    </row>
    <row r="1797" spans="1:10" x14ac:dyDescent="0.3">
      <c r="A1797">
        <v>204953211</v>
      </c>
      <c r="B1797" s="1">
        <v>45036</v>
      </c>
      <c r="C1797" s="1">
        <v>45073</v>
      </c>
      <c r="D1797">
        <v>39</v>
      </c>
      <c r="E1797" t="s">
        <v>6</v>
      </c>
      <c r="F1797" t="s">
        <v>7</v>
      </c>
      <c r="G1797" s="1">
        <f t="shared" si="84"/>
        <v>45073</v>
      </c>
      <c r="H1797">
        <f t="shared" si="85"/>
        <v>1</v>
      </c>
      <c r="I1797">
        <f t="shared" si="86"/>
        <v>0</v>
      </c>
      <c r="J1797">
        <f>IF(Table1[[#This Row],[Active_months]]&gt;=1, 1, 0)</f>
        <v>1</v>
      </c>
    </row>
    <row r="1798" spans="1:10" x14ac:dyDescent="0.3">
      <c r="A1798">
        <v>111394466</v>
      </c>
      <c r="B1798" s="1">
        <v>45036</v>
      </c>
      <c r="C1798" s="1">
        <v>45099</v>
      </c>
      <c r="D1798">
        <v>39</v>
      </c>
      <c r="E1798" t="s">
        <v>6</v>
      </c>
      <c r="F1798" t="s">
        <v>7</v>
      </c>
      <c r="G1798" s="1">
        <f t="shared" si="84"/>
        <v>45099</v>
      </c>
      <c r="H1798">
        <f t="shared" si="85"/>
        <v>2</v>
      </c>
      <c r="I1798">
        <f t="shared" si="86"/>
        <v>0</v>
      </c>
      <c r="J1798">
        <f>IF(Table1[[#This Row],[Active_months]]&gt;=1, 1, 0)</f>
        <v>1</v>
      </c>
    </row>
    <row r="1799" spans="1:10" x14ac:dyDescent="0.3">
      <c r="A1799">
        <v>214107134</v>
      </c>
      <c r="B1799" s="1">
        <v>45037</v>
      </c>
      <c r="D1799">
        <v>39</v>
      </c>
      <c r="E1799" t="s">
        <v>6</v>
      </c>
      <c r="F1799" t="s">
        <v>7</v>
      </c>
      <c r="G1799" s="1">
        <f t="shared" si="84"/>
        <v>45199</v>
      </c>
      <c r="H1799">
        <f t="shared" si="85"/>
        <v>5</v>
      </c>
      <c r="I1799">
        <f t="shared" si="86"/>
        <v>1</v>
      </c>
      <c r="J1799">
        <f>IF(Table1[[#This Row],[Active_months]]&gt;=1, 1, 0)</f>
        <v>1</v>
      </c>
    </row>
    <row r="1800" spans="1:10" x14ac:dyDescent="0.3">
      <c r="A1800">
        <v>214105034</v>
      </c>
      <c r="B1800" s="1">
        <v>45037</v>
      </c>
      <c r="D1800">
        <v>39</v>
      </c>
      <c r="E1800" t="s">
        <v>6</v>
      </c>
      <c r="F1800" t="s">
        <v>7</v>
      </c>
      <c r="G1800" s="1">
        <f t="shared" si="84"/>
        <v>45199</v>
      </c>
      <c r="H1800">
        <f t="shared" si="85"/>
        <v>5</v>
      </c>
      <c r="I1800">
        <f t="shared" si="86"/>
        <v>1</v>
      </c>
      <c r="J1800">
        <f>IF(Table1[[#This Row],[Active_months]]&gt;=1, 1, 0)</f>
        <v>1</v>
      </c>
    </row>
    <row r="1801" spans="1:10" x14ac:dyDescent="0.3">
      <c r="A1801">
        <v>214124745</v>
      </c>
      <c r="B1801" s="1">
        <v>45037</v>
      </c>
      <c r="C1801" s="1">
        <v>45176</v>
      </c>
      <c r="D1801">
        <v>39</v>
      </c>
      <c r="E1801" t="s">
        <v>6</v>
      </c>
      <c r="F1801" t="s">
        <v>7</v>
      </c>
      <c r="G1801" s="1">
        <f t="shared" si="84"/>
        <v>45176</v>
      </c>
      <c r="H1801">
        <f t="shared" si="85"/>
        <v>5</v>
      </c>
      <c r="I1801">
        <f t="shared" si="86"/>
        <v>1</v>
      </c>
      <c r="J1801">
        <f>IF(Table1[[#This Row],[Active_months]]&gt;=1, 1, 0)</f>
        <v>1</v>
      </c>
    </row>
    <row r="1802" spans="1:10" x14ac:dyDescent="0.3">
      <c r="A1802">
        <v>214107426</v>
      </c>
      <c r="B1802" s="1">
        <v>45037</v>
      </c>
      <c r="C1802" s="1">
        <v>45038</v>
      </c>
      <c r="D1802">
        <v>39</v>
      </c>
      <c r="E1802" t="s">
        <v>6</v>
      </c>
      <c r="F1802" t="s">
        <v>8</v>
      </c>
      <c r="G1802" s="1">
        <f t="shared" si="84"/>
        <v>45038</v>
      </c>
      <c r="H1802">
        <f t="shared" si="85"/>
        <v>0</v>
      </c>
      <c r="I1802">
        <f t="shared" si="86"/>
        <v>0</v>
      </c>
      <c r="J1802">
        <f>IF(Table1[[#This Row],[Active_months]]&gt;=1, 1, 0)</f>
        <v>0</v>
      </c>
    </row>
    <row r="1803" spans="1:10" x14ac:dyDescent="0.3">
      <c r="A1803">
        <v>213980322</v>
      </c>
      <c r="B1803" s="1">
        <v>45037</v>
      </c>
      <c r="C1803" s="1">
        <v>45097</v>
      </c>
      <c r="D1803">
        <v>39</v>
      </c>
      <c r="E1803" t="s">
        <v>6</v>
      </c>
      <c r="F1803" t="s">
        <v>7</v>
      </c>
      <c r="G1803" s="1">
        <f t="shared" si="84"/>
        <v>45097</v>
      </c>
      <c r="H1803">
        <f t="shared" si="85"/>
        <v>2</v>
      </c>
      <c r="I1803">
        <f t="shared" si="86"/>
        <v>0</v>
      </c>
      <c r="J1803">
        <f>IF(Table1[[#This Row],[Active_months]]&gt;=1, 1, 0)</f>
        <v>1</v>
      </c>
    </row>
    <row r="1804" spans="1:10" x14ac:dyDescent="0.3">
      <c r="A1804">
        <v>213434919</v>
      </c>
      <c r="B1804" s="1">
        <v>45037</v>
      </c>
      <c r="C1804" s="1">
        <v>45037</v>
      </c>
      <c r="D1804">
        <v>39</v>
      </c>
      <c r="E1804" t="s">
        <v>6</v>
      </c>
      <c r="F1804" t="s">
        <v>7</v>
      </c>
      <c r="G1804" s="1">
        <f t="shared" si="84"/>
        <v>45037</v>
      </c>
      <c r="H1804">
        <f t="shared" si="85"/>
        <v>0</v>
      </c>
      <c r="I1804">
        <f t="shared" si="86"/>
        <v>0</v>
      </c>
      <c r="J1804">
        <f>IF(Table1[[#This Row],[Active_months]]&gt;=1, 1, 0)</f>
        <v>0</v>
      </c>
    </row>
    <row r="1805" spans="1:10" x14ac:dyDescent="0.3">
      <c r="A1805">
        <v>214129448</v>
      </c>
      <c r="B1805" s="1">
        <v>45037</v>
      </c>
      <c r="C1805" s="1">
        <v>45135</v>
      </c>
      <c r="D1805">
        <v>39</v>
      </c>
      <c r="E1805" t="s">
        <v>6</v>
      </c>
      <c r="F1805" t="s">
        <v>7</v>
      </c>
      <c r="G1805" s="1">
        <f t="shared" si="84"/>
        <v>45135</v>
      </c>
      <c r="H1805">
        <f t="shared" si="85"/>
        <v>3</v>
      </c>
      <c r="I1805">
        <f t="shared" si="86"/>
        <v>0</v>
      </c>
      <c r="J1805">
        <f>IF(Table1[[#This Row],[Active_months]]&gt;=1, 1, 0)</f>
        <v>1</v>
      </c>
    </row>
    <row r="1806" spans="1:10" x14ac:dyDescent="0.3">
      <c r="A1806">
        <v>213944536</v>
      </c>
      <c r="B1806" s="1">
        <v>45037</v>
      </c>
      <c r="C1806" s="1">
        <v>45098</v>
      </c>
      <c r="D1806">
        <v>39</v>
      </c>
      <c r="E1806" t="s">
        <v>6</v>
      </c>
      <c r="F1806" t="s">
        <v>7</v>
      </c>
      <c r="G1806" s="1">
        <f t="shared" si="84"/>
        <v>45098</v>
      </c>
      <c r="H1806">
        <f t="shared" si="85"/>
        <v>2</v>
      </c>
      <c r="I1806">
        <f t="shared" si="86"/>
        <v>0</v>
      </c>
      <c r="J1806">
        <f>IF(Table1[[#This Row],[Active_months]]&gt;=1, 1, 0)</f>
        <v>1</v>
      </c>
    </row>
    <row r="1807" spans="1:10" x14ac:dyDescent="0.3">
      <c r="A1807">
        <v>214052531</v>
      </c>
      <c r="B1807" s="1">
        <v>45037</v>
      </c>
      <c r="C1807" s="1">
        <v>45166</v>
      </c>
      <c r="D1807">
        <v>39</v>
      </c>
      <c r="E1807" t="s">
        <v>6</v>
      </c>
      <c r="F1807" t="s">
        <v>7</v>
      </c>
      <c r="G1807" s="1">
        <f t="shared" si="84"/>
        <v>45166</v>
      </c>
      <c r="H1807">
        <f t="shared" si="85"/>
        <v>4</v>
      </c>
      <c r="I1807">
        <f t="shared" si="86"/>
        <v>0</v>
      </c>
      <c r="J1807">
        <f>IF(Table1[[#This Row],[Active_months]]&gt;=1, 1, 0)</f>
        <v>1</v>
      </c>
    </row>
    <row r="1808" spans="1:10" x14ac:dyDescent="0.3">
      <c r="A1808">
        <v>214196608</v>
      </c>
      <c r="B1808" s="1">
        <v>45038</v>
      </c>
      <c r="D1808">
        <v>39</v>
      </c>
      <c r="E1808" t="s">
        <v>6</v>
      </c>
      <c r="F1808" t="s">
        <v>7</v>
      </c>
      <c r="G1808" s="1">
        <f t="shared" si="84"/>
        <v>45199</v>
      </c>
      <c r="H1808">
        <f t="shared" si="85"/>
        <v>5</v>
      </c>
      <c r="I1808">
        <f t="shared" si="86"/>
        <v>1</v>
      </c>
      <c r="J1808">
        <f>IF(Table1[[#This Row],[Active_months]]&gt;=1, 1, 0)</f>
        <v>1</v>
      </c>
    </row>
    <row r="1809" spans="1:10" x14ac:dyDescent="0.3">
      <c r="A1809">
        <v>125299295</v>
      </c>
      <c r="B1809" s="1">
        <v>45038</v>
      </c>
      <c r="C1809" s="1">
        <v>45096</v>
      </c>
      <c r="D1809">
        <v>39</v>
      </c>
      <c r="E1809" t="s">
        <v>6</v>
      </c>
      <c r="F1809" t="s">
        <v>7</v>
      </c>
      <c r="G1809" s="1">
        <f t="shared" si="84"/>
        <v>45096</v>
      </c>
      <c r="H1809">
        <f t="shared" si="85"/>
        <v>2</v>
      </c>
      <c r="I1809">
        <f t="shared" si="86"/>
        <v>0</v>
      </c>
      <c r="J1809">
        <f>IF(Table1[[#This Row],[Active_months]]&gt;=1, 1, 0)</f>
        <v>1</v>
      </c>
    </row>
    <row r="1810" spans="1:10" x14ac:dyDescent="0.3">
      <c r="A1810">
        <v>214199386</v>
      </c>
      <c r="B1810" s="1">
        <v>45038</v>
      </c>
      <c r="C1810" s="1">
        <v>45053</v>
      </c>
      <c r="D1810">
        <v>39</v>
      </c>
      <c r="E1810" t="s">
        <v>6</v>
      </c>
      <c r="F1810" t="s">
        <v>7</v>
      </c>
      <c r="G1810" s="1">
        <f t="shared" si="84"/>
        <v>45053</v>
      </c>
      <c r="H1810">
        <f t="shared" si="85"/>
        <v>1</v>
      </c>
      <c r="I1810">
        <f t="shared" si="86"/>
        <v>0</v>
      </c>
      <c r="J1810">
        <f>IF(Table1[[#This Row],[Active_months]]&gt;=1, 1, 0)</f>
        <v>1</v>
      </c>
    </row>
    <row r="1811" spans="1:10" x14ac:dyDescent="0.3">
      <c r="A1811">
        <v>214191851</v>
      </c>
      <c r="B1811" s="1">
        <v>45038</v>
      </c>
      <c r="C1811" s="1">
        <v>45058</v>
      </c>
      <c r="D1811">
        <v>39</v>
      </c>
      <c r="E1811" t="s">
        <v>6</v>
      </c>
      <c r="F1811" t="s">
        <v>7</v>
      </c>
      <c r="G1811" s="1">
        <f t="shared" si="84"/>
        <v>45058</v>
      </c>
      <c r="H1811">
        <f t="shared" si="85"/>
        <v>1</v>
      </c>
      <c r="I1811">
        <f t="shared" si="86"/>
        <v>0</v>
      </c>
      <c r="J1811">
        <f>IF(Table1[[#This Row],[Active_months]]&gt;=1, 1, 0)</f>
        <v>1</v>
      </c>
    </row>
    <row r="1812" spans="1:10" x14ac:dyDescent="0.3">
      <c r="A1812">
        <v>214174478</v>
      </c>
      <c r="B1812" s="1">
        <v>45038</v>
      </c>
      <c r="C1812" s="1">
        <v>45068</v>
      </c>
      <c r="D1812">
        <v>39</v>
      </c>
      <c r="E1812" t="s">
        <v>6</v>
      </c>
      <c r="F1812" t="s">
        <v>7</v>
      </c>
      <c r="G1812" s="1">
        <f t="shared" si="84"/>
        <v>45068</v>
      </c>
      <c r="H1812">
        <f t="shared" si="85"/>
        <v>1</v>
      </c>
      <c r="I1812">
        <f t="shared" si="86"/>
        <v>0</v>
      </c>
      <c r="J1812">
        <f>IF(Table1[[#This Row],[Active_months]]&gt;=1, 1, 0)</f>
        <v>1</v>
      </c>
    </row>
    <row r="1813" spans="1:10" x14ac:dyDescent="0.3">
      <c r="A1813">
        <v>214264465</v>
      </c>
      <c r="B1813" s="1">
        <v>45039</v>
      </c>
      <c r="D1813">
        <v>39</v>
      </c>
      <c r="E1813" t="s">
        <v>6</v>
      </c>
      <c r="F1813" t="s">
        <v>7</v>
      </c>
      <c r="G1813" s="1">
        <f t="shared" si="84"/>
        <v>45199</v>
      </c>
      <c r="H1813">
        <f t="shared" si="85"/>
        <v>5</v>
      </c>
      <c r="I1813">
        <f t="shared" si="86"/>
        <v>1</v>
      </c>
      <c r="J1813">
        <f>IF(Table1[[#This Row],[Active_months]]&gt;=1, 1, 0)</f>
        <v>1</v>
      </c>
    </row>
    <row r="1814" spans="1:10" x14ac:dyDescent="0.3">
      <c r="A1814">
        <v>214261616</v>
      </c>
      <c r="B1814" s="1">
        <v>45039</v>
      </c>
      <c r="D1814">
        <v>39</v>
      </c>
      <c r="E1814" t="s">
        <v>6</v>
      </c>
      <c r="F1814" t="s">
        <v>7</v>
      </c>
      <c r="G1814" s="1">
        <f t="shared" si="84"/>
        <v>45199</v>
      </c>
      <c r="H1814">
        <f t="shared" si="85"/>
        <v>5</v>
      </c>
      <c r="I1814">
        <f t="shared" si="86"/>
        <v>1</v>
      </c>
      <c r="J1814">
        <f>IF(Table1[[#This Row],[Active_months]]&gt;=1, 1, 0)</f>
        <v>1</v>
      </c>
    </row>
    <row r="1815" spans="1:10" x14ac:dyDescent="0.3">
      <c r="A1815">
        <v>214178644</v>
      </c>
      <c r="B1815" s="1">
        <v>45039</v>
      </c>
      <c r="D1815">
        <v>39</v>
      </c>
      <c r="E1815" t="s">
        <v>6</v>
      </c>
      <c r="F1815" t="s">
        <v>7</v>
      </c>
      <c r="G1815" s="1">
        <f t="shared" si="84"/>
        <v>45199</v>
      </c>
      <c r="H1815">
        <f t="shared" si="85"/>
        <v>5</v>
      </c>
      <c r="I1815">
        <f t="shared" si="86"/>
        <v>1</v>
      </c>
      <c r="J1815">
        <f>IF(Table1[[#This Row],[Active_months]]&gt;=1, 1, 0)</f>
        <v>1</v>
      </c>
    </row>
    <row r="1816" spans="1:10" x14ac:dyDescent="0.3">
      <c r="A1816">
        <v>214202809</v>
      </c>
      <c r="B1816" s="1">
        <v>45039</v>
      </c>
      <c r="C1816" s="1">
        <v>45068</v>
      </c>
      <c r="D1816">
        <v>39</v>
      </c>
      <c r="E1816" t="s">
        <v>6</v>
      </c>
      <c r="F1816" t="s">
        <v>7</v>
      </c>
      <c r="G1816" s="1">
        <f t="shared" si="84"/>
        <v>45068</v>
      </c>
      <c r="H1816">
        <f t="shared" si="85"/>
        <v>1</v>
      </c>
      <c r="I1816">
        <f t="shared" si="86"/>
        <v>0</v>
      </c>
      <c r="J1816">
        <f>IF(Table1[[#This Row],[Active_months]]&gt;=1, 1, 0)</f>
        <v>1</v>
      </c>
    </row>
    <row r="1817" spans="1:10" x14ac:dyDescent="0.3">
      <c r="A1817">
        <v>214220188</v>
      </c>
      <c r="B1817" s="1">
        <v>45040</v>
      </c>
      <c r="D1817">
        <v>39</v>
      </c>
      <c r="E1817" t="s">
        <v>6</v>
      </c>
      <c r="F1817" t="s">
        <v>7</v>
      </c>
      <c r="G1817" s="1">
        <f t="shared" si="84"/>
        <v>45199</v>
      </c>
      <c r="H1817">
        <f t="shared" si="85"/>
        <v>5</v>
      </c>
      <c r="I1817">
        <f t="shared" si="86"/>
        <v>1</v>
      </c>
      <c r="J1817">
        <f>IF(Table1[[#This Row],[Active_months]]&gt;=1, 1, 0)</f>
        <v>1</v>
      </c>
    </row>
    <row r="1818" spans="1:10" x14ac:dyDescent="0.3">
      <c r="A1818">
        <v>212113435</v>
      </c>
      <c r="B1818" s="1">
        <v>45040</v>
      </c>
      <c r="D1818">
        <v>39</v>
      </c>
      <c r="E1818" t="s">
        <v>6</v>
      </c>
      <c r="F1818" t="s">
        <v>7</v>
      </c>
      <c r="G1818" s="1">
        <f t="shared" si="84"/>
        <v>45199</v>
      </c>
      <c r="H1818">
        <f t="shared" si="85"/>
        <v>5</v>
      </c>
      <c r="I1818">
        <f t="shared" si="86"/>
        <v>1</v>
      </c>
      <c r="J1818">
        <f>IF(Table1[[#This Row],[Active_months]]&gt;=1, 1, 0)</f>
        <v>1</v>
      </c>
    </row>
    <row r="1819" spans="1:10" x14ac:dyDescent="0.3">
      <c r="A1819">
        <v>213431638</v>
      </c>
      <c r="B1819" s="1">
        <v>45040</v>
      </c>
      <c r="D1819">
        <v>39</v>
      </c>
      <c r="E1819" t="s">
        <v>6</v>
      </c>
      <c r="F1819" t="s">
        <v>7</v>
      </c>
      <c r="G1819" s="1">
        <f t="shared" si="84"/>
        <v>45199</v>
      </c>
      <c r="H1819">
        <f t="shared" si="85"/>
        <v>5</v>
      </c>
      <c r="I1819">
        <f t="shared" si="86"/>
        <v>1</v>
      </c>
      <c r="J1819">
        <f>IF(Table1[[#This Row],[Active_months]]&gt;=1, 1, 0)</f>
        <v>1</v>
      </c>
    </row>
    <row r="1820" spans="1:10" x14ac:dyDescent="0.3">
      <c r="A1820">
        <v>214102994</v>
      </c>
      <c r="B1820" s="1">
        <v>45040</v>
      </c>
      <c r="D1820">
        <v>39</v>
      </c>
      <c r="E1820" t="s">
        <v>6</v>
      </c>
      <c r="F1820" t="s">
        <v>7</v>
      </c>
      <c r="G1820" s="1">
        <f t="shared" si="84"/>
        <v>45199</v>
      </c>
      <c r="H1820">
        <f t="shared" si="85"/>
        <v>5</v>
      </c>
      <c r="I1820">
        <f t="shared" si="86"/>
        <v>1</v>
      </c>
      <c r="J1820">
        <f>IF(Table1[[#This Row],[Active_months]]&gt;=1, 1, 0)</f>
        <v>1</v>
      </c>
    </row>
    <row r="1821" spans="1:10" x14ac:dyDescent="0.3">
      <c r="A1821">
        <v>177266058</v>
      </c>
      <c r="B1821" s="1">
        <v>45040</v>
      </c>
      <c r="D1821">
        <v>39</v>
      </c>
      <c r="E1821" t="s">
        <v>6</v>
      </c>
      <c r="F1821" t="s">
        <v>7</v>
      </c>
      <c r="G1821" s="1">
        <f t="shared" si="84"/>
        <v>45199</v>
      </c>
      <c r="H1821">
        <f t="shared" si="85"/>
        <v>5</v>
      </c>
      <c r="I1821">
        <f t="shared" si="86"/>
        <v>1</v>
      </c>
      <c r="J1821">
        <f>IF(Table1[[#This Row],[Active_months]]&gt;=1, 1, 0)</f>
        <v>1</v>
      </c>
    </row>
    <row r="1822" spans="1:10" x14ac:dyDescent="0.3">
      <c r="A1822">
        <v>116060198</v>
      </c>
      <c r="B1822" s="1">
        <v>45040</v>
      </c>
      <c r="D1822">
        <v>39</v>
      </c>
      <c r="E1822" t="s">
        <v>6</v>
      </c>
      <c r="F1822" t="s">
        <v>7</v>
      </c>
      <c r="G1822" s="1">
        <f t="shared" si="84"/>
        <v>45199</v>
      </c>
      <c r="H1822">
        <f t="shared" si="85"/>
        <v>5</v>
      </c>
      <c r="I1822">
        <f t="shared" si="86"/>
        <v>1</v>
      </c>
      <c r="J1822">
        <f>IF(Table1[[#This Row],[Active_months]]&gt;=1, 1, 0)</f>
        <v>1</v>
      </c>
    </row>
    <row r="1823" spans="1:10" x14ac:dyDescent="0.3">
      <c r="A1823">
        <v>214312843</v>
      </c>
      <c r="B1823" s="1">
        <v>45040</v>
      </c>
      <c r="D1823">
        <v>39</v>
      </c>
      <c r="E1823" t="s">
        <v>6</v>
      </c>
      <c r="F1823" t="s">
        <v>7</v>
      </c>
      <c r="G1823" s="1">
        <f t="shared" si="84"/>
        <v>45199</v>
      </c>
      <c r="H1823">
        <f t="shared" si="85"/>
        <v>5</v>
      </c>
      <c r="I1823">
        <f t="shared" si="86"/>
        <v>1</v>
      </c>
      <c r="J1823">
        <f>IF(Table1[[#This Row],[Active_months]]&gt;=1, 1, 0)</f>
        <v>1</v>
      </c>
    </row>
    <row r="1824" spans="1:10" x14ac:dyDescent="0.3">
      <c r="A1824">
        <v>156245288</v>
      </c>
      <c r="B1824" s="1">
        <v>45040</v>
      </c>
      <c r="C1824" s="1">
        <v>45057</v>
      </c>
      <c r="D1824">
        <v>39</v>
      </c>
      <c r="E1824" t="s">
        <v>6</v>
      </c>
      <c r="F1824" t="s">
        <v>7</v>
      </c>
      <c r="G1824" s="1">
        <f t="shared" si="84"/>
        <v>45057</v>
      </c>
      <c r="H1824">
        <f t="shared" si="85"/>
        <v>1</v>
      </c>
      <c r="I1824">
        <f t="shared" si="86"/>
        <v>0</v>
      </c>
      <c r="J1824">
        <f>IF(Table1[[#This Row],[Active_months]]&gt;=1, 1, 0)</f>
        <v>1</v>
      </c>
    </row>
    <row r="1825" spans="1:10" x14ac:dyDescent="0.3">
      <c r="A1825">
        <v>148869972</v>
      </c>
      <c r="B1825" s="1">
        <v>45040</v>
      </c>
      <c r="C1825" s="1">
        <v>45056</v>
      </c>
      <c r="D1825">
        <v>39</v>
      </c>
      <c r="E1825" t="s">
        <v>6</v>
      </c>
      <c r="F1825" t="s">
        <v>7</v>
      </c>
      <c r="G1825" s="1">
        <f t="shared" si="84"/>
        <v>45056</v>
      </c>
      <c r="H1825">
        <f t="shared" si="85"/>
        <v>1</v>
      </c>
      <c r="I1825">
        <f t="shared" si="86"/>
        <v>0</v>
      </c>
      <c r="J1825">
        <f>IF(Table1[[#This Row],[Active_months]]&gt;=1, 1, 0)</f>
        <v>1</v>
      </c>
    </row>
    <row r="1826" spans="1:10" x14ac:dyDescent="0.3">
      <c r="A1826">
        <v>156186115</v>
      </c>
      <c r="B1826" s="1">
        <v>45040</v>
      </c>
      <c r="C1826" s="1">
        <v>45063</v>
      </c>
      <c r="D1826">
        <v>39</v>
      </c>
      <c r="E1826" t="s">
        <v>6</v>
      </c>
      <c r="F1826" t="s">
        <v>7</v>
      </c>
      <c r="G1826" s="1">
        <f t="shared" si="84"/>
        <v>45063</v>
      </c>
      <c r="H1826">
        <f t="shared" si="85"/>
        <v>1</v>
      </c>
      <c r="I1826">
        <f t="shared" si="86"/>
        <v>0</v>
      </c>
      <c r="J1826">
        <f>IF(Table1[[#This Row],[Active_months]]&gt;=1, 1, 0)</f>
        <v>1</v>
      </c>
    </row>
    <row r="1827" spans="1:10" x14ac:dyDescent="0.3">
      <c r="A1827">
        <v>207235755</v>
      </c>
      <c r="B1827" s="1">
        <v>45040</v>
      </c>
      <c r="C1827" s="1">
        <v>45068</v>
      </c>
      <c r="D1827">
        <v>39</v>
      </c>
      <c r="E1827" t="s">
        <v>6</v>
      </c>
      <c r="F1827" t="s">
        <v>7</v>
      </c>
      <c r="G1827" s="1">
        <f t="shared" si="84"/>
        <v>45068</v>
      </c>
      <c r="H1827">
        <f t="shared" si="85"/>
        <v>1</v>
      </c>
      <c r="I1827">
        <f t="shared" si="86"/>
        <v>0</v>
      </c>
      <c r="J1827">
        <f>IF(Table1[[#This Row],[Active_months]]&gt;=1, 1, 0)</f>
        <v>1</v>
      </c>
    </row>
    <row r="1828" spans="1:10" x14ac:dyDescent="0.3">
      <c r="A1828">
        <v>169235213</v>
      </c>
      <c r="B1828" s="1">
        <v>45040</v>
      </c>
      <c r="C1828" s="1">
        <v>45077</v>
      </c>
      <c r="D1828">
        <v>39</v>
      </c>
      <c r="E1828" t="s">
        <v>6</v>
      </c>
      <c r="F1828" t="s">
        <v>7</v>
      </c>
      <c r="G1828" s="1">
        <f t="shared" si="84"/>
        <v>45077</v>
      </c>
      <c r="H1828">
        <f t="shared" si="85"/>
        <v>1</v>
      </c>
      <c r="I1828">
        <f t="shared" si="86"/>
        <v>0</v>
      </c>
      <c r="J1828">
        <f>IF(Table1[[#This Row],[Active_months]]&gt;=1, 1, 0)</f>
        <v>1</v>
      </c>
    </row>
    <row r="1829" spans="1:10" x14ac:dyDescent="0.3">
      <c r="A1829">
        <v>213692152</v>
      </c>
      <c r="B1829" s="1">
        <v>45040</v>
      </c>
      <c r="C1829" s="1">
        <v>45071</v>
      </c>
      <c r="D1829">
        <v>39</v>
      </c>
      <c r="E1829" t="s">
        <v>6</v>
      </c>
      <c r="F1829" t="s">
        <v>7</v>
      </c>
      <c r="G1829" s="1">
        <f t="shared" si="84"/>
        <v>45071</v>
      </c>
      <c r="H1829">
        <f t="shared" si="85"/>
        <v>1</v>
      </c>
      <c r="I1829">
        <f t="shared" si="86"/>
        <v>0</v>
      </c>
      <c r="J1829">
        <f>IF(Table1[[#This Row],[Active_months]]&gt;=1, 1, 0)</f>
        <v>1</v>
      </c>
    </row>
    <row r="1830" spans="1:10" x14ac:dyDescent="0.3">
      <c r="A1830">
        <v>214352003</v>
      </c>
      <c r="B1830" s="1">
        <v>45040</v>
      </c>
      <c r="C1830" s="1">
        <v>45161</v>
      </c>
      <c r="D1830">
        <v>39</v>
      </c>
      <c r="E1830" t="s">
        <v>6</v>
      </c>
      <c r="F1830" t="s">
        <v>7</v>
      </c>
      <c r="G1830" s="1">
        <f t="shared" si="84"/>
        <v>45161</v>
      </c>
      <c r="H1830">
        <f t="shared" si="85"/>
        <v>4</v>
      </c>
      <c r="I1830">
        <f t="shared" si="86"/>
        <v>0</v>
      </c>
      <c r="J1830">
        <f>IF(Table1[[#This Row],[Active_months]]&gt;=1, 1, 0)</f>
        <v>1</v>
      </c>
    </row>
    <row r="1831" spans="1:10" x14ac:dyDescent="0.3">
      <c r="A1831">
        <v>139691790</v>
      </c>
      <c r="B1831" s="1">
        <v>45041</v>
      </c>
      <c r="C1831" s="1">
        <v>45102</v>
      </c>
      <c r="D1831">
        <v>39</v>
      </c>
      <c r="E1831" t="s">
        <v>6</v>
      </c>
      <c r="F1831" t="s">
        <v>7</v>
      </c>
      <c r="G1831" s="1">
        <f t="shared" si="84"/>
        <v>45102</v>
      </c>
      <c r="H1831">
        <f t="shared" si="85"/>
        <v>2</v>
      </c>
      <c r="I1831">
        <f t="shared" si="86"/>
        <v>0</v>
      </c>
      <c r="J1831">
        <f>IF(Table1[[#This Row],[Active_months]]&gt;=1, 1, 0)</f>
        <v>1</v>
      </c>
    </row>
    <row r="1832" spans="1:10" x14ac:dyDescent="0.3">
      <c r="A1832">
        <v>210646453</v>
      </c>
      <c r="B1832" s="1">
        <v>45041</v>
      </c>
      <c r="C1832" s="1">
        <v>45101</v>
      </c>
      <c r="D1832">
        <v>39</v>
      </c>
      <c r="E1832" t="s">
        <v>6</v>
      </c>
      <c r="F1832" t="s">
        <v>7</v>
      </c>
      <c r="G1832" s="1">
        <f t="shared" si="84"/>
        <v>45101</v>
      </c>
      <c r="H1832">
        <f t="shared" si="85"/>
        <v>2</v>
      </c>
      <c r="I1832">
        <f t="shared" si="86"/>
        <v>0</v>
      </c>
      <c r="J1832">
        <f>IF(Table1[[#This Row],[Active_months]]&gt;=1, 1, 0)</f>
        <v>1</v>
      </c>
    </row>
    <row r="1833" spans="1:10" x14ac:dyDescent="0.3">
      <c r="A1833">
        <v>206891005</v>
      </c>
      <c r="B1833" s="1">
        <v>45041</v>
      </c>
      <c r="C1833" s="1">
        <v>45063</v>
      </c>
      <c r="D1833">
        <v>39</v>
      </c>
      <c r="E1833" t="s">
        <v>6</v>
      </c>
      <c r="F1833" t="s">
        <v>7</v>
      </c>
      <c r="G1833" s="1">
        <f t="shared" si="84"/>
        <v>45063</v>
      </c>
      <c r="H1833">
        <f t="shared" si="85"/>
        <v>1</v>
      </c>
      <c r="I1833">
        <f t="shared" si="86"/>
        <v>0</v>
      </c>
      <c r="J1833">
        <f>IF(Table1[[#This Row],[Active_months]]&gt;=1, 1, 0)</f>
        <v>1</v>
      </c>
    </row>
    <row r="1834" spans="1:10" x14ac:dyDescent="0.3">
      <c r="A1834">
        <v>212293354</v>
      </c>
      <c r="B1834" s="1">
        <v>45041</v>
      </c>
      <c r="C1834" s="1">
        <v>45041</v>
      </c>
      <c r="D1834">
        <v>39</v>
      </c>
      <c r="E1834" t="s">
        <v>6</v>
      </c>
      <c r="F1834" t="s">
        <v>7</v>
      </c>
      <c r="G1834" s="1">
        <f t="shared" si="84"/>
        <v>45041</v>
      </c>
      <c r="H1834">
        <f t="shared" si="85"/>
        <v>0</v>
      </c>
      <c r="I1834">
        <f t="shared" si="86"/>
        <v>0</v>
      </c>
      <c r="J1834">
        <f>IF(Table1[[#This Row],[Active_months]]&gt;=1, 1, 0)</f>
        <v>0</v>
      </c>
    </row>
    <row r="1835" spans="1:10" x14ac:dyDescent="0.3">
      <c r="A1835">
        <v>214464069</v>
      </c>
      <c r="B1835" s="1">
        <v>45042</v>
      </c>
      <c r="D1835">
        <v>39</v>
      </c>
      <c r="E1835" t="s">
        <v>6</v>
      </c>
      <c r="F1835" t="s">
        <v>7</v>
      </c>
      <c r="G1835" s="1">
        <f t="shared" si="84"/>
        <v>45199</v>
      </c>
      <c r="H1835">
        <f t="shared" si="85"/>
        <v>5</v>
      </c>
      <c r="I1835">
        <f t="shared" si="86"/>
        <v>1</v>
      </c>
      <c r="J1835">
        <f>IF(Table1[[#This Row],[Active_months]]&gt;=1, 1, 0)</f>
        <v>1</v>
      </c>
    </row>
    <row r="1836" spans="1:10" x14ac:dyDescent="0.3">
      <c r="A1836">
        <v>214446543</v>
      </c>
      <c r="B1836" s="1">
        <v>45042</v>
      </c>
      <c r="D1836">
        <v>39</v>
      </c>
      <c r="E1836" t="s">
        <v>6</v>
      </c>
      <c r="F1836" t="s">
        <v>7</v>
      </c>
      <c r="G1836" s="1">
        <f t="shared" si="84"/>
        <v>45199</v>
      </c>
      <c r="H1836">
        <f t="shared" si="85"/>
        <v>5</v>
      </c>
      <c r="I1836">
        <f t="shared" si="86"/>
        <v>1</v>
      </c>
      <c r="J1836">
        <f>IF(Table1[[#This Row],[Active_months]]&gt;=1, 1, 0)</f>
        <v>1</v>
      </c>
    </row>
    <row r="1837" spans="1:10" x14ac:dyDescent="0.3">
      <c r="A1837">
        <v>212376935</v>
      </c>
      <c r="B1837" s="1">
        <v>45042</v>
      </c>
      <c r="C1837" s="1">
        <v>45089</v>
      </c>
      <c r="D1837">
        <v>39</v>
      </c>
      <c r="E1837" t="s">
        <v>6</v>
      </c>
      <c r="F1837" t="s">
        <v>7</v>
      </c>
      <c r="G1837" s="1">
        <f t="shared" si="84"/>
        <v>45089</v>
      </c>
      <c r="H1837">
        <f t="shared" si="85"/>
        <v>2</v>
      </c>
      <c r="I1837">
        <f t="shared" si="86"/>
        <v>0</v>
      </c>
      <c r="J1837">
        <f>IF(Table1[[#This Row],[Active_months]]&gt;=1, 1, 0)</f>
        <v>1</v>
      </c>
    </row>
    <row r="1838" spans="1:10" x14ac:dyDescent="0.3">
      <c r="A1838">
        <v>173118928</v>
      </c>
      <c r="B1838" s="1">
        <v>45042</v>
      </c>
      <c r="C1838" s="1">
        <v>45079</v>
      </c>
      <c r="D1838">
        <v>39</v>
      </c>
      <c r="E1838" t="s">
        <v>6</v>
      </c>
      <c r="F1838" t="s">
        <v>7</v>
      </c>
      <c r="G1838" s="1">
        <f t="shared" si="84"/>
        <v>45079</v>
      </c>
      <c r="H1838">
        <f t="shared" si="85"/>
        <v>2</v>
      </c>
      <c r="I1838">
        <f t="shared" si="86"/>
        <v>0</v>
      </c>
      <c r="J1838">
        <f>IF(Table1[[#This Row],[Active_months]]&gt;=1, 1, 0)</f>
        <v>1</v>
      </c>
    </row>
    <row r="1839" spans="1:10" x14ac:dyDescent="0.3">
      <c r="A1839">
        <v>214410106</v>
      </c>
      <c r="B1839" s="1">
        <v>45042</v>
      </c>
      <c r="C1839" s="1">
        <v>45063</v>
      </c>
      <c r="D1839">
        <v>39</v>
      </c>
      <c r="E1839" t="s">
        <v>6</v>
      </c>
      <c r="F1839" t="s">
        <v>7</v>
      </c>
      <c r="G1839" s="1">
        <f t="shared" si="84"/>
        <v>45063</v>
      </c>
      <c r="H1839">
        <f t="shared" si="85"/>
        <v>1</v>
      </c>
      <c r="I1839">
        <f t="shared" si="86"/>
        <v>0</v>
      </c>
      <c r="J1839">
        <f>IF(Table1[[#This Row],[Active_months]]&gt;=1, 1, 0)</f>
        <v>1</v>
      </c>
    </row>
    <row r="1840" spans="1:10" x14ac:dyDescent="0.3">
      <c r="A1840">
        <v>214093520</v>
      </c>
      <c r="B1840" s="1">
        <v>45042</v>
      </c>
      <c r="C1840" s="1">
        <v>45070</v>
      </c>
      <c r="D1840">
        <v>39</v>
      </c>
      <c r="E1840" t="s">
        <v>6</v>
      </c>
      <c r="F1840" t="s">
        <v>7</v>
      </c>
      <c r="G1840" s="1">
        <f t="shared" si="84"/>
        <v>45070</v>
      </c>
      <c r="H1840">
        <f t="shared" si="85"/>
        <v>1</v>
      </c>
      <c r="I1840">
        <f t="shared" si="86"/>
        <v>0</v>
      </c>
      <c r="J1840">
        <f>IF(Table1[[#This Row],[Active_months]]&gt;=1, 1, 0)</f>
        <v>1</v>
      </c>
    </row>
    <row r="1841" spans="1:10" x14ac:dyDescent="0.3">
      <c r="A1841">
        <v>214441521</v>
      </c>
      <c r="B1841" s="1">
        <v>45042</v>
      </c>
      <c r="C1841" s="1">
        <v>45070</v>
      </c>
      <c r="D1841">
        <v>39</v>
      </c>
      <c r="E1841" t="s">
        <v>6</v>
      </c>
      <c r="F1841" t="s">
        <v>7</v>
      </c>
      <c r="G1841" s="1">
        <f t="shared" si="84"/>
        <v>45070</v>
      </c>
      <c r="H1841">
        <f t="shared" si="85"/>
        <v>1</v>
      </c>
      <c r="I1841">
        <f t="shared" si="86"/>
        <v>0</v>
      </c>
      <c r="J1841">
        <f>IF(Table1[[#This Row],[Active_months]]&gt;=1, 1, 0)</f>
        <v>1</v>
      </c>
    </row>
    <row r="1842" spans="1:10" x14ac:dyDescent="0.3">
      <c r="A1842">
        <v>214519787</v>
      </c>
      <c r="B1842" s="1">
        <v>45043</v>
      </c>
      <c r="D1842">
        <v>39</v>
      </c>
      <c r="E1842" t="s">
        <v>6</v>
      </c>
      <c r="F1842" t="s">
        <v>7</v>
      </c>
      <c r="G1842" s="1">
        <f t="shared" si="84"/>
        <v>45199</v>
      </c>
      <c r="H1842">
        <f t="shared" si="85"/>
        <v>5</v>
      </c>
      <c r="I1842">
        <f t="shared" si="86"/>
        <v>1</v>
      </c>
      <c r="J1842">
        <f>IF(Table1[[#This Row],[Active_months]]&gt;=1, 1, 0)</f>
        <v>1</v>
      </c>
    </row>
    <row r="1843" spans="1:10" x14ac:dyDescent="0.3">
      <c r="A1843">
        <v>213177724</v>
      </c>
      <c r="B1843" s="1">
        <v>45043</v>
      </c>
      <c r="D1843">
        <v>39</v>
      </c>
      <c r="E1843" t="s">
        <v>6</v>
      </c>
      <c r="F1843" t="s">
        <v>7</v>
      </c>
      <c r="G1843" s="1">
        <f t="shared" si="84"/>
        <v>45199</v>
      </c>
      <c r="H1843">
        <f t="shared" si="85"/>
        <v>5</v>
      </c>
      <c r="I1843">
        <f t="shared" si="86"/>
        <v>1</v>
      </c>
      <c r="J1843">
        <f>IF(Table1[[#This Row],[Active_months]]&gt;=1, 1, 0)</f>
        <v>1</v>
      </c>
    </row>
    <row r="1844" spans="1:10" x14ac:dyDescent="0.3">
      <c r="A1844">
        <v>213421956</v>
      </c>
      <c r="B1844" s="1">
        <v>45043</v>
      </c>
      <c r="C1844" s="1">
        <v>45044</v>
      </c>
      <c r="D1844">
        <v>39</v>
      </c>
      <c r="E1844" t="s">
        <v>6</v>
      </c>
      <c r="F1844" t="s">
        <v>8</v>
      </c>
      <c r="G1844" s="1">
        <f t="shared" si="84"/>
        <v>45044</v>
      </c>
      <c r="H1844">
        <f t="shared" si="85"/>
        <v>0</v>
      </c>
      <c r="I1844">
        <f t="shared" si="86"/>
        <v>0</v>
      </c>
      <c r="J1844">
        <f>IF(Table1[[#This Row],[Active_months]]&gt;=1, 1, 0)</f>
        <v>0</v>
      </c>
    </row>
    <row r="1845" spans="1:10" x14ac:dyDescent="0.3">
      <c r="A1845">
        <v>151094649</v>
      </c>
      <c r="B1845" s="1">
        <v>45043</v>
      </c>
      <c r="C1845" s="1">
        <v>45073</v>
      </c>
      <c r="D1845">
        <v>39</v>
      </c>
      <c r="E1845" t="s">
        <v>6</v>
      </c>
      <c r="F1845" t="s">
        <v>7</v>
      </c>
      <c r="G1845" s="1">
        <f t="shared" si="84"/>
        <v>45073</v>
      </c>
      <c r="H1845">
        <f t="shared" si="85"/>
        <v>1</v>
      </c>
      <c r="I1845">
        <f t="shared" si="86"/>
        <v>0</v>
      </c>
      <c r="J1845">
        <f>IF(Table1[[#This Row],[Active_months]]&gt;=1, 1, 0)</f>
        <v>1</v>
      </c>
    </row>
    <row r="1846" spans="1:10" x14ac:dyDescent="0.3">
      <c r="A1846">
        <v>160056180</v>
      </c>
      <c r="B1846" s="1">
        <v>45043</v>
      </c>
      <c r="C1846" s="1">
        <v>45074</v>
      </c>
      <c r="D1846">
        <v>39</v>
      </c>
      <c r="E1846" t="s">
        <v>6</v>
      </c>
      <c r="F1846" t="s">
        <v>7</v>
      </c>
      <c r="G1846" s="1">
        <f t="shared" si="84"/>
        <v>45074</v>
      </c>
      <c r="H1846">
        <f t="shared" si="85"/>
        <v>1</v>
      </c>
      <c r="I1846">
        <f t="shared" si="86"/>
        <v>0</v>
      </c>
      <c r="J1846">
        <f>IF(Table1[[#This Row],[Active_months]]&gt;=1, 1, 0)</f>
        <v>1</v>
      </c>
    </row>
    <row r="1847" spans="1:10" x14ac:dyDescent="0.3">
      <c r="A1847">
        <v>166480898</v>
      </c>
      <c r="B1847" s="1">
        <v>45043</v>
      </c>
      <c r="C1847" s="1">
        <v>45071</v>
      </c>
      <c r="D1847">
        <v>39</v>
      </c>
      <c r="E1847" t="s">
        <v>6</v>
      </c>
      <c r="F1847" t="s">
        <v>7</v>
      </c>
      <c r="G1847" s="1">
        <f t="shared" si="84"/>
        <v>45071</v>
      </c>
      <c r="H1847">
        <f t="shared" si="85"/>
        <v>1</v>
      </c>
      <c r="I1847">
        <f t="shared" si="86"/>
        <v>0</v>
      </c>
      <c r="J1847">
        <f>IF(Table1[[#This Row],[Active_months]]&gt;=1, 1, 0)</f>
        <v>1</v>
      </c>
    </row>
    <row r="1848" spans="1:10" x14ac:dyDescent="0.3">
      <c r="A1848">
        <v>182085396</v>
      </c>
      <c r="B1848" s="1">
        <v>45043</v>
      </c>
      <c r="C1848" s="1">
        <v>45080</v>
      </c>
      <c r="D1848">
        <v>39</v>
      </c>
      <c r="E1848" t="s">
        <v>6</v>
      </c>
      <c r="F1848" t="s">
        <v>7</v>
      </c>
      <c r="G1848" s="1">
        <f t="shared" si="84"/>
        <v>45080</v>
      </c>
      <c r="H1848">
        <f t="shared" si="85"/>
        <v>2</v>
      </c>
      <c r="I1848">
        <f t="shared" si="86"/>
        <v>0</v>
      </c>
      <c r="J1848">
        <f>IF(Table1[[#This Row],[Active_months]]&gt;=1, 1, 0)</f>
        <v>1</v>
      </c>
    </row>
    <row r="1849" spans="1:10" x14ac:dyDescent="0.3">
      <c r="A1849">
        <v>214519010</v>
      </c>
      <c r="B1849" s="1">
        <v>45043</v>
      </c>
      <c r="C1849" s="1">
        <v>45074</v>
      </c>
      <c r="D1849">
        <v>39</v>
      </c>
      <c r="E1849" t="s">
        <v>6</v>
      </c>
      <c r="F1849" t="s">
        <v>7</v>
      </c>
      <c r="G1849" s="1">
        <f t="shared" si="84"/>
        <v>45074</v>
      </c>
      <c r="H1849">
        <f t="shared" si="85"/>
        <v>1</v>
      </c>
      <c r="I1849">
        <f t="shared" si="86"/>
        <v>0</v>
      </c>
      <c r="J1849">
        <f>IF(Table1[[#This Row],[Active_months]]&gt;=1, 1, 0)</f>
        <v>1</v>
      </c>
    </row>
    <row r="1850" spans="1:10" x14ac:dyDescent="0.3">
      <c r="A1850">
        <v>148657735</v>
      </c>
      <c r="B1850" s="1">
        <v>45043</v>
      </c>
      <c r="C1850" s="1">
        <v>45072</v>
      </c>
      <c r="D1850">
        <v>39</v>
      </c>
      <c r="E1850" t="s">
        <v>6</v>
      </c>
      <c r="F1850" t="s">
        <v>7</v>
      </c>
      <c r="G1850" s="1">
        <f t="shared" si="84"/>
        <v>45072</v>
      </c>
      <c r="H1850">
        <f t="shared" si="85"/>
        <v>1</v>
      </c>
      <c r="I1850">
        <f t="shared" si="86"/>
        <v>0</v>
      </c>
      <c r="J1850">
        <f>IF(Table1[[#This Row],[Active_months]]&gt;=1, 1, 0)</f>
        <v>1</v>
      </c>
    </row>
    <row r="1851" spans="1:10" x14ac:dyDescent="0.3">
      <c r="A1851">
        <v>214555461</v>
      </c>
      <c r="B1851" s="1">
        <v>45044</v>
      </c>
      <c r="D1851">
        <v>39</v>
      </c>
      <c r="E1851" t="s">
        <v>6</v>
      </c>
      <c r="F1851" t="s">
        <v>7</v>
      </c>
      <c r="G1851" s="1">
        <f t="shared" si="84"/>
        <v>45199</v>
      </c>
      <c r="H1851">
        <f t="shared" si="85"/>
        <v>5</v>
      </c>
      <c r="I1851">
        <f t="shared" si="86"/>
        <v>1</v>
      </c>
      <c r="J1851">
        <f>IF(Table1[[#This Row],[Active_months]]&gt;=1, 1, 0)</f>
        <v>1</v>
      </c>
    </row>
    <row r="1852" spans="1:10" x14ac:dyDescent="0.3">
      <c r="A1852">
        <v>148042512</v>
      </c>
      <c r="B1852" s="1">
        <v>45044</v>
      </c>
      <c r="D1852">
        <v>39</v>
      </c>
      <c r="E1852" t="s">
        <v>6</v>
      </c>
      <c r="F1852" t="s">
        <v>7</v>
      </c>
      <c r="G1852" s="1">
        <f t="shared" si="84"/>
        <v>45199</v>
      </c>
      <c r="H1852">
        <f t="shared" si="85"/>
        <v>5</v>
      </c>
      <c r="I1852">
        <f t="shared" si="86"/>
        <v>1</v>
      </c>
      <c r="J1852">
        <f>IF(Table1[[#This Row],[Active_months]]&gt;=1, 1, 0)</f>
        <v>1</v>
      </c>
    </row>
    <row r="1853" spans="1:10" x14ac:dyDescent="0.3">
      <c r="A1853">
        <v>214534717</v>
      </c>
      <c r="B1853" s="1">
        <v>45044</v>
      </c>
      <c r="D1853">
        <v>39</v>
      </c>
      <c r="E1853" t="s">
        <v>6</v>
      </c>
      <c r="F1853" t="s">
        <v>7</v>
      </c>
      <c r="G1853" s="1">
        <f t="shared" si="84"/>
        <v>45199</v>
      </c>
      <c r="H1853">
        <f t="shared" si="85"/>
        <v>5</v>
      </c>
      <c r="I1853">
        <f t="shared" si="86"/>
        <v>1</v>
      </c>
      <c r="J1853">
        <f>IF(Table1[[#This Row],[Active_months]]&gt;=1, 1, 0)</f>
        <v>1</v>
      </c>
    </row>
    <row r="1854" spans="1:10" x14ac:dyDescent="0.3">
      <c r="A1854">
        <v>211223610</v>
      </c>
      <c r="B1854" s="1">
        <v>45044</v>
      </c>
      <c r="C1854" s="1">
        <v>45112</v>
      </c>
      <c r="D1854">
        <v>39</v>
      </c>
      <c r="E1854" t="s">
        <v>6</v>
      </c>
      <c r="F1854" t="s">
        <v>7</v>
      </c>
      <c r="G1854" s="1">
        <f t="shared" si="84"/>
        <v>45112</v>
      </c>
      <c r="H1854">
        <f t="shared" si="85"/>
        <v>3</v>
      </c>
      <c r="I1854">
        <f t="shared" si="86"/>
        <v>0</v>
      </c>
      <c r="J1854">
        <f>IF(Table1[[#This Row],[Active_months]]&gt;=1, 1, 0)</f>
        <v>1</v>
      </c>
    </row>
    <row r="1855" spans="1:10" x14ac:dyDescent="0.3">
      <c r="A1855">
        <v>214444866</v>
      </c>
      <c r="B1855" s="1">
        <v>45044</v>
      </c>
      <c r="C1855" s="1">
        <v>45105</v>
      </c>
      <c r="D1855">
        <v>39</v>
      </c>
      <c r="E1855" t="s">
        <v>6</v>
      </c>
      <c r="F1855" t="s">
        <v>7</v>
      </c>
      <c r="G1855" s="1">
        <f t="shared" si="84"/>
        <v>45105</v>
      </c>
      <c r="H1855">
        <f t="shared" si="85"/>
        <v>2</v>
      </c>
      <c r="I1855">
        <f t="shared" si="86"/>
        <v>0</v>
      </c>
      <c r="J1855">
        <f>IF(Table1[[#This Row],[Active_months]]&gt;=1, 1, 0)</f>
        <v>1</v>
      </c>
    </row>
    <row r="1856" spans="1:10" x14ac:dyDescent="0.3">
      <c r="A1856">
        <v>206477826</v>
      </c>
      <c r="B1856" s="1">
        <v>45044</v>
      </c>
      <c r="C1856" s="1">
        <v>45081</v>
      </c>
      <c r="D1856">
        <v>39</v>
      </c>
      <c r="E1856" t="s">
        <v>6</v>
      </c>
      <c r="F1856" t="s">
        <v>7</v>
      </c>
      <c r="G1856" s="1">
        <f t="shared" si="84"/>
        <v>45081</v>
      </c>
      <c r="H1856">
        <f t="shared" si="85"/>
        <v>2</v>
      </c>
      <c r="I1856">
        <f t="shared" si="86"/>
        <v>0</v>
      </c>
      <c r="J1856">
        <f>IF(Table1[[#This Row],[Active_months]]&gt;=1, 1, 0)</f>
        <v>1</v>
      </c>
    </row>
    <row r="1857" spans="1:10" x14ac:dyDescent="0.3">
      <c r="A1857">
        <v>214589440</v>
      </c>
      <c r="B1857" s="1">
        <v>45044</v>
      </c>
      <c r="C1857" s="1">
        <v>45074</v>
      </c>
      <c r="D1857">
        <v>39</v>
      </c>
      <c r="E1857" t="s">
        <v>6</v>
      </c>
      <c r="F1857" t="s">
        <v>7</v>
      </c>
      <c r="G1857" s="1">
        <f t="shared" si="84"/>
        <v>45074</v>
      </c>
      <c r="H1857">
        <f t="shared" si="85"/>
        <v>1</v>
      </c>
      <c r="I1857">
        <f t="shared" si="86"/>
        <v>0</v>
      </c>
      <c r="J1857">
        <f>IF(Table1[[#This Row],[Active_months]]&gt;=1, 1, 0)</f>
        <v>1</v>
      </c>
    </row>
    <row r="1858" spans="1:10" x14ac:dyDescent="0.3">
      <c r="A1858">
        <v>214516527</v>
      </c>
      <c r="B1858" s="1">
        <v>45044</v>
      </c>
      <c r="C1858" s="1">
        <v>45075</v>
      </c>
      <c r="D1858">
        <v>39</v>
      </c>
      <c r="E1858" t="s">
        <v>6</v>
      </c>
      <c r="F1858" t="s">
        <v>7</v>
      </c>
      <c r="G1858" s="1">
        <f t="shared" si="84"/>
        <v>45075</v>
      </c>
      <c r="H1858">
        <f t="shared" si="85"/>
        <v>1</v>
      </c>
      <c r="I1858">
        <f t="shared" si="86"/>
        <v>0</v>
      </c>
      <c r="J1858">
        <f>IF(Table1[[#This Row],[Active_months]]&gt;=1, 1, 0)</f>
        <v>1</v>
      </c>
    </row>
    <row r="1859" spans="1:10" x14ac:dyDescent="0.3">
      <c r="A1859">
        <v>158980862</v>
      </c>
      <c r="B1859" s="1">
        <v>45044</v>
      </c>
      <c r="C1859" s="1">
        <v>45063</v>
      </c>
      <c r="D1859">
        <v>39</v>
      </c>
      <c r="E1859" t="s">
        <v>6</v>
      </c>
      <c r="F1859" t="s">
        <v>7</v>
      </c>
      <c r="G1859" s="1">
        <f t="shared" ref="G1859:G1922" si="87">IF(ISBLANK(C1859), DATE(2023,9,30), C1859)</f>
        <v>45063</v>
      </c>
      <c r="H1859">
        <f t="shared" ref="H1859:H1922" si="88">(YEAR(G1859)-YEAR(B1859))*12 + (MONTH(G1859)-MONTH(B1859))</f>
        <v>1</v>
      </c>
      <c r="I1859">
        <f t="shared" ref="I1859:I1922" si="89">IF(H1859 &gt;=5, 1, 0)</f>
        <v>0</v>
      </c>
      <c r="J1859">
        <f>IF(Table1[[#This Row],[Active_months]]&gt;=1, 1, 0)</f>
        <v>1</v>
      </c>
    </row>
    <row r="1860" spans="1:10" x14ac:dyDescent="0.3">
      <c r="A1860">
        <v>144769275</v>
      </c>
      <c r="B1860" s="1">
        <v>45044</v>
      </c>
      <c r="C1860" s="1">
        <v>45044</v>
      </c>
      <c r="D1860">
        <v>39</v>
      </c>
      <c r="E1860" t="s">
        <v>6</v>
      </c>
      <c r="F1860" t="s">
        <v>7</v>
      </c>
      <c r="G1860" s="1">
        <f t="shared" si="87"/>
        <v>45044</v>
      </c>
      <c r="H1860">
        <f t="shared" si="88"/>
        <v>0</v>
      </c>
      <c r="I1860">
        <f t="shared" si="89"/>
        <v>0</v>
      </c>
      <c r="J1860">
        <f>IF(Table1[[#This Row],[Active_months]]&gt;=1, 1, 0)</f>
        <v>0</v>
      </c>
    </row>
    <row r="1861" spans="1:10" x14ac:dyDescent="0.3">
      <c r="A1861">
        <v>214508205</v>
      </c>
      <c r="B1861" s="1">
        <v>45044</v>
      </c>
      <c r="C1861" s="1">
        <v>45111</v>
      </c>
      <c r="D1861">
        <v>39</v>
      </c>
      <c r="E1861" t="s">
        <v>6</v>
      </c>
      <c r="F1861" t="s">
        <v>7</v>
      </c>
      <c r="G1861" s="1">
        <f t="shared" si="87"/>
        <v>45111</v>
      </c>
      <c r="H1861">
        <f t="shared" si="88"/>
        <v>3</v>
      </c>
      <c r="I1861">
        <f t="shared" si="89"/>
        <v>0</v>
      </c>
      <c r="J1861">
        <f>IF(Table1[[#This Row],[Active_months]]&gt;=1, 1, 0)</f>
        <v>1</v>
      </c>
    </row>
    <row r="1862" spans="1:10" x14ac:dyDescent="0.3">
      <c r="A1862">
        <v>156178486</v>
      </c>
      <c r="B1862" s="1">
        <v>45045</v>
      </c>
      <c r="D1862">
        <v>39</v>
      </c>
      <c r="E1862" t="s">
        <v>6</v>
      </c>
      <c r="F1862" t="s">
        <v>7</v>
      </c>
      <c r="G1862" s="1">
        <f t="shared" si="87"/>
        <v>45199</v>
      </c>
      <c r="H1862">
        <f t="shared" si="88"/>
        <v>5</v>
      </c>
      <c r="I1862">
        <f t="shared" si="89"/>
        <v>1</v>
      </c>
      <c r="J1862">
        <f>IF(Table1[[#This Row],[Active_months]]&gt;=1, 1, 0)</f>
        <v>1</v>
      </c>
    </row>
    <row r="1863" spans="1:10" x14ac:dyDescent="0.3">
      <c r="A1863">
        <v>214584458</v>
      </c>
      <c r="B1863" s="1">
        <v>45045</v>
      </c>
      <c r="C1863" s="1">
        <v>45127</v>
      </c>
      <c r="D1863">
        <v>39</v>
      </c>
      <c r="E1863" t="s">
        <v>6</v>
      </c>
      <c r="F1863" t="s">
        <v>7</v>
      </c>
      <c r="G1863" s="1">
        <f t="shared" si="87"/>
        <v>45127</v>
      </c>
      <c r="H1863">
        <f t="shared" si="88"/>
        <v>3</v>
      </c>
      <c r="I1863">
        <f t="shared" si="89"/>
        <v>0</v>
      </c>
      <c r="J1863">
        <f>IF(Table1[[#This Row],[Active_months]]&gt;=1, 1, 0)</f>
        <v>1</v>
      </c>
    </row>
    <row r="1864" spans="1:10" x14ac:dyDescent="0.3">
      <c r="A1864">
        <v>181935574</v>
      </c>
      <c r="B1864" s="1">
        <v>45046</v>
      </c>
      <c r="D1864">
        <v>39</v>
      </c>
      <c r="E1864" t="s">
        <v>6</v>
      </c>
      <c r="F1864" t="s">
        <v>7</v>
      </c>
      <c r="G1864" s="1">
        <f t="shared" si="87"/>
        <v>45199</v>
      </c>
      <c r="H1864">
        <f t="shared" si="88"/>
        <v>5</v>
      </c>
      <c r="I1864">
        <f t="shared" si="89"/>
        <v>1</v>
      </c>
      <c r="J1864">
        <f>IF(Table1[[#This Row],[Active_months]]&gt;=1, 1, 0)</f>
        <v>1</v>
      </c>
    </row>
    <row r="1865" spans="1:10" x14ac:dyDescent="0.3">
      <c r="A1865">
        <v>153006404</v>
      </c>
      <c r="B1865" s="1">
        <v>45046</v>
      </c>
      <c r="C1865" s="1">
        <v>45066</v>
      </c>
      <c r="D1865">
        <v>39</v>
      </c>
      <c r="E1865" t="s">
        <v>6</v>
      </c>
      <c r="F1865" t="s">
        <v>7</v>
      </c>
      <c r="G1865" s="1">
        <f t="shared" si="87"/>
        <v>45066</v>
      </c>
      <c r="H1865">
        <f t="shared" si="88"/>
        <v>1</v>
      </c>
      <c r="I1865">
        <f t="shared" si="89"/>
        <v>0</v>
      </c>
      <c r="J1865">
        <f>IF(Table1[[#This Row],[Active_months]]&gt;=1, 1, 0)</f>
        <v>1</v>
      </c>
    </row>
    <row r="1866" spans="1:10" x14ac:dyDescent="0.3">
      <c r="A1866">
        <v>214423891</v>
      </c>
      <c r="B1866" s="1">
        <v>45046</v>
      </c>
      <c r="C1866" s="1">
        <v>45079</v>
      </c>
      <c r="D1866">
        <v>39</v>
      </c>
      <c r="E1866" t="s">
        <v>6</v>
      </c>
      <c r="F1866" t="s">
        <v>7</v>
      </c>
      <c r="G1866" s="1">
        <f t="shared" si="87"/>
        <v>45079</v>
      </c>
      <c r="H1866">
        <f t="shared" si="88"/>
        <v>2</v>
      </c>
      <c r="I1866">
        <f t="shared" si="89"/>
        <v>0</v>
      </c>
      <c r="J1866">
        <f>IF(Table1[[#This Row],[Active_months]]&gt;=1, 1, 0)</f>
        <v>1</v>
      </c>
    </row>
    <row r="1867" spans="1:10" x14ac:dyDescent="0.3">
      <c r="A1867">
        <v>214510838</v>
      </c>
      <c r="B1867" s="1">
        <v>45046</v>
      </c>
      <c r="C1867" s="1">
        <v>45083</v>
      </c>
      <c r="D1867">
        <v>39</v>
      </c>
      <c r="E1867" t="s">
        <v>6</v>
      </c>
      <c r="F1867" t="s">
        <v>7</v>
      </c>
      <c r="G1867" s="1">
        <f t="shared" si="87"/>
        <v>45083</v>
      </c>
      <c r="H1867">
        <f t="shared" si="88"/>
        <v>2</v>
      </c>
      <c r="I1867">
        <f t="shared" si="89"/>
        <v>0</v>
      </c>
      <c r="J1867">
        <f>IF(Table1[[#This Row],[Active_months]]&gt;=1, 1, 0)</f>
        <v>1</v>
      </c>
    </row>
    <row r="1868" spans="1:10" x14ac:dyDescent="0.3">
      <c r="A1868">
        <v>211383216</v>
      </c>
      <c r="B1868" s="1">
        <v>45046</v>
      </c>
      <c r="C1868" s="1">
        <v>45048</v>
      </c>
      <c r="D1868">
        <v>39</v>
      </c>
      <c r="E1868" t="s">
        <v>6</v>
      </c>
      <c r="F1868" t="s">
        <v>7</v>
      </c>
      <c r="G1868" s="1">
        <f t="shared" si="87"/>
        <v>45048</v>
      </c>
      <c r="H1868">
        <f t="shared" si="88"/>
        <v>1</v>
      </c>
      <c r="I1868">
        <f t="shared" si="89"/>
        <v>0</v>
      </c>
      <c r="J1868">
        <f>IF(Table1[[#This Row],[Active_months]]&gt;=1, 1, 0)</f>
        <v>1</v>
      </c>
    </row>
    <row r="1869" spans="1:10" x14ac:dyDescent="0.3">
      <c r="A1869">
        <v>214641741</v>
      </c>
      <c r="B1869" s="1">
        <v>45046</v>
      </c>
      <c r="C1869" s="1">
        <v>45047</v>
      </c>
      <c r="D1869">
        <v>39</v>
      </c>
      <c r="E1869" t="s">
        <v>6</v>
      </c>
      <c r="F1869" t="s">
        <v>7</v>
      </c>
      <c r="G1869" s="1">
        <f t="shared" si="87"/>
        <v>45047</v>
      </c>
      <c r="H1869">
        <f t="shared" si="88"/>
        <v>1</v>
      </c>
      <c r="I1869">
        <f t="shared" si="89"/>
        <v>0</v>
      </c>
      <c r="J1869">
        <f>IF(Table1[[#This Row],[Active_months]]&gt;=1, 1, 0)</f>
        <v>1</v>
      </c>
    </row>
    <row r="1870" spans="1:10" x14ac:dyDescent="0.3">
      <c r="A1870">
        <v>214643362</v>
      </c>
      <c r="B1870" s="1">
        <v>45046</v>
      </c>
      <c r="C1870" s="1">
        <v>45107</v>
      </c>
      <c r="D1870">
        <v>39</v>
      </c>
      <c r="E1870" t="s">
        <v>6</v>
      </c>
      <c r="F1870" t="s">
        <v>7</v>
      </c>
      <c r="G1870" s="1">
        <f t="shared" si="87"/>
        <v>45107</v>
      </c>
      <c r="H1870">
        <f t="shared" si="88"/>
        <v>2</v>
      </c>
      <c r="I1870">
        <f t="shared" si="89"/>
        <v>0</v>
      </c>
      <c r="J1870">
        <f>IF(Table1[[#This Row],[Active_months]]&gt;=1, 1, 0)</f>
        <v>1</v>
      </c>
    </row>
    <row r="1871" spans="1:10" x14ac:dyDescent="0.3">
      <c r="A1871">
        <v>214419772</v>
      </c>
      <c r="B1871" s="1">
        <v>45047</v>
      </c>
      <c r="D1871">
        <v>39</v>
      </c>
      <c r="E1871" t="s">
        <v>6</v>
      </c>
      <c r="F1871" t="s">
        <v>7</v>
      </c>
      <c r="G1871" s="1">
        <f t="shared" si="87"/>
        <v>45199</v>
      </c>
      <c r="H1871">
        <f t="shared" si="88"/>
        <v>4</v>
      </c>
      <c r="I1871">
        <f t="shared" si="89"/>
        <v>0</v>
      </c>
      <c r="J1871">
        <f>IF(Table1[[#This Row],[Active_months]]&gt;=1, 1, 0)</f>
        <v>1</v>
      </c>
    </row>
    <row r="1872" spans="1:10" x14ac:dyDescent="0.3">
      <c r="A1872">
        <v>213227787</v>
      </c>
      <c r="B1872" s="1">
        <v>45047</v>
      </c>
      <c r="D1872">
        <v>39</v>
      </c>
      <c r="E1872" t="s">
        <v>6</v>
      </c>
      <c r="F1872" t="s">
        <v>7</v>
      </c>
      <c r="G1872" s="1">
        <f t="shared" si="87"/>
        <v>45199</v>
      </c>
      <c r="H1872">
        <f t="shared" si="88"/>
        <v>4</v>
      </c>
      <c r="I1872">
        <f t="shared" si="89"/>
        <v>0</v>
      </c>
      <c r="J1872">
        <f>IF(Table1[[#This Row],[Active_months]]&gt;=1, 1, 0)</f>
        <v>1</v>
      </c>
    </row>
    <row r="1873" spans="1:10" x14ac:dyDescent="0.3">
      <c r="A1873">
        <v>214666572</v>
      </c>
      <c r="B1873" s="1">
        <v>45047</v>
      </c>
      <c r="D1873">
        <v>39</v>
      </c>
      <c r="E1873" t="s">
        <v>6</v>
      </c>
      <c r="F1873" t="s">
        <v>7</v>
      </c>
      <c r="G1873" s="1">
        <f t="shared" si="87"/>
        <v>45199</v>
      </c>
      <c r="H1873">
        <f t="shared" si="88"/>
        <v>4</v>
      </c>
      <c r="I1873">
        <f t="shared" si="89"/>
        <v>0</v>
      </c>
      <c r="J1873">
        <f>IF(Table1[[#This Row],[Active_months]]&gt;=1, 1, 0)</f>
        <v>1</v>
      </c>
    </row>
    <row r="1874" spans="1:10" x14ac:dyDescent="0.3">
      <c r="A1874">
        <v>126780716</v>
      </c>
      <c r="B1874" s="1">
        <v>45047</v>
      </c>
      <c r="C1874" s="1">
        <v>45078</v>
      </c>
      <c r="D1874">
        <v>39</v>
      </c>
      <c r="E1874" t="s">
        <v>6</v>
      </c>
      <c r="F1874" t="s">
        <v>7</v>
      </c>
      <c r="G1874" s="1">
        <f t="shared" si="87"/>
        <v>45078</v>
      </c>
      <c r="H1874">
        <f t="shared" si="88"/>
        <v>1</v>
      </c>
      <c r="I1874">
        <f t="shared" si="89"/>
        <v>0</v>
      </c>
      <c r="J1874">
        <f>IF(Table1[[#This Row],[Active_months]]&gt;=1, 1, 0)</f>
        <v>1</v>
      </c>
    </row>
    <row r="1875" spans="1:10" x14ac:dyDescent="0.3">
      <c r="A1875">
        <v>214682826</v>
      </c>
      <c r="B1875" s="1">
        <v>45047</v>
      </c>
      <c r="C1875" s="1">
        <v>45078</v>
      </c>
      <c r="D1875">
        <v>39</v>
      </c>
      <c r="E1875" t="s">
        <v>6</v>
      </c>
      <c r="F1875" t="s">
        <v>7</v>
      </c>
      <c r="G1875" s="1">
        <f t="shared" si="87"/>
        <v>45078</v>
      </c>
      <c r="H1875">
        <f t="shared" si="88"/>
        <v>1</v>
      </c>
      <c r="I1875">
        <f t="shared" si="89"/>
        <v>0</v>
      </c>
      <c r="J1875">
        <f>IF(Table1[[#This Row],[Active_months]]&gt;=1, 1, 0)</f>
        <v>1</v>
      </c>
    </row>
    <row r="1876" spans="1:10" x14ac:dyDescent="0.3">
      <c r="A1876">
        <v>212392663</v>
      </c>
      <c r="B1876" s="1">
        <v>45047</v>
      </c>
      <c r="C1876" s="1">
        <v>45070</v>
      </c>
      <c r="D1876">
        <v>39</v>
      </c>
      <c r="E1876" t="s">
        <v>6</v>
      </c>
      <c r="F1876" t="s">
        <v>7</v>
      </c>
      <c r="G1876" s="1">
        <f t="shared" si="87"/>
        <v>45070</v>
      </c>
      <c r="H1876">
        <f t="shared" si="88"/>
        <v>0</v>
      </c>
      <c r="I1876">
        <f t="shared" si="89"/>
        <v>0</v>
      </c>
      <c r="J1876">
        <f>IF(Table1[[#This Row],[Active_months]]&gt;=1, 1, 0)</f>
        <v>0</v>
      </c>
    </row>
    <row r="1877" spans="1:10" x14ac:dyDescent="0.3">
      <c r="A1877">
        <v>147118133</v>
      </c>
      <c r="B1877" s="1">
        <v>45047</v>
      </c>
      <c r="C1877" s="1">
        <v>45146</v>
      </c>
      <c r="D1877">
        <v>39</v>
      </c>
      <c r="E1877" t="s">
        <v>6</v>
      </c>
      <c r="F1877" t="s">
        <v>7</v>
      </c>
      <c r="G1877" s="1">
        <f t="shared" si="87"/>
        <v>45146</v>
      </c>
      <c r="H1877">
        <f t="shared" si="88"/>
        <v>3</v>
      </c>
      <c r="I1877">
        <f t="shared" si="89"/>
        <v>0</v>
      </c>
      <c r="J1877">
        <f>IF(Table1[[#This Row],[Active_months]]&gt;=1, 1, 0)</f>
        <v>1</v>
      </c>
    </row>
    <row r="1878" spans="1:10" x14ac:dyDescent="0.3">
      <c r="A1878">
        <v>157031617</v>
      </c>
      <c r="B1878" s="1">
        <v>45048</v>
      </c>
      <c r="D1878">
        <v>39</v>
      </c>
      <c r="E1878" t="s">
        <v>6</v>
      </c>
      <c r="F1878" t="s">
        <v>7</v>
      </c>
      <c r="G1878" s="1">
        <f t="shared" si="87"/>
        <v>45199</v>
      </c>
      <c r="H1878">
        <f t="shared" si="88"/>
        <v>4</v>
      </c>
      <c r="I1878">
        <f t="shared" si="89"/>
        <v>0</v>
      </c>
      <c r="J1878">
        <f>IF(Table1[[#This Row],[Active_months]]&gt;=1, 1, 0)</f>
        <v>1</v>
      </c>
    </row>
    <row r="1879" spans="1:10" x14ac:dyDescent="0.3">
      <c r="A1879">
        <v>211958379</v>
      </c>
      <c r="B1879" s="1">
        <v>45048</v>
      </c>
      <c r="D1879">
        <v>39</v>
      </c>
      <c r="E1879" t="s">
        <v>6</v>
      </c>
      <c r="F1879" t="s">
        <v>7</v>
      </c>
      <c r="G1879" s="1">
        <f t="shared" si="87"/>
        <v>45199</v>
      </c>
      <c r="H1879">
        <f t="shared" si="88"/>
        <v>4</v>
      </c>
      <c r="I1879">
        <f t="shared" si="89"/>
        <v>0</v>
      </c>
      <c r="J1879">
        <f>IF(Table1[[#This Row],[Active_months]]&gt;=1, 1, 0)</f>
        <v>1</v>
      </c>
    </row>
    <row r="1880" spans="1:10" x14ac:dyDescent="0.3">
      <c r="A1880">
        <v>152310842</v>
      </c>
      <c r="B1880" s="1">
        <v>45048</v>
      </c>
      <c r="D1880">
        <v>39</v>
      </c>
      <c r="E1880" t="s">
        <v>6</v>
      </c>
      <c r="F1880" t="s">
        <v>7</v>
      </c>
      <c r="G1880" s="1">
        <f t="shared" si="87"/>
        <v>45199</v>
      </c>
      <c r="H1880">
        <f t="shared" si="88"/>
        <v>4</v>
      </c>
      <c r="I1880">
        <f t="shared" si="89"/>
        <v>0</v>
      </c>
      <c r="J1880">
        <f>IF(Table1[[#This Row],[Active_months]]&gt;=1, 1, 0)</f>
        <v>1</v>
      </c>
    </row>
    <row r="1881" spans="1:10" x14ac:dyDescent="0.3">
      <c r="A1881">
        <v>214711907</v>
      </c>
      <c r="B1881" s="1">
        <v>45048</v>
      </c>
      <c r="D1881">
        <v>39</v>
      </c>
      <c r="E1881" t="s">
        <v>6</v>
      </c>
      <c r="F1881" t="s">
        <v>7</v>
      </c>
      <c r="G1881" s="1">
        <f t="shared" si="87"/>
        <v>45199</v>
      </c>
      <c r="H1881">
        <f t="shared" si="88"/>
        <v>4</v>
      </c>
      <c r="I1881">
        <f t="shared" si="89"/>
        <v>0</v>
      </c>
      <c r="J1881">
        <f>IF(Table1[[#This Row],[Active_months]]&gt;=1, 1, 0)</f>
        <v>1</v>
      </c>
    </row>
    <row r="1882" spans="1:10" x14ac:dyDescent="0.3">
      <c r="A1882">
        <v>150342446</v>
      </c>
      <c r="B1882" s="1">
        <v>45048</v>
      </c>
      <c r="C1882" s="1">
        <v>45049</v>
      </c>
      <c r="D1882">
        <v>39</v>
      </c>
      <c r="E1882" t="s">
        <v>6</v>
      </c>
      <c r="F1882" t="s">
        <v>7</v>
      </c>
      <c r="G1882" s="1">
        <f t="shared" si="87"/>
        <v>45049</v>
      </c>
      <c r="H1882">
        <f t="shared" si="88"/>
        <v>0</v>
      </c>
      <c r="I1882">
        <f t="shared" si="89"/>
        <v>0</v>
      </c>
      <c r="J1882">
        <f>IF(Table1[[#This Row],[Active_months]]&gt;=1, 1, 0)</f>
        <v>0</v>
      </c>
    </row>
    <row r="1883" spans="1:10" x14ac:dyDescent="0.3">
      <c r="A1883">
        <v>214741130</v>
      </c>
      <c r="B1883" s="1">
        <v>45048</v>
      </c>
      <c r="C1883" s="1">
        <v>45116</v>
      </c>
      <c r="D1883">
        <v>39</v>
      </c>
      <c r="E1883" t="s">
        <v>6</v>
      </c>
      <c r="F1883" t="s">
        <v>7</v>
      </c>
      <c r="G1883" s="1">
        <f t="shared" si="87"/>
        <v>45116</v>
      </c>
      <c r="H1883">
        <f t="shared" si="88"/>
        <v>2</v>
      </c>
      <c r="I1883">
        <f t="shared" si="89"/>
        <v>0</v>
      </c>
      <c r="J1883">
        <f>IF(Table1[[#This Row],[Active_months]]&gt;=1, 1, 0)</f>
        <v>1</v>
      </c>
    </row>
    <row r="1884" spans="1:10" x14ac:dyDescent="0.3">
      <c r="A1884">
        <v>214734037</v>
      </c>
      <c r="B1884" s="1">
        <v>45048</v>
      </c>
      <c r="C1884" s="1">
        <v>45096</v>
      </c>
      <c r="D1884">
        <v>39</v>
      </c>
      <c r="E1884" t="s">
        <v>6</v>
      </c>
      <c r="F1884" t="s">
        <v>7</v>
      </c>
      <c r="G1884" s="1">
        <f t="shared" si="87"/>
        <v>45096</v>
      </c>
      <c r="H1884">
        <f t="shared" si="88"/>
        <v>1</v>
      </c>
      <c r="I1884">
        <f t="shared" si="89"/>
        <v>0</v>
      </c>
      <c r="J1884">
        <f>IF(Table1[[#This Row],[Active_months]]&gt;=1, 1, 0)</f>
        <v>1</v>
      </c>
    </row>
    <row r="1885" spans="1:10" x14ac:dyDescent="0.3">
      <c r="A1885">
        <v>214500293</v>
      </c>
      <c r="B1885" s="1">
        <v>45048</v>
      </c>
      <c r="C1885" s="1">
        <v>45083</v>
      </c>
      <c r="D1885">
        <v>39</v>
      </c>
      <c r="E1885" t="s">
        <v>6</v>
      </c>
      <c r="F1885" t="s">
        <v>7</v>
      </c>
      <c r="G1885" s="1">
        <f t="shared" si="87"/>
        <v>45083</v>
      </c>
      <c r="H1885">
        <f t="shared" si="88"/>
        <v>1</v>
      </c>
      <c r="I1885">
        <f t="shared" si="89"/>
        <v>0</v>
      </c>
      <c r="J1885">
        <f>IF(Table1[[#This Row],[Active_months]]&gt;=1, 1, 0)</f>
        <v>1</v>
      </c>
    </row>
    <row r="1886" spans="1:10" x14ac:dyDescent="0.3">
      <c r="A1886">
        <v>214587827</v>
      </c>
      <c r="B1886" s="1">
        <v>45048</v>
      </c>
      <c r="C1886" s="1">
        <v>45139</v>
      </c>
      <c r="D1886">
        <v>39</v>
      </c>
      <c r="E1886" t="s">
        <v>6</v>
      </c>
      <c r="F1886" t="s">
        <v>7</v>
      </c>
      <c r="G1886" s="1">
        <f t="shared" si="87"/>
        <v>45139</v>
      </c>
      <c r="H1886">
        <f t="shared" si="88"/>
        <v>3</v>
      </c>
      <c r="I1886">
        <f t="shared" si="89"/>
        <v>0</v>
      </c>
      <c r="J1886">
        <f>IF(Table1[[#This Row],[Active_months]]&gt;=1, 1, 0)</f>
        <v>1</v>
      </c>
    </row>
    <row r="1887" spans="1:10" x14ac:dyDescent="0.3">
      <c r="A1887">
        <v>214739055</v>
      </c>
      <c r="B1887" s="1">
        <v>45048</v>
      </c>
      <c r="C1887" s="1">
        <v>45147</v>
      </c>
      <c r="D1887">
        <v>39</v>
      </c>
      <c r="E1887" t="s">
        <v>6</v>
      </c>
      <c r="F1887" t="s">
        <v>7</v>
      </c>
      <c r="G1887" s="1">
        <f t="shared" si="87"/>
        <v>45147</v>
      </c>
      <c r="H1887">
        <f t="shared" si="88"/>
        <v>3</v>
      </c>
      <c r="I1887">
        <f t="shared" si="89"/>
        <v>0</v>
      </c>
      <c r="J1887">
        <f>IF(Table1[[#This Row],[Active_months]]&gt;=1, 1, 0)</f>
        <v>1</v>
      </c>
    </row>
    <row r="1888" spans="1:10" x14ac:dyDescent="0.3">
      <c r="A1888">
        <v>163103693</v>
      </c>
      <c r="B1888" s="1">
        <v>45048</v>
      </c>
      <c r="C1888" s="1">
        <v>45160</v>
      </c>
      <c r="D1888">
        <v>39</v>
      </c>
      <c r="E1888" t="s">
        <v>6</v>
      </c>
      <c r="F1888" t="s">
        <v>7</v>
      </c>
      <c r="G1888" s="1">
        <f t="shared" si="87"/>
        <v>45160</v>
      </c>
      <c r="H1888">
        <f t="shared" si="88"/>
        <v>3</v>
      </c>
      <c r="I1888">
        <f t="shared" si="89"/>
        <v>0</v>
      </c>
      <c r="J1888">
        <f>IF(Table1[[#This Row],[Active_months]]&gt;=1, 1, 0)</f>
        <v>1</v>
      </c>
    </row>
    <row r="1889" spans="1:10" x14ac:dyDescent="0.3">
      <c r="A1889">
        <v>214483378</v>
      </c>
      <c r="B1889" s="1">
        <v>45049</v>
      </c>
      <c r="D1889">
        <v>39</v>
      </c>
      <c r="E1889" t="s">
        <v>6</v>
      </c>
      <c r="F1889" t="s">
        <v>7</v>
      </c>
      <c r="G1889" s="1">
        <f t="shared" si="87"/>
        <v>45199</v>
      </c>
      <c r="H1889">
        <f t="shared" si="88"/>
        <v>4</v>
      </c>
      <c r="I1889">
        <f t="shared" si="89"/>
        <v>0</v>
      </c>
      <c r="J1889">
        <f>IF(Table1[[#This Row],[Active_months]]&gt;=1, 1, 0)</f>
        <v>1</v>
      </c>
    </row>
    <row r="1890" spans="1:10" x14ac:dyDescent="0.3">
      <c r="A1890">
        <v>157883110</v>
      </c>
      <c r="B1890" s="1">
        <v>45049</v>
      </c>
      <c r="D1890">
        <v>39</v>
      </c>
      <c r="E1890" t="s">
        <v>6</v>
      </c>
      <c r="F1890" t="s">
        <v>7</v>
      </c>
      <c r="G1890" s="1">
        <f t="shared" si="87"/>
        <v>45199</v>
      </c>
      <c r="H1890">
        <f t="shared" si="88"/>
        <v>4</v>
      </c>
      <c r="I1890">
        <f t="shared" si="89"/>
        <v>0</v>
      </c>
      <c r="J1890">
        <f>IF(Table1[[#This Row],[Active_months]]&gt;=1, 1, 0)</f>
        <v>1</v>
      </c>
    </row>
    <row r="1891" spans="1:10" x14ac:dyDescent="0.3">
      <c r="A1891">
        <v>132424181</v>
      </c>
      <c r="B1891" s="1">
        <v>45049</v>
      </c>
      <c r="C1891" s="1">
        <v>45122</v>
      </c>
      <c r="D1891">
        <v>39</v>
      </c>
      <c r="E1891" t="s">
        <v>6</v>
      </c>
      <c r="F1891" t="s">
        <v>7</v>
      </c>
      <c r="G1891" s="1">
        <f t="shared" si="87"/>
        <v>45122</v>
      </c>
      <c r="H1891">
        <f t="shared" si="88"/>
        <v>2</v>
      </c>
      <c r="I1891">
        <f t="shared" si="89"/>
        <v>0</v>
      </c>
      <c r="J1891">
        <f>IF(Table1[[#This Row],[Active_months]]&gt;=1, 1, 0)</f>
        <v>1</v>
      </c>
    </row>
    <row r="1892" spans="1:10" x14ac:dyDescent="0.3">
      <c r="A1892">
        <v>214805206</v>
      </c>
      <c r="B1892" s="1">
        <v>45049</v>
      </c>
      <c r="C1892" s="1">
        <v>45097</v>
      </c>
      <c r="D1892">
        <v>39</v>
      </c>
      <c r="E1892" t="s">
        <v>6</v>
      </c>
      <c r="F1892" t="s">
        <v>7</v>
      </c>
      <c r="G1892" s="1">
        <f t="shared" si="87"/>
        <v>45097</v>
      </c>
      <c r="H1892">
        <f t="shared" si="88"/>
        <v>1</v>
      </c>
      <c r="I1892">
        <f t="shared" si="89"/>
        <v>0</v>
      </c>
      <c r="J1892">
        <f>IF(Table1[[#This Row],[Active_months]]&gt;=1, 1, 0)</f>
        <v>1</v>
      </c>
    </row>
    <row r="1893" spans="1:10" x14ac:dyDescent="0.3">
      <c r="A1893">
        <v>214641940</v>
      </c>
      <c r="B1893" s="1">
        <v>45049</v>
      </c>
      <c r="C1893" s="1">
        <v>45087</v>
      </c>
      <c r="D1893">
        <v>39</v>
      </c>
      <c r="E1893" t="s">
        <v>6</v>
      </c>
      <c r="F1893" t="s">
        <v>7</v>
      </c>
      <c r="G1893" s="1">
        <f t="shared" si="87"/>
        <v>45087</v>
      </c>
      <c r="H1893">
        <f t="shared" si="88"/>
        <v>1</v>
      </c>
      <c r="I1893">
        <f t="shared" si="89"/>
        <v>0</v>
      </c>
      <c r="J1893">
        <f>IF(Table1[[#This Row],[Active_months]]&gt;=1, 1, 0)</f>
        <v>1</v>
      </c>
    </row>
    <row r="1894" spans="1:10" x14ac:dyDescent="0.3">
      <c r="A1894">
        <v>206112289</v>
      </c>
      <c r="B1894" s="1">
        <v>45049</v>
      </c>
      <c r="C1894" s="1">
        <v>45089</v>
      </c>
      <c r="D1894">
        <v>39</v>
      </c>
      <c r="E1894" t="s">
        <v>6</v>
      </c>
      <c r="F1894" t="s">
        <v>7</v>
      </c>
      <c r="G1894" s="1">
        <f t="shared" si="87"/>
        <v>45089</v>
      </c>
      <c r="H1894">
        <f t="shared" si="88"/>
        <v>1</v>
      </c>
      <c r="I1894">
        <f t="shared" si="89"/>
        <v>0</v>
      </c>
      <c r="J1894">
        <f>IF(Table1[[#This Row],[Active_months]]&gt;=1, 1, 0)</f>
        <v>1</v>
      </c>
    </row>
    <row r="1895" spans="1:10" x14ac:dyDescent="0.3">
      <c r="A1895">
        <v>214781323</v>
      </c>
      <c r="B1895" s="1">
        <v>45049</v>
      </c>
      <c r="C1895" s="1">
        <v>45070</v>
      </c>
      <c r="D1895">
        <v>39</v>
      </c>
      <c r="E1895" t="s">
        <v>6</v>
      </c>
      <c r="F1895" t="s">
        <v>7</v>
      </c>
      <c r="G1895" s="1">
        <f t="shared" si="87"/>
        <v>45070</v>
      </c>
      <c r="H1895">
        <f t="shared" si="88"/>
        <v>0</v>
      </c>
      <c r="I1895">
        <f t="shared" si="89"/>
        <v>0</v>
      </c>
      <c r="J1895">
        <f>IF(Table1[[#This Row],[Active_months]]&gt;=1, 1, 0)</f>
        <v>0</v>
      </c>
    </row>
    <row r="1896" spans="1:10" x14ac:dyDescent="0.3">
      <c r="A1896">
        <v>214767936</v>
      </c>
      <c r="B1896" s="1">
        <v>45049</v>
      </c>
      <c r="C1896" s="1">
        <v>45049</v>
      </c>
      <c r="D1896">
        <v>39</v>
      </c>
      <c r="E1896" t="s">
        <v>6</v>
      </c>
      <c r="F1896" t="s">
        <v>7</v>
      </c>
      <c r="G1896" s="1">
        <f t="shared" si="87"/>
        <v>45049</v>
      </c>
      <c r="H1896">
        <f t="shared" si="88"/>
        <v>0</v>
      </c>
      <c r="I1896">
        <f t="shared" si="89"/>
        <v>0</v>
      </c>
      <c r="J1896">
        <f>IF(Table1[[#This Row],[Active_months]]&gt;=1, 1, 0)</f>
        <v>0</v>
      </c>
    </row>
    <row r="1897" spans="1:10" x14ac:dyDescent="0.3">
      <c r="A1897">
        <v>182023209</v>
      </c>
      <c r="B1897" s="1">
        <v>45049</v>
      </c>
      <c r="C1897" s="1">
        <v>45060</v>
      </c>
      <c r="D1897">
        <v>39</v>
      </c>
      <c r="E1897" t="s">
        <v>6</v>
      </c>
      <c r="F1897" t="s">
        <v>7</v>
      </c>
      <c r="G1897" s="1">
        <f t="shared" si="87"/>
        <v>45060</v>
      </c>
      <c r="H1897">
        <f t="shared" si="88"/>
        <v>0</v>
      </c>
      <c r="I1897">
        <f t="shared" si="89"/>
        <v>0</v>
      </c>
      <c r="J1897">
        <f>IF(Table1[[#This Row],[Active_months]]&gt;=1, 1, 0)</f>
        <v>0</v>
      </c>
    </row>
    <row r="1898" spans="1:10" x14ac:dyDescent="0.3">
      <c r="A1898">
        <v>148513036</v>
      </c>
      <c r="B1898" s="1">
        <v>45050</v>
      </c>
      <c r="D1898">
        <v>39</v>
      </c>
      <c r="E1898" t="s">
        <v>6</v>
      </c>
      <c r="F1898" t="s">
        <v>7</v>
      </c>
      <c r="G1898" s="1">
        <f t="shared" si="87"/>
        <v>45199</v>
      </c>
      <c r="H1898">
        <f t="shared" si="88"/>
        <v>4</v>
      </c>
      <c r="I1898">
        <f t="shared" si="89"/>
        <v>0</v>
      </c>
      <c r="J1898">
        <f>IF(Table1[[#This Row],[Active_months]]&gt;=1, 1, 0)</f>
        <v>1</v>
      </c>
    </row>
    <row r="1899" spans="1:10" x14ac:dyDescent="0.3">
      <c r="A1899">
        <v>157910445</v>
      </c>
      <c r="B1899" s="1">
        <v>45050</v>
      </c>
      <c r="D1899">
        <v>39</v>
      </c>
      <c r="E1899" t="s">
        <v>6</v>
      </c>
      <c r="F1899" t="s">
        <v>7</v>
      </c>
      <c r="G1899" s="1">
        <f t="shared" si="87"/>
        <v>45199</v>
      </c>
      <c r="H1899">
        <f t="shared" si="88"/>
        <v>4</v>
      </c>
      <c r="I1899">
        <f t="shared" si="89"/>
        <v>0</v>
      </c>
      <c r="J1899">
        <f>IF(Table1[[#This Row],[Active_months]]&gt;=1, 1, 0)</f>
        <v>1</v>
      </c>
    </row>
    <row r="1900" spans="1:10" x14ac:dyDescent="0.3">
      <c r="A1900">
        <v>213810773</v>
      </c>
      <c r="B1900" s="1">
        <v>45050</v>
      </c>
      <c r="C1900" s="1">
        <v>45174</v>
      </c>
      <c r="D1900">
        <v>39</v>
      </c>
      <c r="E1900" t="s">
        <v>6</v>
      </c>
      <c r="F1900" t="s">
        <v>7</v>
      </c>
      <c r="G1900" s="1">
        <f t="shared" si="87"/>
        <v>45174</v>
      </c>
      <c r="H1900">
        <f t="shared" si="88"/>
        <v>4</v>
      </c>
      <c r="I1900">
        <f t="shared" si="89"/>
        <v>0</v>
      </c>
      <c r="J1900">
        <f>IF(Table1[[#This Row],[Active_months]]&gt;=1, 1, 0)</f>
        <v>1</v>
      </c>
    </row>
    <row r="1901" spans="1:10" x14ac:dyDescent="0.3">
      <c r="A1901">
        <v>154820233</v>
      </c>
      <c r="B1901" s="1">
        <v>45050</v>
      </c>
      <c r="C1901" s="1">
        <v>45112</v>
      </c>
      <c r="D1901">
        <v>39</v>
      </c>
      <c r="E1901" t="s">
        <v>6</v>
      </c>
      <c r="F1901" t="s">
        <v>7</v>
      </c>
      <c r="G1901" s="1">
        <f t="shared" si="87"/>
        <v>45112</v>
      </c>
      <c r="H1901">
        <f t="shared" si="88"/>
        <v>2</v>
      </c>
      <c r="I1901">
        <f t="shared" si="89"/>
        <v>0</v>
      </c>
      <c r="J1901">
        <f>IF(Table1[[#This Row],[Active_months]]&gt;=1, 1, 0)</f>
        <v>1</v>
      </c>
    </row>
    <row r="1902" spans="1:10" x14ac:dyDescent="0.3">
      <c r="A1902">
        <v>214248197</v>
      </c>
      <c r="B1902" s="1">
        <v>45050</v>
      </c>
      <c r="C1902" s="1">
        <v>45079</v>
      </c>
      <c r="D1902">
        <v>39</v>
      </c>
      <c r="E1902" t="s">
        <v>6</v>
      </c>
      <c r="F1902" t="s">
        <v>7</v>
      </c>
      <c r="G1902" s="1">
        <f t="shared" si="87"/>
        <v>45079</v>
      </c>
      <c r="H1902">
        <f t="shared" si="88"/>
        <v>1</v>
      </c>
      <c r="I1902">
        <f t="shared" si="89"/>
        <v>0</v>
      </c>
      <c r="J1902">
        <f>IF(Table1[[#This Row],[Active_months]]&gt;=1, 1, 0)</f>
        <v>1</v>
      </c>
    </row>
    <row r="1903" spans="1:10" x14ac:dyDescent="0.3">
      <c r="A1903">
        <v>214818730</v>
      </c>
      <c r="B1903" s="1">
        <v>45050</v>
      </c>
      <c r="C1903" s="1">
        <v>45078</v>
      </c>
      <c r="D1903">
        <v>39</v>
      </c>
      <c r="E1903" t="s">
        <v>6</v>
      </c>
      <c r="F1903" t="s">
        <v>7</v>
      </c>
      <c r="G1903" s="1">
        <f t="shared" si="87"/>
        <v>45078</v>
      </c>
      <c r="H1903">
        <f t="shared" si="88"/>
        <v>1</v>
      </c>
      <c r="I1903">
        <f t="shared" si="89"/>
        <v>0</v>
      </c>
      <c r="J1903">
        <f>IF(Table1[[#This Row],[Active_months]]&gt;=1, 1, 0)</f>
        <v>1</v>
      </c>
    </row>
    <row r="1904" spans="1:10" x14ac:dyDescent="0.3">
      <c r="A1904">
        <v>186667733</v>
      </c>
      <c r="B1904" s="1">
        <v>45050</v>
      </c>
      <c r="C1904" s="1">
        <v>45078</v>
      </c>
      <c r="D1904">
        <v>39</v>
      </c>
      <c r="E1904" t="s">
        <v>6</v>
      </c>
      <c r="F1904" t="s">
        <v>7</v>
      </c>
      <c r="G1904" s="1">
        <f t="shared" si="87"/>
        <v>45078</v>
      </c>
      <c r="H1904">
        <f t="shared" si="88"/>
        <v>1</v>
      </c>
      <c r="I1904">
        <f t="shared" si="89"/>
        <v>0</v>
      </c>
      <c r="J1904">
        <f>IF(Table1[[#This Row],[Active_months]]&gt;=1, 1, 0)</f>
        <v>1</v>
      </c>
    </row>
    <row r="1905" spans="1:10" x14ac:dyDescent="0.3">
      <c r="A1905">
        <v>214901781</v>
      </c>
      <c r="B1905" s="1">
        <v>45051</v>
      </c>
      <c r="D1905">
        <v>39</v>
      </c>
      <c r="E1905" t="s">
        <v>6</v>
      </c>
      <c r="F1905" t="s">
        <v>7</v>
      </c>
      <c r="G1905" s="1">
        <f t="shared" si="87"/>
        <v>45199</v>
      </c>
      <c r="H1905">
        <f t="shared" si="88"/>
        <v>4</v>
      </c>
      <c r="I1905">
        <f t="shared" si="89"/>
        <v>0</v>
      </c>
      <c r="J1905">
        <f>IF(Table1[[#This Row],[Active_months]]&gt;=1, 1, 0)</f>
        <v>1</v>
      </c>
    </row>
    <row r="1906" spans="1:10" x14ac:dyDescent="0.3">
      <c r="A1906">
        <v>214884589</v>
      </c>
      <c r="B1906" s="1">
        <v>45051</v>
      </c>
      <c r="D1906">
        <v>39</v>
      </c>
      <c r="E1906" t="s">
        <v>6</v>
      </c>
      <c r="F1906" t="s">
        <v>7</v>
      </c>
      <c r="G1906" s="1">
        <f t="shared" si="87"/>
        <v>45199</v>
      </c>
      <c r="H1906">
        <f t="shared" si="88"/>
        <v>4</v>
      </c>
      <c r="I1906">
        <f t="shared" si="89"/>
        <v>0</v>
      </c>
      <c r="J1906">
        <f>IF(Table1[[#This Row],[Active_months]]&gt;=1, 1, 0)</f>
        <v>1</v>
      </c>
    </row>
    <row r="1907" spans="1:10" x14ac:dyDescent="0.3">
      <c r="A1907">
        <v>210344586</v>
      </c>
      <c r="B1907" s="1">
        <v>45051</v>
      </c>
      <c r="D1907">
        <v>39</v>
      </c>
      <c r="E1907" t="s">
        <v>6</v>
      </c>
      <c r="F1907" t="s">
        <v>7</v>
      </c>
      <c r="G1907" s="1">
        <f t="shared" si="87"/>
        <v>45199</v>
      </c>
      <c r="H1907">
        <f t="shared" si="88"/>
        <v>4</v>
      </c>
      <c r="I1907">
        <f t="shared" si="89"/>
        <v>0</v>
      </c>
      <c r="J1907">
        <f>IF(Table1[[#This Row],[Active_months]]&gt;=1, 1, 0)</f>
        <v>1</v>
      </c>
    </row>
    <row r="1908" spans="1:10" x14ac:dyDescent="0.3">
      <c r="A1908">
        <v>214813191</v>
      </c>
      <c r="B1908" s="1">
        <v>45051</v>
      </c>
      <c r="D1908">
        <v>39</v>
      </c>
      <c r="E1908" t="s">
        <v>6</v>
      </c>
      <c r="F1908" t="s">
        <v>7</v>
      </c>
      <c r="G1908" s="1">
        <f t="shared" si="87"/>
        <v>45199</v>
      </c>
      <c r="H1908">
        <f t="shared" si="88"/>
        <v>4</v>
      </c>
      <c r="I1908">
        <f t="shared" si="89"/>
        <v>0</v>
      </c>
      <c r="J1908">
        <f>IF(Table1[[#This Row],[Active_months]]&gt;=1, 1, 0)</f>
        <v>1</v>
      </c>
    </row>
    <row r="1909" spans="1:10" x14ac:dyDescent="0.3">
      <c r="A1909">
        <v>214880602</v>
      </c>
      <c r="B1909" s="1">
        <v>45051</v>
      </c>
      <c r="D1909">
        <v>39</v>
      </c>
      <c r="E1909" t="s">
        <v>6</v>
      </c>
      <c r="F1909" t="s">
        <v>7</v>
      </c>
      <c r="G1909" s="1">
        <f t="shared" si="87"/>
        <v>45199</v>
      </c>
      <c r="H1909">
        <f t="shared" si="88"/>
        <v>4</v>
      </c>
      <c r="I1909">
        <f t="shared" si="89"/>
        <v>0</v>
      </c>
      <c r="J1909">
        <f>IF(Table1[[#This Row],[Active_months]]&gt;=1, 1, 0)</f>
        <v>1</v>
      </c>
    </row>
    <row r="1910" spans="1:10" x14ac:dyDescent="0.3">
      <c r="A1910">
        <v>186140999</v>
      </c>
      <c r="B1910" s="1">
        <v>45051</v>
      </c>
      <c r="C1910" s="1">
        <v>45080</v>
      </c>
      <c r="D1910">
        <v>39</v>
      </c>
      <c r="E1910" t="s">
        <v>6</v>
      </c>
      <c r="F1910" t="s">
        <v>7</v>
      </c>
      <c r="G1910" s="1">
        <f t="shared" si="87"/>
        <v>45080</v>
      </c>
      <c r="H1910">
        <f t="shared" si="88"/>
        <v>1</v>
      </c>
      <c r="I1910">
        <f t="shared" si="89"/>
        <v>0</v>
      </c>
      <c r="J1910">
        <f>IF(Table1[[#This Row],[Active_months]]&gt;=1, 1, 0)</f>
        <v>1</v>
      </c>
    </row>
    <row r="1911" spans="1:10" x14ac:dyDescent="0.3">
      <c r="A1911">
        <v>214860336</v>
      </c>
      <c r="B1911" s="1">
        <v>45051</v>
      </c>
      <c r="C1911" s="1">
        <v>45110</v>
      </c>
      <c r="D1911">
        <v>39</v>
      </c>
      <c r="E1911" t="s">
        <v>6</v>
      </c>
      <c r="F1911" t="s">
        <v>7</v>
      </c>
      <c r="G1911" s="1">
        <f t="shared" si="87"/>
        <v>45110</v>
      </c>
      <c r="H1911">
        <f t="shared" si="88"/>
        <v>2</v>
      </c>
      <c r="I1911">
        <f t="shared" si="89"/>
        <v>0</v>
      </c>
      <c r="J1911">
        <f>IF(Table1[[#This Row],[Active_months]]&gt;=1, 1, 0)</f>
        <v>1</v>
      </c>
    </row>
    <row r="1912" spans="1:10" x14ac:dyDescent="0.3">
      <c r="A1912">
        <v>138725699</v>
      </c>
      <c r="B1912" s="1">
        <v>45051</v>
      </c>
      <c r="C1912" s="1">
        <v>45089</v>
      </c>
      <c r="D1912">
        <v>39</v>
      </c>
      <c r="E1912" t="s">
        <v>6</v>
      </c>
      <c r="F1912" t="s">
        <v>7</v>
      </c>
      <c r="G1912" s="1">
        <f t="shared" si="87"/>
        <v>45089</v>
      </c>
      <c r="H1912">
        <f t="shared" si="88"/>
        <v>1</v>
      </c>
      <c r="I1912">
        <f t="shared" si="89"/>
        <v>0</v>
      </c>
      <c r="J1912">
        <f>IF(Table1[[#This Row],[Active_months]]&gt;=1, 1, 0)</f>
        <v>1</v>
      </c>
    </row>
    <row r="1913" spans="1:10" x14ac:dyDescent="0.3">
      <c r="A1913">
        <v>132315255</v>
      </c>
      <c r="B1913" s="1">
        <v>45051</v>
      </c>
      <c r="C1913" s="1">
        <v>45051</v>
      </c>
      <c r="D1913">
        <v>39</v>
      </c>
      <c r="E1913" t="s">
        <v>6</v>
      </c>
      <c r="F1913" t="s">
        <v>7</v>
      </c>
      <c r="G1913" s="1">
        <f t="shared" si="87"/>
        <v>45051</v>
      </c>
      <c r="H1913">
        <f t="shared" si="88"/>
        <v>0</v>
      </c>
      <c r="I1913">
        <f t="shared" si="89"/>
        <v>0</v>
      </c>
      <c r="J1913">
        <f>IF(Table1[[#This Row],[Active_months]]&gt;=1, 1, 0)</f>
        <v>0</v>
      </c>
    </row>
    <row r="1914" spans="1:10" x14ac:dyDescent="0.3">
      <c r="A1914">
        <v>208202304</v>
      </c>
      <c r="B1914" s="1">
        <v>45051</v>
      </c>
      <c r="C1914" s="1">
        <v>45051</v>
      </c>
      <c r="D1914">
        <v>39</v>
      </c>
      <c r="E1914" t="s">
        <v>6</v>
      </c>
      <c r="F1914" t="s">
        <v>7</v>
      </c>
      <c r="G1914" s="1">
        <f t="shared" si="87"/>
        <v>45051</v>
      </c>
      <c r="H1914">
        <f t="shared" si="88"/>
        <v>0</v>
      </c>
      <c r="I1914">
        <f t="shared" si="89"/>
        <v>0</v>
      </c>
      <c r="J1914">
        <f>IF(Table1[[#This Row],[Active_months]]&gt;=1, 1, 0)</f>
        <v>0</v>
      </c>
    </row>
    <row r="1915" spans="1:10" x14ac:dyDescent="0.3">
      <c r="A1915">
        <v>214869362</v>
      </c>
      <c r="B1915" s="1">
        <v>45051</v>
      </c>
      <c r="C1915" s="1">
        <v>45077</v>
      </c>
      <c r="D1915">
        <v>39</v>
      </c>
      <c r="E1915" t="s">
        <v>6</v>
      </c>
      <c r="F1915" t="s">
        <v>7</v>
      </c>
      <c r="G1915" s="1">
        <f t="shared" si="87"/>
        <v>45077</v>
      </c>
      <c r="H1915">
        <f t="shared" si="88"/>
        <v>0</v>
      </c>
      <c r="I1915">
        <f t="shared" si="89"/>
        <v>0</v>
      </c>
      <c r="J1915">
        <f>IF(Table1[[#This Row],[Active_months]]&gt;=1, 1, 0)</f>
        <v>0</v>
      </c>
    </row>
    <row r="1916" spans="1:10" x14ac:dyDescent="0.3">
      <c r="A1916">
        <v>207118054</v>
      </c>
      <c r="B1916" s="1">
        <v>45052</v>
      </c>
      <c r="D1916">
        <v>39</v>
      </c>
      <c r="E1916" t="s">
        <v>6</v>
      </c>
      <c r="F1916" t="s">
        <v>7</v>
      </c>
      <c r="G1916" s="1">
        <f t="shared" si="87"/>
        <v>45199</v>
      </c>
      <c r="H1916">
        <f t="shared" si="88"/>
        <v>4</v>
      </c>
      <c r="I1916">
        <f t="shared" si="89"/>
        <v>0</v>
      </c>
      <c r="J1916">
        <f>IF(Table1[[#This Row],[Active_months]]&gt;=1, 1, 0)</f>
        <v>1</v>
      </c>
    </row>
    <row r="1917" spans="1:10" x14ac:dyDescent="0.3">
      <c r="A1917">
        <v>214856586</v>
      </c>
      <c r="B1917" s="1">
        <v>45052</v>
      </c>
      <c r="D1917">
        <v>39</v>
      </c>
      <c r="E1917" t="s">
        <v>6</v>
      </c>
      <c r="F1917" t="s">
        <v>7</v>
      </c>
      <c r="G1917" s="1">
        <f t="shared" si="87"/>
        <v>45199</v>
      </c>
      <c r="H1917">
        <f t="shared" si="88"/>
        <v>4</v>
      </c>
      <c r="I1917">
        <f t="shared" si="89"/>
        <v>0</v>
      </c>
      <c r="J1917">
        <f>IF(Table1[[#This Row],[Active_months]]&gt;=1, 1, 0)</f>
        <v>1</v>
      </c>
    </row>
    <row r="1918" spans="1:10" x14ac:dyDescent="0.3">
      <c r="A1918">
        <v>201945254</v>
      </c>
      <c r="B1918" s="1">
        <v>45052</v>
      </c>
      <c r="C1918" s="1">
        <v>45079</v>
      </c>
      <c r="D1918">
        <v>39</v>
      </c>
      <c r="E1918" t="s">
        <v>6</v>
      </c>
      <c r="F1918" t="s">
        <v>7</v>
      </c>
      <c r="G1918" s="1">
        <f t="shared" si="87"/>
        <v>45079</v>
      </c>
      <c r="H1918">
        <f t="shared" si="88"/>
        <v>1</v>
      </c>
      <c r="I1918">
        <f t="shared" si="89"/>
        <v>0</v>
      </c>
      <c r="J1918">
        <f>IF(Table1[[#This Row],[Active_months]]&gt;=1, 1, 0)</f>
        <v>1</v>
      </c>
    </row>
    <row r="1919" spans="1:10" x14ac:dyDescent="0.3">
      <c r="A1919">
        <v>134531651</v>
      </c>
      <c r="B1919" s="1">
        <v>45053</v>
      </c>
      <c r="D1919">
        <v>39</v>
      </c>
      <c r="E1919" t="s">
        <v>6</v>
      </c>
      <c r="F1919" t="s">
        <v>7</v>
      </c>
      <c r="G1919" s="1">
        <f t="shared" si="87"/>
        <v>45199</v>
      </c>
      <c r="H1919">
        <f t="shared" si="88"/>
        <v>4</v>
      </c>
      <c r="I1919">
        <f t="shared" si="89"/>
        <v>0</v>
      </c>
      <c r="J1919">
        <f>IF(Table1[[#This Row],[Active_months]]&gt;=1, 1, 0)</f>
        <v>1</v>
      </c>
    </row>
    <row r="1920" spans="1:10" x14ac:dyDescent="0.3">
      <c r="A1920">
        <v>204865394</v>
      </c>
      <c r="B1920" s="1">
        <v>45053</v>
      </c>
      <c r="D1920">
        <v>39</v>
      </c>
      <c r="E1920" t="s">
        <v>6</v>
      </c>
      <c r="F1920" t="s">
        <v>7</v>
      </c>
      <c r="G1920" s="1">
        <f t="shared" si="87"/>
        <v>45199</v>
      </c>
      <c r="H1920">
        <f t="shared" si="88"/>
        <v>4</v>
      </c>
      <c r="I1920">
        <f t="shared" si="89"/>
        <v>0</v>
      </c>
      <c r="J1920">
        <f>IF(Table1[[#This Row],[Active_months]]&gt;=1, 1, 0)</f>
        <v>1</v>
      </c>
    </row>
    <row r="1921" spans="1:10" x14ac:dyDescent="0.3">
      <c r="A1921">
        <v>158906669</v>
      </c>
      <c r="B1921" s="1">
        <v>45053</v>
      </c>
      <c r="D1921">
        <v>39</v>
      </c>
      <c r="E1921" t="s">
        <v>6</v>
      </c>
      <c r="F1921" t="s">
        <v>7</v>
      </c>
      <c r="G1921" s="1">
        <f t="shared" si="87"/>
        <v>45199</v>
      </c>
      <c r="H1921">
        <f t="shared" si="88"/>
        <v>4</v>
      </c>
      <c r="I1921">
        <f t="shared" si="89"/>
        <v>0</v>
      </c>
      <c r="J1921">
        <f>IF(Table1[[#This Row],[Active_months]]&gt;=1, 1, 0)</f>
        <v>1</v>
      </c>
    </row>
    <row r="1922" spans="1:10" x14ac:dyDescent="0.3">
      <c r="A1922">
        <v>125591366</v>
      </c>
      <c r="B1922" s="1">
        <v>45053</v>
      </c>
      <c r="C1922" s="1">
        <v>45144</v>
      </c>
      <c r="D1922">
        <v>39</v>
      </c>
      <c r="E1922" t="s">
        <v>6</v>
      </c>
      <c r="F1922" t="s">
        <v>7</v>
      </c>
      <c r="G1922" s="1">
        <f t="shared" si="87"/>
        <v>45144</v>
      </c>
      <c r="H1922">
        <f t="shared" si="88"/>
        <v>3</v>
      </c>
      <c r="I1922">
        <f t="shared" si="89"/>
        <v>0</v>
      </c>
      <c r="J1922">
        <f>IF(Table1[[#This Row],[Active_months]]&gt;=1, 1, 0)</f>
        <v>1</v>
      </c>
    </row>
    <row r="1923" spans="1:10" x14ac:dyDescent="0.3">
      <c r="A1923">
        <v>214839844</v>
      </c>
      <c r="B1923" s="1">
        <v>45053</v>
      </c>
      <c r="C1923" s="1">
        <v>45114</v>
      </c>
      <c r="D1923">
        <v>39</v>
      </c>
      <c r="E1923" t="s">
        <v>6</v>
      </c>
      <c r="F1923" t="s">
        <v>7</v>
      </c>
      <c r="G1923" s="1">
        <f t="shared" ref="G1923:G1986" si="90">IF(ISBLANK(C1923), DATE(2023,9,30), C1923)</f>
        <v>45114</v>
      </c>
      <c r="H1923">
        <f t="shared" ref="H1923:H1986" si="91">(YEAR(G1923)-YEAR(B1923))*12 + (MONTH(G1923)-MONTH(B1923))</f>
        <v>2</v>
      </c>
      <c r="I1923">
        <f t="shared" ref="I1923:I1986" si="92">IF(H1923 &gt;=5, 1, 0)</f>
        <v>0</v>
      </c>
      <c r="J1923">
        <f>IF(Table1[[#This Row],[Active_months]]&gt;=1, 1, 0)</f>
        <v>1</v>
      </c>
    </row>
    <row r="1924" spans="1:10" x14ac:dyDescent="0.3">
      <c r="A1924">
        <v>214939612</v>
      </c>
      <c r="B1924" s="1">
        <v>45053</v>
      </c>
      <c r="C1924" s="1">
        <v>45110</v>
      </c>
      <c r="D1924">
        <v>39</v>
      </c>
      <c r="E1924" t="s">
        <v>6</v>
      </c>
      <c r="F1924" t="s">
        <v>7</v>
      </c>
      <c r="G1924" s="1">
        <f t="shared" si="90"/>
        <v>45110</v>
      </c>
      <c r="H1924">
        <f t="shared" si="91"/>
        <v>2</v>
      </c>
      <c r="I1924">
        <f t="shared" si="92"/>
        <v>0</v>
      </c>
      <c r="J1924">
        <f>IF(Table1[[#This Row],[Active_months]]&gt;=1, 1, 0)</f>
        <v>1</v>
      </c>
    </row>
    <row r="1925" spans="1:10" x14ac:dyDescent="0.3">
      <c r="A1925">
        <v>204670100</v>
      </c>
      <c r="B1925" s="1">
        <v>45053</v>
      </c>
      <c r="C1925" s="1">
        <v>45121</v>
      </c>
      <c r="D1925">
        <v>39</v>
      </c>
      <c r="E1925" t="s">
        <v>6</v>
      </c>
      <c r="F1925" t="s">
        <v>7</v>
      </c>
      <c r="G1925" s="1">
        <f t="shared" si="90"/>
        <v>45121</v>
      </c>
      <c r="H1925">
        <f t="shared" si="91"/>
        <v>2</v>
      </c>
      <c r="I1925">
        <f t="shared" si="92"/>
        <v>0</v>
      </c>
      <c r="J1925">
        <f>IF(Table1[[#This Row],[Active_months]]&gt;=1, 1, 0)</f>
        <v>1</v>
      </c>
    </row>
    <row r="1926" spans="1:10" x14ac:dyDescent="0.3">
      <c r="A1926">
        <v>214830539</v>
      </c>
      <c r="B1926" s="1">
        <v>45053</v>
      </c>
      <c r="C1926" s="1">
        <v>45091</v>
      </c>
      <c r="D1926">
        <v>39</v>
      </c>
      <c r="E1926" t="s">
        <v>6</v>
      </c>
      <c r="F1926" t="s">
        <v>7</v>
      </c>
      <c r="G1926" s="1">
        <f t="shared" si="90"/>
        <v>45091</v>
      </c>
      <c r="H1926">
        <f t="shared" si="91"/>
        <v>1</v>
      </c>
      <c r="I1926">
        <f t="shared" si="92"/>
        <v>0</v>
      </c>
      <c r="J1926">
        <f>IF(Table1[[#This Row],[Active_months]]&gt;=1, 1, 0)</f>
        <v>1</v>
      </c>
    </row>
    <row r="1927" spans="1:10" x14ac:dyDescent="0.3">
      <c r="A1927">
        <v>185952990</v>
      </c>
      <c r="B1927" s="1">
        <v>45053</v>
      </c>
      <c r="C1927" s="1">
        <v>45087</v>
      </c>
      <c r="D1927">
        <v>39</v>
      </c>
      <c r="E1927" t="s">
        <v>6</v>
      </c>
      <c r="F1927" t="s">
        <v>7</v>
      </c>
      <c r="G1927" s="1">
        <f t="shared" si="90"/>
        <v>45087</v>
      </c>
      <c r="H1927">
        <f t="shared" si="91"/>
        <v>1</v>
      </c>
      <c r="I1927">
        <f t="shared" si="92"/>
        <v>0</v>
      </c>
      <c r="J1927">
        <f>IF(Table1[[#This Row],[Active_months]]&gt;=1, 1, 0)</f>
        <v>1</v>
      </c>
    </row>
    <row r="1928" spans="1:10" x14ac:dyDescent="0.3">
      <c r="A1928">
        <v>214936311</v>
      </c>
      <c r="B1928" s="1">
        <v>45053</v>
      </c>
      <c r="C1928" s="1">
        <v>45053</v>
      </c>
      <c r="D1928">
        <v>39</v>
      </c>
      <c r="E1928" t="s">
        <v>6</v>
      </c>
      <c r="F1928" t="s">
        <v>7</v>
      </c>
      <c r="G1928" s="1">
        <f t="shared" si="90"/>
        <v>45053</v>
      </c>
      <c r="H1928">
        <f t="shared" si="91"/>
        <v>0</v>
      </c>
      <c r="I1928">
        <f t="shared" si="92"/>
        <v>0</v>
      </c>
      <c r="J1928">
        <f>IF(Table1[[#This Row],[Active_months]]&gt;=1, 1, 0)</f>
        <v>0</v>
      </c>
    </row>
    <row r="1929" spans="1:10" x14ac:dyDescent="0.3">
      <c r="A1929">
        <v>214620392</v>
      </c>
      <c r="B1929" s="1">
        <v>45053</v>
      </c>
      <c r="C1929" s="1">
        <v>45114</v>
      </c>
      <c r="D1929">
        <v>39</v>
      </c>
      <c r="E1929" t="s">
        <v>6</v>
      </c>
      <c r="F1929" t="s">
        <v>7</v>
      </c>
      <c r="G1929" s="1">
        <f t="shared" si="90"/>
        <v>45114</v>
      </c>
      <c r="H1929">
        <f t="shared" si="91"/>
        <v>2</v>
      </c>
      <c r="I1929">
        <f t="shared" si="92"/>
        <v>0</v>
      </c>
      <c r="J1929">
        <f>IF(Table1[[#This Row],[Active_months]]&gt;=1, 1, 0)</f>
        <v>1</v>
      </c>
    </row>
    <row r="1930" spans="1:10" x14ac:dyDescent="0.3">
      <c r="A1930">
        <v>157935884</v>
      </c>
      <c r="B1930" s="1">
        <v>45054</v>
      </c>
      <c r="D1930">
        <v>39</v>
      </c>
      <c r="E1930" t="s">
        <v>6</v>
      </c>
      <c r="F1930" t="s">
        <v>7</v>
      </c>
      <c r="G1930" s="1">
        <f t="shared" si="90"/>
        <v>45199</v>
      </c>
      <c r="H1930">
        <f t="shared" si="91"/>
        <v>4</v>
      </c>
      <c r="I1930">
        <f t="shared" si="92"/>
        <v>0</v>
      </c>
      <c r="J1930">
        <f>IF(Table1[[#This Row],[Active_months]]&gt;=1, 1, 0)</f>
        <v>1</v>
      </c>
    </row>
    <row r="1931" spans="1:10" x14ac:dyDescent="0.3">
      <c r="A1931">
        <v>214945706</v>
      </c>
      <c r="B1931" s="1">
        <v>45054</v>
      </c>
      <c r="D1931">
        <v>39</v>
      </c>
      <c r="E1931" t="s">
        <v>6</v>
      </c>
      <c r="F1931" t="s">
        <v>7</v>
      </c>
      <c r="G1931" s="1">
        <f t="shared" si="90"/>
        <v>45199</v>
      </c>
      <c r="H1931">
        <f t="shared" si="91"/>
        <v>4</v>
      </c>
      <c r="I1931">
        <f t="shared" si="92"/>
        <v>0</v>
      </c>
      <c r="J1931">
        <f>IF(Table1[[#This Row],[Active_months]]&gt;=1, 1, 0)</f>
        <v>1</v>
      </c>
    </row>
    <row r="1932" spans="1:10" x14ac:dyDescent="0.3">
      <c r="A1932">
        <v>214999374</v>
      </c>
      <c r="B1932" s="1">
        <v>45054</v>
      </c>
      <c r="D1932">
        <v>39</v>
      </c>
      <c r="E1932" t="s">
        <v>6</v>
      </c>
      <c r="F1932" t="s">
        <v>7</v>
      </c>
      <c r="G1932" s="1">
        <f t="shared" si="90"/>
        <v>45199</v>
      </c>
      <c r="H1932">
        <f t="shared" si="91"/>
        <v>4</v>
      </c>
      <c r="I1932">
        <f t="shared" si="92"/>
        <v>0</v>
      </c>
      <c r="J1932">
        <f>IF(Table1[[#This Row],[Active_months]]&gt;=1, 1, 0)</f>
        <v>1</v>
      </c>
    </row>
    <row r="1933" spans="1:10" x14ac:dyDescent="0.3">
      <c r="A1933">
        <v>214986467</v>
      </c>
      <c r="B1933" s="1">
        <v>45054</v>
      </c>
      <c r="D1933">
        <v>39</v>
      </c>
      <c r="E1933" t="s">
        <v>6</v>
      </c>
      <c r="F1933" t="s">
        <v>7</v>
      </c>
      <c r="G1933" s="1">
        <f t="shared" si="90"/>
        <v>45199</v>
      </c>
      <c r="H1933">
        <f t="shared" si="91"/>
        <v>4</v>
      </c>
      <c r="I1933">
        <f t="shared" si="92"/>
        <v>0</v>
      </c>
      <c r="J1933">
        <f>IF(Table1[[#This Row],[Active_months]]&gt;=1, 1, 0)</f>
        <v>1</v>
      </c>
    </row>
    <row r="1934" spans="1:10" x14ac:dyDescent="0.3">
      <c r="A1934">
        <v>214984741</v>
      </c>
      <c r="B1934" s="1">
        <v>45054</v>
      </c>
      <c r="D1934">
        <v>39</v>
      </c>
      <c r="E1934" t="s">
        <v>6</v>
      </c>
      <c r="F1934" t="s">
        <v>7</v>
      </c>
      <c r="G1934" s="1">
        <f t="shared" si="90"/>
        <v>45199</v>
      </c>
      <c r="H1934">
        <f t="shared" si="91"/>
        <v>4</v>
      </c>
      <c r="I1934">
        <f t="shared" si="92"/>
        <v>0</v>
      </c>
      <c r="J1934">
        <f>IF(Table1[[#This Row],[Active_months]]&gt;=1, 1, 0)</f>
        <v>1</v>
      </c>
    </row>
    <row r="1935" spans="1:10" x14ac:dyDescent="0.3">
      <c r="A1935">
        <v>214993166</v>
      </c>
      <c r="B1935" s="1">
        <v>45054</v>
      </c>
      <c r="D1935">
        <v>39</v>
      </c>
      <c r="E1935" t="s">
        <v>6</v>
      </c>
      <c r="F1935" t="s">
        <v>7</v>
      </c>
      <c r="G1935" s="1">
        <f t="shared" si="90"/>
        <v>45199</v>
      </c>
      <c r="H1935">
        <f t="shared" si="91"/>
        <v>4</v>
      </c>
      <c r="I1935">
        <f t="shared" si="92"/>
        <v>0</v>
      </c>
      <c r="J1935">
        <f>IF(Table1[[#This Row],[Active_months]]&gt;=1, 1, 0)</f>
        <v>1</v>
      </c>
    </row>
    <row r="1936" spans="1:10" x14ac:dyDescent="0.3">
      <c r="A1936">
        <v>203116697</v>
      </c>
      <c r="B1936" s="1">
        <v>45054</v>
      </c>
      <c r="D1936">
        <v>39</v>
      </c>
      <c r="E1936" t="s">
        <v>6</v>
      </c>
      <c r="F1936" t="s">
        <v>7</v>
      </c>
      <c r="G1936" s="1">
        <f t="shared" si="90"/>
        <v>45199</v>
      </c>
      <c r="H1936">
        <f t="shared" si="91"/>
        <v>4</v>
      </c>
      <c r="I1936">
        <f t="shared" si="92"/>
        <v>0</v>
      </c>
      <c r="J1936">
        <f>IF(Table1[[#This Row],[Active_months]]&gt;=1, 1, 0)</f>
        <v>1</v>
      </c>
    </row>
    <row r="1937" spans="1:10" x14ac:dyDescent="0.3">
      <c r="A1937">
        <v>214906741</v>
      </c>
      <c r="B1937" s="1">
        <v>45054</v>
      </c>
      <c r="D1937">
        <v>39</v>
      </c>
      <c r="E1937" t="s">
        <v>6</v>
      </c>
      <c r="F1937" t="s">
        <v>7</v>
      </c>
      <c r="G1937" s="1">
        <f t="shared" si="90"/>
        <v>45199</v>
      </c>
      <c r="H1937">
        <f t="shared" si="91"/>
        <v>4</v>
      </c>
      <c r="I1937">
        <f t="shared" si="92"/>
        <v>0</v>
      </c>
      <c r="J1937">
        <f>IF(Table1[[#This Row],[Active_months]]&gt;=1, 1, 0)</f>
        <v>1</v>
      </c>
    </row>
    <row r="1938" spans="1:10" x14ac:dyDescent="0.3">
      <c r="A1938">
        <v>128977818</v>
      </c>
      <c r="B1938" s="1">
        <v>45054</v>
      </c>
      <c r="C1938" s="1">
        <v>45175</v>
      </c>
      <c r="D1938">
        <v>39</v>
      </c>
      <c r="E1938" t="s">
        <v>6</v>
      </c>
      <c r="F1938" t="s">
        <v>7</v>
      </c>
      <c r="G1938" s="1">
        <f t="shared" si="90"/>
        <v>45175</v>
      </c>
      <c r="H1938">
        <f t="shared" si="91"/>
        <v>4</v>
      </c>
      <c r="I1938">
        <f t="shared" si="92"/>
        <v>0</v>
      </c>
      <c r="J1938">
        <f>IF(Table1[[#This Row],[Active_months]]&gt;=1, 1, 0)</f>
        <v>1</v>
      </c>
    </row>
    <row r="1939" spans="1:10" x14ac:dyDescent="0.3">
      <c r="A1939">
        <v>209743418</v>
      </c>
      <c r="B1939" s="1">
        <v>45054</v>
      </c>
      <c r="C1939" s="1">
        <v>45055</v>
      </c>
      <c r="D1939">
        <v>39</v>
      </c>
      <c r="E1939" t="s">
        <v>6</v>
      </c>
      <c r="F1939" t="s">
        <v>7</v>
      </c>
      <c r="G1939" s="1">
        <f t="shared" si="90"/>
        <v>45055</v>
      </c>
      <c r="H1939">
        <f t="shared" si="91"/>
        <v>0</v>
      </c>
      <c r="I1939">
        <f t="shared" si="92"/>
        <v>0</v>
      </c>
      <c r="J1939">
        <f>IF(Table1[[#This Row],[Active_months]]&gt;=1, 1, 0)</f>
        <v>0</v>
      </c>
    </row>
    <row r="1940" spans="1:10" x14ac:dyDescent="0.3">
      <c r="A1940">
        <v>209743418</v>
      </c>
      <c r="B1940" s="1">
        <v>45054</v>
      </c>
      <c r="C1940" s="1">
        <v>45115</v>
      </c>
      <c r="D1940">
        <v>39</v>
      </c>
      <c r="E1940" t="s">
        <v>6</v>
      </c>
      <c r="F1940" t="s">
        <v>7</v>
      </c>
      <c r="G1940" s="1">
        <f t="shared" si="90"/>
        <v>45115</v>
      </c>
      <c r="H1940">
        <f t="shared" si="91"/>
        <v>2</v>
      </c>
      <c r="I1940">
        <f t="shared" si="92"/>
        <v>0</v>
      </c>
      <c r="J1940">
        <f>IF(Table1[[#This Row],[Active_months]]&gt;=1, 1, 0)</f>
        <v>1</v>
      </c>
    </row>
    <row r="1941" spans="1:10" x14ac:dyDescent="0.3">
      <c r="A1941">
        <v>130868671</v>
      </c>
      <c r="B1941" s="1">
        <v>45054</v>
      </c>
      <c r="C1941" s="1">
        <v>45091</v>
      </c>
      <c r="D1941">
        <v>39</v>
      </c>
      <c r="E1941" t="s">
        <v>6</v>
      </c>
      <c r="F1941" t="s">
        <v>7</v>
      </c>
      <c r="G1941" s="1">
        <f t="shared" si="90"/>
        <v>45091</v>
      </c>
      <c r="H1941">
        <f t="shared" si="91"/>
        <v>1</v>
      </c>
      <c r="I1941">
        <f t="shared" si="92"/>
        <v>0</v>
      </c>
      <c r="J1941">
        <f>IF(Table1[[#This Row],[Active_months]]&gt;=1, 1, 0)</f>
        <v>1</v>
      </c>
    </row>
    <row r="1942" spans="1:10" x14ac:dyDescent="0.3">
      <c r="A1942">
        <v>146963394</v>
      </c>
      <c r="B1942" s="1">
        <v>45054</v>
      </c>
      <c r="C1942" s="1">
        <v>45111</v>
      </c>
      <c r="D1942">
        <v>39</v>
      </c>
      <c r="E1942" t="s">
        <v>6</v>
      </c>
      <c r="F1942" t="s">
        <v>7</v>
      </c>
      <c r="G1942" s="1">
        <f t="shared" si="90"/>
        <v>45111</v>
      </c>
      <c r="H1942">
        <f t="shared" si="91"/>
        <v>2</v>
      </c>
      <c r="I1942">
        <f t="shared" si="92"/>
        <v>0</v>
      </c>
      <c r="J1942">
        <f>IF(Table1[[#This Row],[Active_months]]&gt;=1, 1, 0)</f>
        <v>1</v>
      </c>
    </row>
    <row r="1943" spans="1:10" x14ac:dyDescent="0.3">
      <c r="A1943">
        <v>214960770</v>
      </c>
      <c r="B1943" s="1">
        <v>45054</v>
      </c>
      <c r="C1943" s="1">
        <v>45110</v>
      </c>
      <c r="D1943">
        <v>39</v>
      </c>
      <c r="E1943" t="s">
        <v>6</v>
      </c>
      <c r="F1943" t="s">
        <v>7</v>
      </c>
      <c r="G1943" s="1">
        <f t="shared" si="90"/>
        <v>45110</v>
      </c>
      <c r="H1943">
        <f t="shared" si="91"/>
        <v>2</v>
      </c>
      <c r="I1943">
        <f t="shared" si="92"/>
        <v>0</v>
      </c>
      <c r="J1943">
        <f>IF(Table1[[#This Row],[Active_months]]&gt;=1, 1, 0)</f>
        <v>1</v>
      </c>
    </row>
    <row r="1944" spans="1:10" x14ac:dyDescent="0.3">
      <c r="A1944">
        <v>207344872</v>
      </c>
      <c r="B1944" s="1">
        <v>45054</v>
      </c>
      <c r="C1944" s="1">
        <v>45084</v>
      </c>
      <c r="D1944">
        <v>39</v>
      </c>
      <c r="E1944" t="s">
        <v>6</v>
      </c>
      <c r="F1944" t="s">
        <v>7</v>
      </c>
      <c r="G1944" s="1">
        <f t="shared" si="90"/>
        <v>45084</v>
      </c>
      <c r="H1944">
        <f t="shared" si="91"/>
        <v>1</v>
      </c>
      <c r="I1944">
        <f t="shared" si="92"/>
        <v>0</v>
      </c>
      <c r="J1944">
        <f>IF(Table1[[#This Row],[Active_months]]&gt;=1, 1, 0)</f>
        <v>1</v>
      </c>
    </row>
    <row r="1945" spans="1:10" x14ac:dyDescent="0.3">
      <c r="A1945">
        <v>202925989</v>
      </c>
      <c r="B1945" s="1">
        <v>45054</v>
      </c>
      <c r="C1945" s="1">
        <v>45092</v>
      </c>
      <c r="D1945">
        <v>39</v>
      </c>
      <c r="E1945" t="s">
        <v>6</v>
      </c>
      <c r="F1945" t="s">
        <v>7</v>
      </c>
      <c r="G1945" s="1">
        <f t="shared" si="90"/>
        <v>45092</v>
      </c>
      <c r="H1945">
        <f t="shared" si="91"/>
        <v>1</v>
      </c>
      <c r="I1945">
        <f t="shared" si="92"/>
        <v>0</v>
      </c>
      <c r="J1945">
        <f>IF(Table1[[#This Row],[Active_months]]&gt;=1, 1, 0)</f>
        <v>1</v>
      </c>
    </row>
    <row r="1946" spans="1:10" x14ac:dyDescent="0.3">
      <c r="A1946">
        <v>214991976</v>
      </c>
      <c r="B1946" s="1">
        <v>45054</v>
      </c>
      <c r="C1946" s="1">
        <v>45099</v>
      </c>
      <c r="D1946">
        <v>39</v>
      </c>
      <c r="E1946" t="s">
        <v>6</v>
      </c>
      <c r="F1946" t="s">
        <v>7</v>
      </c>
      <c r="G1946" s="1">
        <f t="shared" si="90"/>
        <v>45099</v>
      </c>
      <c r="H1946">
        <f t="shared" si="91"/>
        <v>1</v>
      </c>
      <c r="I1946">
        <f t="shared" si="92"/>
        <v>0</v>
      </c>
      <c r="J1946">
        <f>IF(Table1[[#This Row],[Active_months]]&gt;=1, 1, 0)</f>
        <v>1</v>
      </c>
    </row>
    <row r="1947" spans="1:10" x14ac:dyDescent="0.3">
      <c r="A1947">
        <v>211917633</v>
      </c>
      <c r="B1947" s="1">
        <v>45054</v>
      </c>
      <c r="C1947" s="1">
        <v>45071</v>
      </c>
      <c r="D1947">
        <v>39</v>
      </c>
      <c r="E1947" t="s">
        <v>6</v>
      </c>
      <c r="F1947" t="s">
        <v>7</v>
      </c>
      <c r="G1947" s="1">
        <f t="shared" si="90"/>
        <v>45071</v>
      </c>
      <c r="H1947">
        <f t="shared" si="91"/>
        <v>0</v>
      </c>
      <c r="I1947">
        <f t="shared" si="92"/>
        <v>0</v>
      </c>
      <c r="J1947">
        <f>IF(Table1[[#This Row],[Active_months]]&gt;=1, 1, 0)</f>
        <v>0</v>
      </c>
    </row>
    <row r="1948" spans="1:10" x14ac:dyDescent="0.3">
      <c r="A1948">
        <v>214623264</v>
      </c>
      <c r="B1948" s="1">
        <v>45054</v>
      </c>
      <c r="C1948" s="1">
        <v>45122</v>
      </c>
      <c r="D1948">
        <v>39</v>
      </c>
      <c r="E1948" t="s">
        <v>6</v>
      </c>
      <c r="F1948" t="s">
        <v>7</v>
      </c>
      <c r="G1948" s="1">
        <f t="shared" si="90"/>
        <v>45122</v>
      </c>
      <c r="H1948">
        <f t="shared" si="91"/>
        <v>2</v>
      </c>
      <c r="I1948">
        <f t="shared" si="92"/>
        <v>0</v>
      </c>
      <c r="J1948">
        <f>IF(Table1[[#This Row],[Active_months]]&gt;=1, 1, 0)</f>
        <v>1</v>
      </c>
    </row>
    <row r="1949" spans="1:10" x14ac:dyDescent="0.3">
      <c r="A1949">
        <v>205339362</v>
      </c>
      <c r="B1949" s="1">
        <v>45054</v>
      </c>
      <c r="C1949" s="1">
        <v>45115</v>
      </c>
      <c r="D1949">
        <v>39</v>
      </c>
      <c r="E1949" t="s">
        <v>6</v>
      </c>
      <c r="F1949" t="s">
        <v>7</v>
      </c>
      <c r="G1949" s="1">
        <f t="shared" si="90"/>
        <v>45115</v>
      </c>
      <c r="H1949">
        <f t="shared" si="91"/>
        <v>2</v>
      </c>
      <c r="I1949">
        <f t="shared" si="92"/>
        <v>0</v>
      </c>
      <c r="J1949">
        <f>IF(Table1[[#This Row],[Active_months]]&gt;=1, 1, 0)</f>
        <v>1</v>
      </c>
    </row>
    <row r="1950" spans="1:10" x14ac:dyDescent="0.3">
      <c r="A1950">
        <v>214956352</v>
      </c>
      <c r="B1950" s="1">
        <v>45055</v>
      </c>
      <c r="D1950">
        <v>39</v>
      </c>
      <c r="E1950" t="s">
        <v>6</v>
      </c>
      <c r="F1950" t="s">
        <v>7</v>
      </c>
      <c r="G1950" s="1">
        <f t="shared" si="90"/>
        <v>45199</v>
      </c>
      <c r="H1950">
        <f t="shared" si="91"/>
        <v>4</v>
      </c>
      <c r="I1950">
        <f t="shared" si="92"/>
        <v>0</v>
      </c>
      <c r="J1950">
        <f>IF(Table1[[#This Row],[Active_months]]&gt;=1, 1, 0)</f>
        <v>1</v>
      </c>
    </row>
    <row r="1951" spans="1:10" x14ac:dyDescent="0.3">
      <c r="A1951">
        <v>196061402</v>
      </c>
      <c r="B1951" s="1">
        <v>45055</v>
      </c>
      <c r="D1951">
        <v>39</v>
      </c>
      <c r="E1951" t="s">
        <v>6</v>
      </c>
      <c r="F1951" t="s">
        <v>7</v>
      </c>
      <c r="G1951" s="1">
        <f t="shared" si="90"/>
        <v>45199</v>
      </c>
      <c r="H1951">
        <f t="shared" si="91"/>
        <v>4</v>
      </c>
      <c r="I1951">
        <f t="shared" si="92"/>
        <v>0</v>
      </c>
      <c r="J1951">
        <f>IF(Table1[[#This Row],[Active_months]]&gt;=1, 1, 0)</f>
        <v>1</v>
      </c>
    </row>
    <row r="1952" spans="1:10" x14ac:dyDescent="0.3">
      <c r="A1952">
        <v>215019022</v>
      </c>
      <c r="B1952" s="1">
        <v>45055</v>
      </c>
      <c r="D1952">
        <v>39</v>
      </c>
      <c r="E1952" t="s">
        <v>6</v>
      </c>
      <c r="F1952" t="s">
        <v>7</v>
      </c>
      <c r="G1952" s="1">
        <f t="shared" si="90"/>
        <v>45199</v>
      </c>
      <c r="H1952">
        <f t="shared" si="91"/>
        <v>4</v>
      </c>
      <c r="I1952">
        <f t="shared" si="92"/>
        <v>0</v>
      </c>
      <c r="J1952">
        <f>IF(Table1[[#This Row],[Active_months]]&gt;=1, 1, 0)</f>
        <v>1</v>
      </c>
    </row>
    <row r="1953" spans="1:10" x14ac:dyDescent="0.3">
      <c r="A1953">
        <v>185517087</v>
      </c>
      <c r="B1953" s="1">
        <v>45055</v>
      </c>
      <c r="D1953">
        <v>39</v>
      </c>
      <c r="E1953" t="s">
        <v>6</v>
      </c>
      <c r="F1953" t="s">
        <v>7</v>
      </c>
      <c r="G1953" s="1">
        <f t="shared" si="90"/>
        <v>45199</v>
      </c>
      <c r="H1953">
        <f t="shared" si="91"/>
        <v>4</v>
      </c>
      <c r="I1953">
        <f t="shared" si="92"/>
        <v>0</v>
      </c>
      <c r="J1953">
        <f>IF(Table1[[#This Row],[Active_months]]&gt;=1, 1, 0)</f>
        <v>1</v>
      </c>
    </row>
    <row r="1954" spans="1:10" x14ac:dyDescent="0.3">
      <c r="A1954">
        <v>151513254</v>
      </c>
      <c r="B1954" s="1">
        <v>45055</v>
      </c>
      <c r="C1954" s="1">
        <v>45055</v>
      </c>
      <c r="D1954">
        <v>39</v>
      </c>
      <c r="E1954" t="s">
        <v>6</v>
      </c>
      <c r="F1954" t="s">
        <v>7</v>
      </c>
      <c r="G1954" s="1">
        <f t="shared" si="90"/>
        <v>45055</v>
      </c>
      <c r="H1954">
        <f t="shared" si="91"/>
        <v>0</v>
      </c>
      <c r="I1954">
        <f t="shared" si="92"/>
        <v>0</v>
      </c>
      <c r="J1954">
        <f>IF(Table1[[#This Row],[Active_months]]&gt;=1, 1, 0)</f>
        <v>0</v>
      </c>
    </row>
    <row r="1955" spans="1:10" x14ac:dyDescent="0.3">
      <c r="A1955">
        <v>214952558</v>
      </c>
      <c r="B1955" s="1">
        <v>45055</v>
      </c>
      <c r="C1955" s="1">
        <v>45056</v>
      </c>
      <c r="D1955">
        <v>39</v>
      </c>
      <c r="E1955" t="s">
        <v>6</v>
      </c>
      <c r="F1955" t="s">
        <v>8</v>
      </c>
      <c r="G1955" s="1">
        <f t="shared" si="90"/>
        <v>45056</v>
      </c>
      <c r="H1955">
        <f t="shared" si="91"/>
        <v>0</v>
      </c>
      <c r="I1955">
        <f t="shared" si="92"/>
        <v>0</v>
      </c>
      <c r="J1955">
        <f>IF(Table1[[#This Row],[Active_months]]&gt;=1, 1, 0)</f>
        <v>0</v>
      </c>
    </row>
    <row r="1956" spans="1:10" x14ac:dyDescent="0.3">
      <c r="A1956">
        <v>139339380</v>
      </c>
      <c r="B1956" s="1">
        <v>45055</v>
      </c>
      <c r="C1956" s="1">
        <v>45095</v>
      </c>
      <c r="D1956">
        <v>39</v>
      </c>
      <c r="E1956" t="s">
        <v>6</v>
      </c>
      <c r="F1956" t="s">
        <v>7</v>
      </c>
      <c r="G1956" s="1">
        <f t="shared" si="90"/>
        <v>45095</v>
      </c>
      <c r="H1956">
        <f t="shared" si="91"/>
        <v>1</v>
      </c>
      <c r="I1956">
        <f t="shared" si="92"/>
        <v>0</v>
      </c>
      <c r="J1956">
        <f>IF(Table1[[#This Row],[Active_months]]&gt;=1, 1, 0)</f>
        <v>1</v>
      </c>
    </row>
    <row r="1957" spans="1:10" x14ac:dyDescent="0.3">
      <c r="A1957">
        <v>208188866</v>
      </c>
      <c r="B1957" s="1">
        <v>45055</v>
      </c>
      <c r="C1957" s="1">
        <v>45086</v>
      </c>
      <c r="D1957">
        <v>39</v>
      </c>
      <c r="E1957" t="s">
        <v>6</v>
      </c>
      <c r="F1957" t="s">
        <v>7</v>
      </c>
      <c r="G1957" s="1">
        <f t="shared" si="90"/>
        <v>45086</v>
      </c>
      <c r="H1957">
        <f t="shared" si="91"/>
        <v>1</v>
      </c>
      <c r="I1957">
        <f t="shared" si="92"/>
        <v>0</v>
      </c>
      <c r="J1957">
        <f>IF(Table1[[#This Row],[Active_months]]&gt;=1, 1, 0)</f>
        <v>1</v>
      </c>
    </row>
    <row r="1958" spans="1:10" x14ac:dyDescent="0.3">
      <c r="A1958">
        <v>150342446</v>
      </c>
      <c r="B1958" s="1">
        <v>45055</v>
      </c>
      <c r="C1958" s="1">
        <v>45093</v>
      </c>
      <c r="D1958">
        <v>39</v>
      </c>
      <c r="E1958" t="s">
        <v>6</v>
      </c>
      <c r="F1958" t="s">
        <v>7</v>
      </c>
      <c r="G1958" s="1">
        <f t="shared" si="90"/>
        <v>45093</v>
      </c>
      <c r="H1958">
        <f t="shared" si="91"/>
        <v>1</v>
      </c>
      <c r="I1958">
        <f t="shared" si="92"/>
        <v>0</v>
      </c>
      <c r="J1958">
        <f>IF(Table1[[#This Row],[Active_months]]&gt;=1, 1, 0)</f>
        <v>1</v>
      </c>
    </row>
    <row r="1959" spans="1:10" x14ac:dyDescent="0.3">
      <c r="A1959">
        <v>188748372</v>
      </c>
      <c r="B1959" s="1">
        <v>45055</v>
      </c>
      <c r="C1959" s="1">
        <v>45093</v>
      </c>
      <c r="D1959">
        <v>39</v>
      </c>
      <c r="E1959" t="s">
        <v>6</v>
      </c>
      <c r="F1959" t="s">
        <v>7</v>
      </c>
      <c r="G1959" s="1">
        <f t="shared" si="90"/>
        <v>45093</v>
      </c>
      <c r="H1959">
        <f t="shared" si="91"/>
        <v>1</v>
      </c>
      <c r="I1959">
        <f t="shared" si="92"/>
        <v>0</v>
      </c>
      <c r="J1959">
        <f>IF(Table1[[#This Row],[Active_months]]&gt;=1, 1, 0)</f>
        <v>1</v>
      </c>
    </row>
    <row r="1960" spans="1:10" x14ac:dyDescent="0.3">
      <c r="A1960">
        <v>215034356</v>
      </c>
      <c r="B1960" s="1">
        <v>45055</v>
      </c>
      <c r="C1960" s="1">
        <v>45055</v>
      </c>
      <c r="D1960">
        <v>39</v>
      </c>
      <c r="E1960" t="s">
        <v>6</v>
      </c>
      <c r="F1960" t="s">
        <v>7</v>
      </c>
      <c r="G1960" s="1">
        <f t="shared" si="90"/>
        <v>45055</v>
      </c>
      <c r="H1960">
        <f t="shared" si="91"/>
        <v>0</v>
      </c>
      <c r="I1960">
        <f t="shared" si="92"/>
        <v>0</v>
      </c>
      <c r="J1960">
        <f>IF(Table1[[#This Row],[Active_months]]&gt;=1, 1, 0)</f>
        <v>0</v>
      </c>
    </row>
    <row r="1961" spans="1:10" x14ac:dyDescent="0.3">
      <c r="A1961">
        <v>145013444</v>
      </c>
      <c r="B1961" s="1">
        <v>45055</v>
      </c>
      <c r="C1961" s="1">
        <v>45075</v>
      </c>
      <c r="D1961">
        <v>39</v>
      </c>
      <c r="E1961" t="s">
        <v>6</v>
      </c>
      <c r="F1961" t="s">
        <v>7</v>
      </c>
      <c r="G1961" s="1">
        <f t="shared" si="90"/>
        <v>45075</v>
      </c>
      <c r="H1961">
        <f t="shared" si="91"/>
        <v>0</v>
      </c>
      <c r="I1961">
        <f t="shared" si="92"/>
        <v>0</v>
      </c>
      <c r="J1961">
        <f>IF(Table1[[#This Row],[Active_months]]&gt;=1, 1, 0)</f>
        <v>0</v>
      </c>
    </row>
    <row r="1962" spans="1:10" x14ac:dyDescent="0.3">
      <c r="A1962">
        <v>164548755</v>
      </c>
      <c r="B1962" s="1">
        <v>45055</v>
      </c>
      <c r="C1962" s="1">
        <v>45123</v>
      </c>
      <c r="D1962">
        <v>39</v>
      </c>
      <c r="E1962" t="s">
        <v>6</v>
      </c>
      <c r="F1962" t="s">
        <v>7</v>
      </c>
      <c r="G1962" s="1">
        <f t="shared" si="90"/>
        <v>45123</v>
      </c>
      <c r="H1962">
        <f t="shared" si="91"/>
        <v>2</v>
      </c>
      <c r="I1962">
        <f t="shared" si="92"/>
        <v>0</v>
      </c>
      <c r="J1962">
        <f>IF(Table1[[#This Row],[Active_months]]&gt;=1, 1, 0)</f>
        <v>1</v>
      </c>
    </row>
    <row r="1963" spans="1:10" x14ac:dyDescent="0.3">
      <c r="A1963">
        <v>193315330</v>
      </c>
      <c r="B1963" s="1">
        <v>45055</v>
      </c>
      <c r="C1963" s="1">
        <v>45154</v>
      </c>
      <c r="D1963">
        <v>39</v>
      </c>
      <c r="E1963" t="s">
        <v>6</v>
      </c>
      <c r="F1963" t="s">
        <v>7</v>
      </c>
      <c r="G1963" s="1">
        <f t="shared" si="90"/>
        <v>45154</v>
      </c>
      <c r="H1963">
        <f t="shared" si="91"/>
        <v>3</v>
      </c>
      <c r="I1963">
        <f t="shared" si="92"/>
        <v>0</v>
      </c>
      <c r="J1963">
        <f>IF(Table1[[#This Row],[Active_months]]&gt;=1, 1, 0)</f>
        <v>1</v>
      </c>
    </row>
    <row r="1964" spans="1:10" x14ac:dyDescent="0.3">
      <c r="A1964">
        <v>147592201</v>
      </c>
      <c r="B1964" s="1">
        <v>45056</v>
      </c>
      <c r="D1964">
        <v>39</v>
      </c>
      <c r="E1964" t="s">
        <v>6</v>
      </c>
      <c r="F1964" t="s">
        <v>7</v>
      </c>
      <c r="G1964" s="1">
        <f t="shared" si="90"/>
        <v>45199</v>
      </c>
      <c r="H1964">
        <f t="shared" si="91"/>
        <v>4</v>
      </c>
      <c r="I1964">
        <f t="shared" si="92"/>
        <v>0</v>
      </c>
      <c r="J1964">
        <f>IF(Table1[[#This Row],[Active_months]]&gt;=1, 1, 0)</f>
        <v>1</v>
      </c>
    </row>
    <row r="1965" spans="1:10" x14ac:dyDescent="0.3">
      <c r="A1965">
        <v>192068317</v>
      </c>
      <c r="B1965" s="1">
        <v>45056</v>
      </c>
      <c r="D1965">
        <v>39</v>
      </c>
      <c r="E1965" t="s">
        <v>6</v>
      </c>
      <c r="F1965" t="s">
        <v>7</v>
      </c>
      <c r="G1965" s="1">
        <f t="shared" si="90"/>
        <v>45199</v>
      </c>
      <c r="H1965">
        <f t="shared" si="91"/>
        <v>4</v>
      </c>
      <c r="I1965">
        <f t="shared" si="92"/>
        <v>0</v>
      </c>
      <c r="J1965">
        <f>IF(Table1[[#This Row],[Active_months]]&gt;=1, 1, 0)</f>
        <v>1</v>
      </c>
    </row>
    <row r="1966" spans="1:10" x14ac:dyDescent="0.3">
      <c r="A1966">
        <v>214396083</v>
      </c>
      <c r="B1966" s="1">
        <v>45056</v>
      </c>
      <c r="D1966">
        <v>39</v>
      </c>
      <c r="E1966" t="s">
        <v>6</v>
      </c>
      <c r="F1966" t="s">
        <v>7</v>
      </c>
      <c r="G1966" s="1">
        <f t="shared" si="90"/>
        <v>45199</v>
      </c>
      <c r="H1966">
        <f t="shared" si="91"/>
        <v>4</v>
      </c>
      <c r="I1966">
        <f t="shared" si="92"/>
        <v>0</v>
      </c>
      <c r="J1966">
        <f>IF(Table1[[#This Row],[Active_months]]&gt;=1, 1, 0)</f>
        <v>1</v>
      </c>
    </row>
    <row r="1967" spans="1:10" x14ac:dyDescent="0.3">
      <c r="A1967">
        <v>214698924</v>
      </c>
      <c r="B1967" s="1">
        <v>45056</v>
      </c>
      <c r="C1967" s="1">
        <v>45056</v>
      </c>
      <c r="D1967">
        <v>39</v>
      </c>
      <c r="E1967" t="s">
        <v>6</v>
      </c>
      <c r="F1967" t="s">
        <v>7</v>
      </c>
      <c r="G1967" s="1">
        <f t="shared" si="90"/>
        <v>45056</v>
      </c>
      <c r="H1967">
        <f t="shared" si="91"/>
        <v>0</v>
      </c>
      <c r="I1967">
        <f t="shared" si="92"/>
        <v>0</v>
      </c>
      <c r="J1967">
        <f>IF(Table1[[#This Row],[Active_months]]&gt;=1, 1, 0)</f>
        <v>0</v>
      </c>
    </row>
    <row r="1968" spans="1:10" x14ac:dyDescent="0.3">
      <c r="A1968">
        <v>153402484</v>
      </c>
      <c r="B1968" s="1">
        <v>45056</v>
      </c>
      <c r="C1968" s="1">
        <v>45086</v>
      </c>
      <c r="D1968">
        <v>39</v>
      </c>
      <c r="E1968" t="s">
        <v>6</v>
      </c>
      <c r="F1968" t="s">
        <v>7</v>
      </c>
      <c r="G1968" s="1">
        <f t="shared" si="90"/>
        <v>45086</v>
      </c>
      <c r="H1968">
        <f t="shared" si="91"/>
        <v>1</v>
      </c>
      <c r="I1968">
        <f t="shared" si="92"/>
        <v>0</v>
      </c>
      <c r="J1968">
        <f>IF(Table1[[#This Row],[Active_months]]&gt;=1, 1, 0)</f>
        <v>1</v>
      </c>
    </row>
    <row r="1969" spans="1:10" x14ac:dyDescent="0.3">
      <c r="A1969">
        <v>214809412</v>
      </c>
      <c r="B1969" s="1">
        <v>45056</v>
      </c>
      <c r="C1969" s="1">
        <v>45147</v>
      </c>
      <c r="D1969">
        <v>39</v>
      </c>
      <c r="E1969" t="s">
        <v>6</v>
      </c>
      <c r="F1969" t="s">
        <v>7</v>
      </c>
      <c r="G1969" s="1">
        <f t="shared" si="90"/>
        <v>45147</v>
      </c>
      <c r="H1969">
        <f t="shared" si="91"/>
        <v>3</v>
      </c>
      <c r="I1969">
        <f t="shared" si="92"/>
        <v>0</v>
      </c>
      <c r="J1969">
        <f>IF(Table1[[#This Row],[Active_months]]&gt;=1, 1, 0)</f>
        <v>1</v>
      </c>
    </row>
    <row r="1970" spans="1:10" x14ac:dyDescent="0.3">
      <c r="A1970">
        <v>215062365</v>
      </c>
      <c r="B1970" s="1">
        <v>45056</v>
      </c>
      <c r="C1970" s="1">
        <v>45141</v>
      </c>
      <c r="D1970">
        <v>39</v>
      </c>
      <c r="E1970" t="s">
        <v>6</v>
      </c>
      <c r="F1970" t="s">
        <v>7</v>
      </c>
      <c r="G1970" s="1">
        <f t="shared" si="90"/>
        <v>45141</v>
      </c>
      <c r="H1970">
        <f t="shared" si="91"/>
        <v>3</v>
      </c>
      <c r="I1970">
        <f t="shared" si="92"/>
        <v>0</v>
      </c>
      <c r="J1970">
        <f>IF(Table1[[#This Row],[Active_months]]&gt;=1, 1, 0)</f>
        <v>1</v>
      </c>
    </row>
    <row r="1971" spans="1:10" x14ac:dyDescent="0.3">
      <c r="A1971">
        <v>135185873</v>
      </c>
      <c r="B1971" s="1">
        <v>45057</v>
      </c>
      <c r="D1971">
        <v>39</v>
      </c>
      <c r="E1971" t="s">
        <v>6</v>
      </c>
      <c r="F1971" t="s">
        <v>7</v>
      </c>
      <c r="G1971" s="1">
        <f t="shared" si="90"/>
        <v>45199</v>
      </c>
      <c r="H1971">
        <f t="shared" si="91"/>
        <v>4</v>
      </c>
      <c r="I1971">
        <f t="shared" si="92"/>
        <v>0</v>
      </c>
      <c r="J1971">
        <f>IF(Table1[[#This Row],[Active_months]]&gt;=1, 1, 0)</f>
        <v>1</v>
      </c>
    </row>
    <row r="1972" spans="1:10" x14ac:dyDescent="0.3">
      <c r="A1972">
        <v>144898968</v>
      </c>
      <c r="B1972" s="1">
        <v>45057</v>
      </c>
      <c r="D1972">
        <v>39</v>
      </c>
      <c r="E1972" t="s">
        <v>6</v>
      </c>
      <c r="F1972" t="s">
        <v>7</v>
      </c>
      <c r="G1972" s="1">
        <f t="shared" si="90"/>
        <v>45199</v>
      </c>
      <c r="H1972">
        <f t="shared" si="91"/>
        <v>4</v>
      </c>
      <c r="I1972">
        <f t="shared" si="92"/>
        <v>0</v>
      </c>
      <c r="J1972">
        <f>IF(Table1[[#This Row],[Active_months]]&gt;=1, 1, 0)</f>
        <v>1</v>
      </c>
    </row>
    <row r="1973" spans="1:10" x14ac:dyDescent="0.3">
      <c r="A1973">
        <v>214973231</v>
      </c>
      <c r="B1973" s="1">
        <v>45057</v>
      </c>
      <c r="D1973">
        <v>39</v>
      </c>
      <c r="E1973" t="s">
        <v>6</v>
      </c>
      <c r="F1973" t="s">
        <v>7</v>
      </c>
      <c r="G1973" s="1">
        <f t="shared" si="90"/>
        <v>45199</v>
      </c>
      <c r="H1973">
        <f t="shared" si="91"/>
        <v>4</v>
      </c>
      <c r="I1973">
        <f t="shared" si="92"/>
        <v>0</v>
      </c>
      <c r="J1973">
        <f>IF(Table1[[#This Row],[Active_months]]&gt;=1, 1, 0)</f>
        <v>1</v>
      </c>
    </row>
    <row r="1974" spans="1:10" x14ac:dyDescent="0.3">
      <c r="A1974">
        <v>214971897</v>
      </c>
      <c r="B1974" s="1">
        <v>45057</v>
      </c>
      <c r="D1974">
        <v>39</v>
      </c>
      <c r="E1974" t="s">
        <v>6</v>
      </c>
      <c r="F1974" t="s">
        <v>7</v>
      </c>
      <c r="G1974" s="1">
        <f t="shared" si="90"/>
        <v>45199</v>
      </c>
      <c r="H1974">
        <f t="shared" si="91"/>
        <v>4</v>
      </c>
      <c r="I1974">
        <f t="shared" si="92"/>
        <v>0</v>
      </c>
      <c r="J1974">
        <f>IF(Table1[[#This Row],[Active_months]]&gt;=1, 1, 0)</f>
        <v>1</v>
      </c>
    </row>
    <row r="1975" spans="1:10" x14ac:dyDescent="0.3">
      <c r="A1975">
        <v>134919488</v>
      </c>
      <c r="B1975" s="1">
        <v>45057</v>
      </c>
      <c r="C1975" s="1">
        <v>45145</v>
      </c>
      <c r="D1975">
        <v>39</v>
      </c>
      <c r="E1975" t="s">
        <v>6</v>
      </c>
      <c r="F1975" t="s">
        <v>7</v>
      </c>
      <c r="G1975" s="1">
        <f t="shared" si="90"/>
        <v>45145</v>
      </c>
      <c r="H1975">
        <f t="shared" si="91"/>
        <v>3</v>
      </c>
      <c r="I1975">
        <f t="shared" si="92"/>
        <v>0</v>
      </c>
      <c r="J1975">
        <f>IF(Table1[[#This Row],[Active_months]]&gt;=1, 1, 0)</f>
        <v>1</v>
      </c>
    </row>
    <row r="1976" spans="1:10" x14ac:dyDescent="0.3">
      <c r="A1976">
        <v>214912916</v>
      </c>
      <c r="B1976" s="1">
        <v>45057</v>
      </c>
      <c r="C1976" s="1">
        <v>45088</v>
      </c>
      <c r="D1976">
        <v>39</v>
      </c>
      <c r="E1976" t="s">
        <v>6</v>
      </c>
      <c r="F1976" t="s">
        <v>7</v>
      </c>
      <c r="G1976" s="1">
        <f t="shared" si="90"/>
        <v>45088</v>
      </c>
      <c r="H1976">
        <f t="shared" si="91"/>
        <v>1</v>
      </c>
      <c r="I1976">
        <f t="shared" si="92"/>
        <v>0</v>
      </c>
      <c r="J1976">
        <f>IF(Table1[[#This Row],[Active_months]]&gt;=1, 1, 0)</f>
        <v>1</v>
      </c>
    </row>
    <row r="1977" spans="1:10" x14ac:dyDescent="0.3">
      <c r="A1977">
        <v>215138344</v>
      </c>
      <c r="B1977" s="1">
        <v>45057</v>
      </c>
      <c r="C1977" s="1">
        <v>45079</v>
      </c>
      <c r="D1977">
        <v>39</v>
      </c>
      <c r="E1977" t="s">
        <v>6</v>
      </c>
      <c r="F1977" t="s">
        <v>7</v>
      </c>
      <c r="G1977" s="1">
        <f t="shared" si="90"/>
        <v>45079</v>
      </c>
      <c r="H1977">
        <f t="shared" si="91"/>
        <v>1</v>
      </c>
      <c r="I1977">
        <f t="shared" si="92"/>
        <v>0</v>
      </c>
      <c r="J1977">
        <f>IF(Table1[[#This Row],[Active_months]]&gt;=1, 1, 0)</f>
        <v>1</v>
      </c>
    </row>
    <row r="1978" spans="1:10" x14ac:dyDescent="0.3">
      <c r="A1978">
        <v>215132378</v>
      </c>
      <c r="B1978" s="1">
        <v>45057</v>
      </c>
      <c r="C1978" s="1">
        <v>45082</v>
      </c>
      <c r="D1978">
        <v>39</v>
      </c>
      <c r="E1978" t="s">
        <v>6</v>
      </c>
      <c r="F1978" t="s">
        <v>7</v>
      </c>
      <c r="G1978" s="1">
        <f t="shared" si="90"/>
        <v>45082</v>
      </c>
      <c r="H1978">
        <f t="shared" si="91"/>
        <v>1</v>
      </c>
      <c r="I1978">
        <f t="shared" si="92"/>
        <v>0</v>
      </c>
      <c r="J1978">
        <f>IF(Table1[[#This Row],[Active_months]]&gt;=1, 1, 0)</f>
        <v>1</v>
      </c>
    </row>
    <row r="1979" spans="1:10" x14ac:dyDescent="0.3">
      <c r="A1979">
        <v>206145911</v>
      </c>
      <c r="B1979" s="1">
        <v>45057</v>
      </c>
      <c r="C1979" s="1">
        <v>45057</v>
      </c>
      <c r="D1979">
        <v>39</v>
      </c>
      <c r="E1979" t="s">
        <v>6</v>
      </c>
      <c r="F1979" t="s">
        <v>7</v>
      </c>
      <c r="G1979" s="1">
        <f t="shared" si="90"/>
        <v>45057</v>
      </c>
      <c r="H1979">
        <f t="shared" si="91"/>
        <v>0</v>
      </c>
      <c r="I1979">
        <f t="shared" si="92"/>
        <v>0</v>
      </c>
      <c r="J1979">
        <f>IF(Table1[[#This Row],[Active_months]]&gt;=1, 1, 0)</f>
        <v>0</v>
      </c>
    </row>
    <row r="1980" spans="1:10" x14ac:dyDescent="0.3">
      <c r="A1980">
        <v>215146368</v>
      </c>
      <c r="B1980" s="1">
        <v>45057</v>
      </c>
      <c r="C1980" s="1">
        <v>45065</v>
      </c>
      <c r="D1980">
        <v>39</v>
      </c>
      <c r="E1980" t="s">
        <v>6</v>
      </c>
      <c r="F1980" t="s">
        <v>7</v>
      </c>
      <c r="G1980" s="1">
        <f t="shared" si="90"/>
        <v>45065</v>
      </c>
      <c r="H1980">
        <f t="shared" si="91"/>
        <v>0</v>
      </c>
      <c r="I1980">
        <f t="shared" si="92"/>
        <v>0</v>
      </c>
      <c r="J1980">
        <f>IF(Table1[[#This Row],[Active_months]]&gt;=1, 1, 0)</f>
        <v>0</v>
      </c>
    </row>
    <row r="1981" spans="1:10" x14ac:dyDescent="0.3">
      <c r="A1981">
        <v>133199506</v>
      </c>
      <c r="B1981" s="1">
        <v>45058</v>
      </c>
      <c r="D1981">
        <v>39</v>
      </c>
      <c r="E1981" t="s">
        <v>6</v>
      </c>
      <c r="F1981" t="s">
        <v>7</v>
      </c>
      <c r="G1981" s="1">
        <f t="shared" si="90"/>
        <v>45199</v>
      </c>
      <c r="H1981">
        <f t="shared" si="91"/>
        <v>4</v>
      </c>
      <c r="I1981">
        <f t="shared" si="92"/>
        <v>0</v>
      </c>
      <c r="J1981">
        <f>IF(Table1[[#This Row],[Active_months]]&gt;=1, 1, 0)</f>
        <v>1</v>
      </c>
    </row>
    <row r="1982" spans="1:10" x14ac:dyDescent="0.3">
      <c r="A1982">
        <v>202763494</v>
      </c>
      <c r="B1982" s="1">
        <v>45058</v>
      </c>
      <c r="D1982">
        <v>39</v>
      </c>
      <c r="E1982" t="s">
        <v>6</v>
      </c>
      <c r="F1982" t="s">
        <v>7</v>
      </c>
      <c r="G1982" s="1">
        <f t="shared" si="90"/>
        <v>45199</v>
      </c>
      <c r="H1982">
        <f t="shared" si="91"/>
        <v>4</v>
      </c>
      <c r="I1982">
        <f t="shared" si="92"/>
        <v>0</v>
      </c>
      <c r="J1982">
        <f>IF(Table1[[#This Row],[Active_months]]&gt;=1, 1, 0)</f>
        <v>1</v>
      </c>
    </row>
    <row r="1983" spans="1:10" x14ac:dyDescent="0.3">
      <c r="A1983">
        <v>215113205</v>
      </c>
      <c r="B1983" s="1">
        <v>45058</v>
      </c>
      <c r="D1983">
        <v>39</v>
      </c>
      <c r="E1983" t="s">
        <v>6</v>
      </c>
      <c r="F1983" t="s">
        <v>7</v>
      </c>
      <c r="G1983" s="1">
        <f t="shared" si="90"/>
        <v>45199</v>
      </c>
      <c r="H1983">
        <f t="shared" si="91"/>
        <v>4</v>
      </c>
      <c r="I1983">
        <f t="shared" si="92"/>
        <v>0</v>
      </c>
      <c r="J1983">
        <f>IF(Table1[[#This Row],[Active_months]]&gt;=1, 1, 0)</f>
        <v>1</v>
      </c>
    </row>
    <row r="1984" spans="1:10" x14ac:dyDescent="0.3">
      <c r="A1984">
        <v>147097108</v>
      </c>
      <c r="B1984" s="1">
        <v>45058</v>
      </c>
      <c r="D1984">
        <v>39</v>
      </c>
      <c r="E1984" t="s">
        <v>6</v>
      </c>
      <c r="F1984" t="s">
        <v>7</v>
      </c>
      <c r="G1984" s="1">
        <f t="shared" si="90"/>
        <v>45199</v>
      </c>
      <c r="H1984">
        <f t="shared" si="91"/>
        <v>4</v>
      </c>
      <c r="I1984">
        <f t="shared" si="92"/>
        <v>0</v>
      </c>
      <c r="J1984">
        <f>IF(Table1[[#This Row],[Active_months]]&gt;=1, 1, 0)</f>
        <v>1</v>
      </c>
    </row>
    <row r="1985" spans="1:10" x14ac:dyDescent="0.3">
      <c r="A1985">
        <v>186692270</v>
      </c>
      <c r="B1985" s="1">
        <v>45058</v>
      </c>
      <c r="D1985">
        <v>39</v>
      </c>
      <c r="E1985" t="s">
        <v>6</v>
      </c>
      <c r="F1985" t="s">
        <v>7</v>
      </c>
      <c r="G1985" s="1">
        <f t="shared" si="90"/>
        <v>45199</v>
      </c>
      <c r="H1985">
        <f t="shared" si="91"/>
        <v>4</v>
      </c>
      <c r="I1985">
        <f t="shared" si="92"/>
        <v>0</v>
      </c>
      <c r="J1985">
        <f>IF(Table1[[#This Row],[Active_months]]&gt;=1, 1, 0)</f>
        <v>1</v>
      </c>
    </row>
    <row r="1986" spans="1:10" x14ac:dyDescent="0.3">
      <c r="A1986">
        <v>215169444</v>
      </c>
      <c r="B1986" s="1">
        <v>45058</v>
      </c>
      <c r="D1986">
        <v>39</v>
      </c>
      <c r="E1986" t="s">
        <v>6</v>
      </c>
      <c r="F1986" t="s">
        <v>7</v>
      </c>
      <c r="G1986" s="1">
        <f t="shared" si="90"/>
        <v>45199</v>
      </c>
      <c r="H1986">
        <f t="shared" si="91"/>
        <v>4</v>
      </c>
      <c r="I1986">
        <f t="shared" si="92"/>
        <v>0</v>
      </c>
      <c r="J1986">
        <f>IF(Table1[[#This Row],[Active_months]]&gt;=1, 1, 0)</f>
        <v>1</v>
      </c>
    </row>
    <row r="1987" spans="1:10" x14ac:dyDescent="0.3">
      <c r="A1987">
        <v>114992353</v>
      </c>
      <c r="B1987" s="1">
        <v>45058</v>
      </c>
      <c r="C1987" s="1">
        <v>45152</v>
      </c>
      <c r="D1987">
        <v>39</v>
      </c>
      <c r="E1987" t="s">
        <v>6</v>
      </c>
      <c r="F1987" t="s">
        <v>7</v>
      </c>
      <c r="G1987" s="1">
        <f t="shared" ref="G1987:G2050" si="93">IF(ISBLANK(C1987), DATE(2023,9,30), C1987)</f>
        <v>45152</v>
      </c>
      <c r="H1987">
        <f t="shared" ref="H1987:H2050" si="94">(YEAR(G1987)-YEAR(B1987))*12 + (MONTH(G1987)-MONTH(B1987))</f>
        <v>3</v>
      </c>
      <c r="I1987">
        <f t="shared" ref="I1987:I2050" si="95">IF(H1987 &gt;=5, 1, 0)</f>
        <v>0</v>
      </c>
      <c r="J1987">
        <f>IF(Table1[[#This Row],[Active_months]]&gt;=1, 1, 0)</f>
        <v>1</v>
      </c>
    </row>
    <row r="1988" spans="1:10" x14ac:dyDescent="0.3">
      <c r="A1988">
        <v>212339137</v>
      </c>
      <c r="B1988" s="1">
        <v>45058</v>
      </c>
      <c r="C1988" s="1">
        <v>45059</v>
      </c>
      <c r="D1988">
        <v>39</v>
      </c>
      <c r="E1988" t="s">
        <v>6</v>
      </c>
      <c r="F1988" t="s">
        <v>7</v>
      </c>
      <c r="G1988" s="1">
        <f t="shared" si="93"/>
        <v>45059</v>
      </c>
      <c r="H1988">
        <f t="shared" si="94"/>
        <v>0</v>
      </c>
      <c r="I1988">
        <f t="shared" si="95"/>
        <v>0</v>
      </c>
      <c r="J1988">
        <f>IF(Table1[[#This Row],[Active_months]]&gt;=1, 1, 0)</f>
        <v>0</v>
      </c>
    </row>
    <row r="1989" spans="1:10" x14ac:dyDescent="0.3">
      <c r="A1989">
        <v>175564124</v>
      </c>
      <c r="B1989" s="1">
        <v>45058</v>
      </c>
      <c r="C1989" s="1">
        <v>45081</v>
      </c>
      <c r="D1989">
        <v>39</v>
      </c>
      <c r="E1989" t="s">
        <v>6</v>
      </c>
      <c r="F1989" t="s">
        <v>7</v>
      </c>
      <c r="G1989" s="1">
        <f t="shared" si="93"/>
        <v>45081</v>
      </c>
      <c r="H1989">
        <f t="shared" si="94"/>
        <v>1</v>
      </c>
      <c r="I1989">
        <f t="shared" si="95"/>
        <v>0</v>
      </c>
      <c r="J1989">
        <f>IF(Table1[[#This Row],[Active_months]]&gt;=1, 1, 0)</f>
        <v>1</v>
      </c>
    </row>
    <row r="1990" spans="1:10" x14ac:dyDescent="0.3">
      <c r="A1990">
        <v>174646950</v>
      </c>
      <c r="B1990" s="1">
        <v>45058</v>
      </c>
      <c r="C1990" s="1">
        <v>45096</v>
      </c>
      <c r="D1990">
        <v>39</v>
      </c>
      <c r="E1990" t="s">
        <v>6</v>
      </c>
      <c r="F1990" t="s">
        <v>7</v>
      </c>
      <c r="G1990" s="1">
        <f t="shared" si="93"/>
        <v>45096</v>
      </c>
      <c r="H1990">
        <f t="shared" si="94"/>
        <v>1</v>
      </c>
      <c r="I1990">
        <f t="shared" si="95"/>
        <v>0</v>
      </c>
      <c r="J1990">
        <f>IF(Table1[[#This Row],[Active_months]]&gt;=1, 1, 0)</f>
        <v>1</v>
      </c>
    </row>
    <row r="1991" spans="1:10" x14ac:dyDescent="0.3">
      <c r="A1991">
        <v>215075697</v>
      </c>
      <c r="B1991" s="1">
        <v>45058</v>
      </c>
      <c r="C1991" s="1">
        <v>45088</v>
      </c>
      <c r="D1991">
        <v>39</v>
      </c>
      <c r="E1991" t="s">
        <v>6</v>
      </c>
      <c r="F1991" t="s">
        <v>7</v>
      </c>
      <c r="G1991" s="1">
        <f t="shared" si="93"/>
        <v>45088</v>
      </c>
      <c r="H1991">
        <f t="shared" si="94"/>
        <v>1</v>
      </c>
      <c r="I1991">
        <f t="shared" si="95"/>
        <v>0</v>
      </c>
      <c r="J1991">
        <f>IF(Table1[[#This Row],[Active_months]]&gt;=1, 1, 0)</f>
        <v>1</v>
      </c>
    </row>
    <row r="1992" spans="1:10" x14ac:dyDescent="0.3">
      <c r="A1992">
        <v>215149530</v>
      </c>
      <c r="B1992" s="1">
        <v>45058</v>
      </c>
      <c r="C1992" s="1">
        <v>45107</v>
      </c>
      <c r="D1992">
        <v>39</v>
      </c>
      <c r="E1992" t="s">
        <v>6</v>
      </c>
      <c r="F1992" t="s">
        <v>7</v>
      </c>
      <c r="G1992" s="1">
        <f t="shared" si="93"/>
        <v>45107</v>
      </c>
      <c r="H1992">
        <f t="shared" si="94"/>
        <v>1</v>
      </c>
      <c r="I1992">
        <f t="shared" si="95"/>
        <v>0</v>
      </c>
      <c r="J1992">
        <f>IF(Table1[[#This Row],[Active_months]]&gt;=1, 1, 0)</f>
        <v>1</v>
      </c>
    </row>
    <row r="1993" spans="1:10" x14ac:dyDescent="0.3">
      <c r="A1993">
        <v>215226464</v>
      </c>
      <c r="B1993" s="1">
        <v>45059</v>
      </c>
      <c r="D1993">
        <v>39</v>
      </c>
      <c r="E1993" t="s">
        <v>6</v>
      </c>
      <c r="F1993" t="s">
        <v>7</v>
      </c>
      <c r="G1993" s="1">
        <f t="shared" si="93"/>
        <v>45199</v>
      </c>
      <c r="H1993">
        <f t="shared" si="94"/>
        <v>4</v>
      </c>
      <c r="I1993">
        <f t="shared" si="95"/>
        <v>0</v>
      </c>
      <c r="J1993">
        <f>IF(Table1[[#This Row],[Active_months]]&gt;=1, 1, 0)</f>
        <v>1</v>
      </c>
    </row>
    <row r="1994" spans="1:10" x14ac:dyDescent="0.3">
      <c r="A1994">
        <v>215221354</v>
      </c>
      <c r="B1994" s="1">
        <v>45059</v>
      </c>
      <c r="D1994">
        <v>39</v>
      </c>
      <c r="E1994" t="s">
        <v>6</v>
      </c>
      <c r="F1994" t="s">
        <v>7</v>
      </c>
      <c r="G1994" s="1">
        <f t="shared" si="93"/>
        <v>45199</v>
      </c>
      <c r="H1994">
        <f t="shared" si="94"/>
        <v>4</v>
      </c>
      <c r="I1994">
        <f t="shared" si="95"/>
        <v>0</v>
      </c>
      <c r="J1994">
        <f>IF(Table1[[#This Row],[Active_months]]&gt;=1, 1, 0)</f>
        <v>1</v>
      </c>
    </row>
    <row r="1995" spans="1:10" x14ac:dyDescent="0.3">
      <c r="A1995">
        <v>215031638</v>
      </c>
      <c r="B1995" s="1">
        <v>45059</v>
      </c>
      <c r="D1995">
        <v>39</v>
      </c>
      <c r="E1995" t="s">
        <v>6</v>
      </c>
      <c r="F1995" t="s">
        <v>7</v>
      </c>
      <c r="G1995" s="1">
        <f t="shared" si="93"/>
        <v>45199</v>
      </c>
      <c r="H1995">
        <f t="shared" si="94"/>
        <v>4</v>
      </c>
      <c r="I1995">
        <f t="shared" si="95"/>
        <v>0</v>
      </c>
      <c r="J1995">
        <f>IF(Table1[[#This Row],[Active_months]]&gt;=1, 1, 0)</f>
        <v>1</v>
      </c>
    </row>
    <row r="1996" spans="1:10" x14ac:dyDescent="0.3">
      <c r="A1996">
        <v>182019861</v>
      </c>
      <c r="B1996" s="1">
        <v>45060</v>
      </c>
      <c r="D1996">
        <v>39</v>
      </c>
      <c r="E1996" t="s">
        <v>6</v>
      </c>
      <c r="F1996" t="s">
        <v>7</v>
      </c>
      <c r="G1996" s="1">
        <f t="shared" si="93"/>
        <v>45199</v>
      </c>
      <c r="H1996">
        <f t="shared" si="94"/>
        <v>4</v>
      </c>
      <c r="I1996">
        <f t="shared" si="95"/>
        <v>0</v>
      </c>
      <c r="J1996">
        <f>IF(Table1[[#This Row],[Active_months]]&gt;=1, 1, 0)</f>
        <v>1</v>
      </c>
    </row>
    <row r="1997" spans="1:10" x14ac:dyDescent="0.3">
      <c r="A1997">
        <v>210072231</v>
      </c>
      <c r="B1997" s="1">
        <v>45060</v>
      </c>
      <c r="D1997">
        <v>39</v>
      </c>
      <c r="E1997" t="s">
        <v>6</v>
      </c>
      <c r="F1997" t="s">
        <v>7</v>
      </c>
      <c r="G1997" s="1">
        <f t="shared" si="93"/>
        <v>45199</v>
      </c>
      <c r="H1997">
        <f t="shared" si="94"/>
        <v>4</v>
      </c>
      <c r="I1997">
        <f t="shared" si="95"/>
        <v>0</v>
      </c>
      <c r="J1997">
        <f>IF(Table1[[#This Row],[Active_months]]&gt;=1, 1, 0)</f>
        <v>1</v>
      </c>
    </row>
    <row r="1998" spans="1:10" x14ac:dyDescent="0.3">
      <c r="A1998">
        <v>127328847</v>
      </c>
      <c r="B1998" s="1">
        <v>45060</v>
      </c>
      <c r="C1998" s="1">
        <v>45061</v>
      </c>
      <c r="D1998">
        <v>39</v>
      </c>
      <c r="E1998" t="s">
        <v>6</v>
      </c>
      <c r="F1998" t="s">
        <v>7</v>
      </c>
      <c r="G1998" s="1">
        <f t="shared" si="93"/>
        <v>45061</v>
      </c>
      <c r="H1998">
        <f t="shared" si="94"/>
        <v>0</v>
      </c>
      <c r="I1998">
        <f t="shared" si="95"/>
        <v>0</v>
      </c>
      <c r="J1998">
        <f>IF(Table1[[#This Row],[Active_months]]&gt;=1, 1, 0)</f>
        <v>0</v>
      </c>
    </row>
    <row r="1999" spans="1:10" x14ac:dyDescent="0.3">
      <c r="A1999">
        <v>155566052</v>
      </c>
      <c r="B1999" s="1">
        <v>45060</v>
      </c>
      <c r="C1999" s="1">
        <v>45089</v>
      </c>
      <c r="D1999">
        <v>39</v>
      </c>
      <c r="E1999" t="s">
        <v>6</v>
      </c>
      <c r="F1999" t="s">
        <v>7</v>
      </c>
      <c r="G1999" s="1">
        <f t="shared" si="93"/>
        <v>45089</v>
      </c>
      <c r="H1999">
        <f t="shared" si="94"/>
        <v>1</v>
      </c>
      <c r="I1999">
        <f t="shared" si="95"/>
        <v>0</v>
      </c>
      <c r="J1999">
        <f>IF(Table1[[#This Row],[Active_months]]&gt;=1, 1, 0)</f>
        <v>1</v>
      </c>
    </row>
    <row r="2000" spans="1:10" x14ac:dyDescent="0.3">
      <c r="A2000">
        <v>151513254</v>
      </c>
      <c r="B2000" s="1">
        <v>45060</v>
      </c>
      <c r="C2000" s="1">
        <v>45097</v>
      </c>
      <c r="D2000">
        <v>39</v>
      </c>
      <c r="E2000" t="s">
        <v>6</v>
      </c>
      <c r="F2000" t="s">
        <v>7</v>
      </c>
      <c r="G2000" s="1">
        <f t="shared" si="93"/>
        <v>45097</v>
      </c>
      <c r="H2000">
        <f t="shared" si="94"/>
        <v>1</v>
      </c>
      <c r="I2000">
        <f t="shared" si="95"/>
        <v>0</v>
      </c>
      <c r="J2000">
        <f>IF(Table1[[#This Row],[Active_months]]&gt;=1, 1, 0)</f>
        <v>1</v>
      </c>
    </row>
    <row r="2001" spans="1:10" x14ac:dyDescent="0.3">
      <c r="A2001">
        <v>152236400</v>
      </c>
      <c r="B2001" s="1">
        <v>45060</v>
      </c>
      <c r="C2001" s="1">
        <v>45113</v>
      </c>
      <c r="D2001">
        <v>39</v>
      </c>
      <c r="E2001" t="s">
        <v>6</v>
      </c>
      <c r="F2001" t="s">
        <v>7</v>
      </c>
      <c r="G2001" s="1">
        <f t="shared" si="93"/>
        <v>45113</v>
      </c>
      <c r="H2001">
        <f t="shared" si="94"/>
        <v>2</v>
      </c>
      <c r="I2001">
        <f t="shared" si="95"/>
        <v>0</v>
      </c>
      <c r="J2001">
        <f>IF(Table1[[#This Row],[Active_months]]&gt;=1, 1, 0)</f>
        <v>1</v>
      </c>
    </row>
    <row r="2002" spans="1:10" x14ac:dyDescent="0.3">
      <c r="A2002">
        <v>215030324</v>
      </c>
      <c r="B2002" s="1">
        <v>45060</v>
      </c>
      <c r="C2002" s="1">
        <v>45152</v>
      </c>
      <c r="D2002">
        <v>39</v>
      </c>
      <c r="E2002" t="s">
        <v>6</v>
      </c>
      <c r="F2002" t="s">
        <v>7</v>
      </c>
      <c r="G2002" s="1">
        <f t="shared" si="93"/>
        <v>45152</v>
      </c>
      <c r="H2002">
        <f t="shared" si="94"/>
        <v>3</v>
      </c>
      <c r="I2002">
        <f t="shared" si="95"/>
        <v>0</v>
      </c>
      <c r="J2002">
        <f>IF(Table1[[#This Row],[Active_months]]&gt;=1, 1, 0)</f>
        <v>1</v>
      </c>
    </row>
    <row r="2003" spans="1:10" x14ac:dyDescent="0.3">
      <c r="A2003">
        <v>206087650</v>
      </c>
      <c r="B2003" s="1">
        <v>45060</v>
      </c>
      <c r="C2003" s="1">
        <v>45128</v>
      </c>
      <c r="D2003">
        <v>39</v>
      </c>
      <c r="E2003" t="s">
        <v>6</v>
      </c>
      <c r="F2003" t="s">
        <v>7</v>
      </c>
      <c r="G2003" s="1">
        <f t="shared" si="93"/>
        <v>45128</v>
      </c>
      <c r="H2003">
        <f t="shared" si="94"/>
        <v>2</v>
      </c>
      <c r="I2003">
        <f t="shared" si="95"/>
        <v>0</v>
      </c>
      <c r="J2003">
        <f>IF(Table1[[#This Row],[Active_months]]&gt;=1, 1, 0)</f>
        <v>1</v>
      </c>
    </row>
    <row r="2004" spans="1:10" x14ac:dyDescent="0.3">
      <c r="A2004">
        <v>136252657</v>
      </c>
      <c r="B2004" s="1">
        <v>45061</v>
      </c>
      <c r="C2004" s="1">
        <v>45112</v>
      </c>
      <c r="D2004">
        <v>39</v>
      </c>
      <c r="E2004" t="s">
        <v>6</v>
      </c>
      <c r="F2004" t="s">
        <v>7</v>
      </c>
      <c r="G2004" s="1">
        <f t="shared" si="93"/>
        <v>45112</v>
      </c>
      <c r="H2004">
        <f t="shared" si="94"/>
        <v>2</v>
      </c>
      <c r="I2004">
        <f t="shared" si="95"/>
        <v>0</v>
      </c>
      <c r="J2004">
        <f>IF(Table1[[#This Row],[Active_months]]&gt;=1, 1, 0)</f>
        <v>1</v>
      </c>
    </row>
    <row r="2005" spans="1:10" x14ac:dyDescent="0.3">
      <c r="A2005">
        <v>134753801</v>
      </c>
      <c r="B2005" s="1">
        <v>45061</v>
      </c>
      <c r="C2005" s="1">
        <v>45119</v>
      </c>
      <c r="D2005">
        <v>39</v>
      </c>
      <c r="E2005" t="s">
        <v>6</v>
      </c>
      <c r="F2005" t="s">
        <v>7</v>
      </c>
      <c r="G2005" s="1">
        <f t="shared" si="93"/>
        <v>45119</v>
      </c>
      <c r="H2005">
        <f t="shared" si="94"/>
        <v>2</v>
      </c>
      <c r="I2005">
        <f t="shared" si="95"/>
        <v>0</v>
      </c>
      <c r="J2005">
        <f>IF(Table1[[#This Row],[Active_months]]&gt;=1, 1, 0)</f>
        <v>1</v>
      </c>
    </row>
    <row r="2006" spans="1:10" x14ac:dyDescent="0.3">
      <c r="A2006">
        <v>155245092</v>
      </c>
      <c r="B2006" s="1">
        <v>45061</v>
      </c>
      <c r="C2006" s="1">
        <v>45093</v>
      </c>
      <c r="D2006">
        <v>39</v>
      </c>
      <c r="E2006" t="s">
        <v>6</v>
      </c>
      <c r="F2006" t="s">
        <v>7</v>
      </c>
      <c r="G2006" s="1">
        <f t="shared" si="93"/>
        <v>45093</v>
      </c>
      <c r="H2006">
        <f t="shared" si="94"/>
        <v>1</v>
      </c>
      <c r="I2006">
        <f t="shared" si="95"/>
        <v>0</v>
      </c>
      <c r="J2006">
        <f>IF(Table1[[#This Row],[Active_months]]&gt;=1, 1, 0)</f>
        <v>1</v>
      </c>
    </row>
    <row r="2007" spans="1:10" x14ac:dyDescent="0.3">
      <c r="A2007">
        <v>214905500</v>
      </c>
      <c r="B2007" s="1">
        <v>45061</v>
      </c>
      <c r="C2007" s="1">
        <v>45160</v>
      </c>
      <c r="D2007">
        <v>39</v>
      </c>
      <c r="E2007" t="s">
        <v>6</v>
      </c>
      <c r="F2007" t="s">
        <v>7</v>
      </c>
      <c r="G2007" s="1">
        <f t="shared" si="93"/>
        <v>45160</v>
      </c>
      <c r="H2007">
        <f t="shared" si="94"/>
        <v>3</v>
      </c>
      <c r="I2007">
        <f t="shared" si="95"/>
        <v>0</v>
      </c>
      <c r="J2007">
        <f>IF(Table1[[#This Row],[Active_months]]&gt;=1, 1, 0)</f>
        <v>1</v>
      </c>
    </row>
    <row r="2008" spans="1:10" x14ac:dyDescent="0.3">
      <c r="A2008">
        <v>215152504</v>
      </c>
      <c r="B2008" s="1">
        <v>45062</v>
      </c>
      <c r="D2008">
        <v>39</v>
      </c>
      <c r="E2008" t="s">
        <v>6</v>
      </c>
      <c r="F2008" t="s">
        <v>7</v>
      </c>
      <c r="G2008" s="1">
        <f t="shared" si="93"/>
        <v>45199</v>
      </c>
      <c r="H2008">
        <f t="shared" si="94"/>
        <v>4</v>
      </c>
      <c r="I2008">
        <f t="shared" si="95"/>
        <v>0</v>
      </c>
      <c r="J2008">
        <f>IF(Table1[[#This Row],[Active_months]]&gt;=1, 1, 0)</f>
        <v>1</v>
      </c>
    </row>
    <row r="2009" spans="1:10" x14ac:dyDescent="0.3">
      <c r="A2009">
        <v>215336639</v>
      </c>
      <c r="B2009" s="1">
        <v>45062</v>
      </c>
      <c r="D2009">
        <v>39</v>
      </c>
      <c r="E2009" t="s">
        <v>6</v>
      </c>
      <c r="F2009" t="s">
        <v>7</v>
      </c>
      <c r="G2009" s="1">
        <f t="shared" si="93"/>
        <v>45199</v>
      </c>
      <c r="H2009">
        <f t="shared" si="94"/>
        <v>4</v>
      </c>
      <c r="I2009">
        <f t="shared" si="95"/>
        <v>0</v>
      </c>
      <c r="J2009">
        <f>IF(Table1[[#This Row],[Active_months]]&gt;=1, 1, 0)</f>
        <v>1</v>
      </c>
    </row>
    <row r="2010" spans="1:10" x14ac:dyDescent="0.3">
      <c r="A2010">
        <v>215220026</v>
      </c>
      <c r="B2010" s="1">
        <v>45062</v>
      </c>
      <c r="D2010">
        <v>39</v>
      </c>
      <c r="E2010" t="s">
        <v>6</v>
      </c>
      <c r="F2010" t="s">
        <v>7</v>
      </c>
      <c r="G2010" s="1">
        <f t="shared" si="93"/>
        <v>45199</v>
      </c>
      <c r="H2010">
        <f t="shared" si="94"/>
        <v>4</v>
      </c>
      <c r="I2010">
        <f t="shared" si="95"/>
        <v>0</v>
      </c>
      <c r="J2010">
        <f>IF(Table1[[#This Row],[Active_months]]&gt;=1, 1, 0)</f>
        <v>1</v>
      </c>
    </row>
    <row r="2011" spans="1:10" x14ac:dyDescent="0.3">
      <c r="A2011">
        <v>202395800</v>
      </c>
      <c r="B2011" s="1">
        <v>45062</v>
      </c>
      <c r="D2011">
        <v>39</v>
      </c>
      <c r="E2011" t="s">
        <v>6</v>
      </c>
      <c r="F2011" t="s">
        <v>7</v>
      </c>
      <c r="G2011" s="1">
        <f t="shared" si="93"/>
        <v>45199</v>
      </c>
      <c r="H2011">
        <f t="shared" si="94"/>
        <v>4</v>
      </c>
      <c r="I2011">
        <f t="shared" si="95"/>
        <v>0</v>
      </c>
      <c r="J2011">
        <f>IF(Table1[[#This Row],[Active_months]]&gt;=1, 1, 0)</f>
        <v>1</v>
      </c>
    </row>
    <row r="2012" spans="1:10" x14ac:dyDescent="0.3">
      <c r="A2012">
        <v>215289431</v>
      </c>
      <c r="B2012" s="1">
        <v>45062</v>
      </c>
      <c r="C2012" s="1">
        <v>45160</v>
      </c>
      <c r="D2012">
        <v>39</v>
      </c>
      <c r="E2012" t="s">
        <v>6</v>
      </c>
      <c r="F2012" t="s">
        <v>7</v>
      </c>
      <c r="G2012" s="1">
        <f t="shared" si="93"/>
        <v>45160</v>
      </c>
      <c r="H2012">
        <f t="shared" si="94"/>
        <v>3</v>
      </c>
      <c r="I2012">
        <f t="shared" si="95"/>
        <v>0</v>
      </c>
      <c r="J2012">
        <f>IF(Table1[[#This Row],[Active_months]]&gt;=1, 1, 0)</f>
        <v>1</v>
      </c>
    </row>
    <row r="2013" spans="1:10" x14ac:dyDescent="0.3">
      <c r="A2013">
        <v>182102820</v>
      </c>
      <c r="B2013" s="1">
        <v>45062</v>
      </c>
      <c r="C2013" s="1">
        <v>45063</v>
      </c>
      <c r="D2013">
        <v>39</v>
      </c>
      <c r="E2013" t="s">
        <v>6</v>
      </c>
      <c r="F2013" t="s">
        <v>7</v>
      </c>
      <c r="G2013" s="1">
        <f t="shared" si="93"/>
        <v>45063</v>
      </c>
      <c r="H2013">
        <f t="shared" si="94"/>
        <v>0</v>
      </c>
      <c r="I2013">
        <f t="shared" si="95"/>
        <v>0</v>
      </c>
      <c r="J2013">
        <f>IF(Table1[[#This Row],[Active_months]]&gt;=1, 1, 0)</f>
        <v>0</v>
      </c>
    </row>
    <row r="2014" spans="1:10" x14ac:dyDescent="0.3">
      <c r="A2014">
        <v>215322558</v>
      </c>
      <c r="B2014" s="1">
        <v>45062</v>
      </c>
      <c r="C2014" s="1">
        <v>45100</v>
      </c>
      <c r="D2014">
        <v>39</v>
      </c>
      <c r="E2014" t="s">
        <v>6</v>
      </c>
      <c r="F2014" t="s">
        <v>7</v>
      </c>
      <c r="G2014" s="1">
        <f t="shared" si="93"/>
        <v>45100</v>
      </c>
      <c r="H2014">
        <f t="shared" si="94"/>
        <v>1</v>
      </c>
      <c r="I2014">
        <f t="shared" si="95"/>
        <v>0</v>
      </c>
      <c r="J2014">
        <f>IF(Table1[[#This Row],[Active_months]]&gt;=1, 1, 0)</f>
        <v>1</v>
      </c>
    </row>
    <row r="2015" spans="1:10" x14ac:dyDescent="0.3">
      <c r="A2015">
        <v>215347417</v>
      </c>
      <c r="B2015" s="1">
        <v>45062</v>
      </c>
      <c r="C2015" s="1">
        <v>45071</v>
      </c>
      <c r="D2015">
        <v>39</v>
      </c>
      <c r="E2015" t="s">
        <v>6</v>
      </c>
      <c r="F2015" t="s">
        <v>7</v>
      </c>
      <c r="G2015" s="1">
        <f t="shared" si="93"/>
        <v>45071</v>
      </c>
      <c r="H2015">
        <f t="shared" si="94"/>
        <v>0</v>
      </c>
      <c r="I2015">
        <f t="shared" si="95"/>
        <v>0</v>
      </c>
      <c r="J2015">
        <f>IF(Table1[[#This Row],[Active_months]]&gt;=1, 1, 0)</f>
        <v>0</v>
      </c>
    </row>
    <row r="2016" spans="1:10" x14ac:dyDescent="0.3">
      <c r="A2016">
        <v>215203944</v>
      </c>
      <c r="B2016" s="1">
        <v>45062</v>
      </c>
      <c r="C2016" s="1">
        <v>45118</v>
      </c>
      <c r="D2016">
        <v>39</v>
      </c>
      <c r="E2016" t="s">
        <v>6</v>
      </c>
      <c r="F2016" t="s">
        <v>7</v>
      </c>
      <c r="G2016" s="1">
        <f t="shared" si="93"/>
        <v>45118</v>
      </c>
      <c r="H2016">
        <f t="shared" si="94"/>
        <v>2</v>
      </c>
      <c r="I2016">
        <f t="shared" si="95"/>
        <v>0</v>
      </c>
      <c r="J2016">
        <f>IF(Table1[[#This Row],[Active_months]]&gt;=1, 1, 0)</f>
        <v>1</v>
      </c>
    </row>
    <row r="2017" spans="1:10" x14ac:dyDescent="0.3">
      <c r="A2017">
        <v>215350747</v>
      </c>
      <c r="B2017" s="1">
        <v>45062</v>
      </c>
      <c r="C2017" s="1">
        <v>45141</v>
      </c>
      <c r="D2017">
        <v>39</v>
      </c>
      <c r="E2017" t="s">
        <v>6</v>
      </c>
      <c r="F2017" t="s">
        <v>7</v>
      </c>
      <c r="G2017" s="1">
        <f t="shared" si="93"/>
        <v>45141</v>
      </c>
      <c r="H2017">
        <f t="shared" si="94"/>
        <v>3</v>
      </c>
      <c r="I2017">
        <f t="shared" si="95"/>
        <v>0</v>
      </c>
      <c r="J2017">
        <f>IF(Table1[[#This Row],[Active_months]]&gt;=1, 1, 0)</f>
        <v>1</v>
      </c>
    </row>
    <row r="2018" spans="1:10" x14ac:dyDescent="0.3">
      <c r="A2018">
        <v>215254830</v>
      </c>
      <c r="B2018" s="1">
        <v>45062</v>
      </c>
      <c r="C2018" s="1">
        <v>45140</v>
      </c>
      <c r="D2018">
        <v>39</v>
      </c>
      <c r="E2018" t="s">
        <v>6</v>
      </c>
      <c r="F2018" t="s">
        <v>7</v>
      </c>
      <c r="G2018" s="1">
        <f t="shared" si="93"/>
        <v>45140</v>
      </c>
      <c r="H2018">
        <f t="shared" si="94"/>
        <v>3</v>
      </c>
      <c r="I2018">
        <f t="shared" si="95"/>
        <v>0</v>
      </c>
      <c r="J2018">
        <f>IF(Table1[[#This Row],[Active_months]]&gt;=1, 1, 0)</f>
        <v>1</v>
      </c>
    </row>
    <row r="2019" spans="1:10" x14ac:dyDescent="0.3">
      <c r="A2019">
        <v>192908537</v>
      </c>
      <c r="B2019" s="1">
        <v>45062</v>
      </c>
      <c r="C2019" s="1">
        <v>45093</v>
      </c>
      <c r="D2019">
        <v>39</v>
      </c>
      <c r="E2019" t="s">
        <v>6</v>
      </c>
      <c r="F2019" t="s">
        <v>7</v>
      </c>
      <c r="G2019" s="1">
        <f t="shared" si="93"/>
        <v>45093</v>
      </c>
      <c r="H2019">
        <f t="shared" si="94"/>
        <v>1</v>
      </c>
      <c r="I2019">
        <f t="shared" si="95"/>
        <v>0</v>
      </c>
      <c r="J2019">
        <f>IF(Table1[[#This Row],[Active_months]]&gt;=1, 1, 0)</f>
        <v>1</v>
      </c>
    </row>
    <row r="2020" spans="1:10" x14ac:dyDescent="0.3">
      <c r="A2020">
        <v>123007965</v>
      </c>
      <c r="B2020" s="1">
        <v>45063</v>
      </c>
      <c r="D2020">
        <v>39</v>
      </c>
      <c r="E2020" t="s">
        <v>6</v>
      </c>
      <c r="F2020" t="s">
        <v>7</v>
      </c>
      <c r="G2020" s="1">
        <f t="shared" si="93"/>
        <v>45199</v>
      </c>
      <c r="H2020">
        <f t="shared" si="94"/>
        <v>4</v>
      </c>
      <c r="I2020">
        <f t="shared" si="95"/>
        <v>0</v>
      </c>
      <c r="J2020">
        <f>IF(Table1[[#This Row],[Active_months]]&gt;=1, 1, 0)</f>
        <v>1</v>
      </c>
    </row>
    <row r="2021" spans="1:10" x14ac:dyDescent="0.3">
      <c r="A2021">
        <v>151711223</v>
      </c>
      <c r="B2021" s="1">
        <v>45063</v>
      </c>
      <c r="D2021">
        <v>39</v>
      </c>
      <c r="E2021" t="s">
        <v>6</v>
      </c>
      <c r="F2021" t="s">
        <v>7</v>
      </c>
      <c r="G2021" s="1">
        <f t="shared" si="93"/>
        <v>45199</v>
      </c>
      <c r="H2021">
        <f t="shared" si="94"/>
        <v>4</v>
      </c>
      <c r="I2021">
        <f t="shared" si="95"/>
        <v>0</v>
      </c>
      <c r="J2021">
        <f>IF(Table1[[#This Row],[Active_months]]&gt;=1, 1, 0)</f>
        <v>1</v>
      </c>
    </row>
    <row r="2022" spans="1:10" x14ac:dyDescent="0.3">
      <c r="A2022">
        <v>130751382</v>
      </c>
      <c r="B2022" s="1">
        <v>45063</v>
      </c>
      <c r="D2022">
        <v>39</v>
      </c>
      <c r="E2022" t="s">
        <v>6</v>
      </c>
      <c r="F2022" t="s">
        <v>7</v>
      </c>
      <c r="G2022" s="1">
        <f t="shared" si="93"/>
        <v>45199</v>
      </c>
      <c r="H2022">
        <f t="shared" si="94"/>
        <v>4</v>
      </c>
      <c r="I2022">
        <f t="shared" si="95"/>
        <v>0</v>
      </c>
      <c r="J2022">
        <f>IF(Table1[[#This Row],[Active_months]]&gt;=1, 1, 0)</f>
        <v>1</v>
      </c>
    </row>
    <row r="2023" spans="1:10" x14ac:dyDescent="0.3">
      <c r="A2023">
        <v>126037254</v>
      </c>
      <c r="B2023" s="1">
        <v>45063</v>
      </c>
      <c r="D2023">
        <v>39</v>
      </c>
      <c r="E2023" t="s">
        <v>6</v>
      </c>
      <c r="F2023" t="s">
        <v>7</v>
      </c>
      <c r="G2023" s="1">
        <f t="shared" si="93"/>
        <v>45199</v>
      </c>
      <c r="H2023">
        <f t="shared" si="94"/>
        <v>4</v>
      </c>
      <c r="I2023">
        <f t="shared" si="95"/>
        <v>0</v>
      </c>
      <c r="J2023">
        <f>IF(Table1[[#This Row],[Active_months]]&gt;=1, 1, 0)</f>
        <v>1</v>
      </c>
    </row>
    <row r="2024" spans="1:10" x14ac:dyDescent="0.3">
      <c r="A2024">
        <v>133469770</v>
      </c>
      <c r="B2024" s="1">
        <v>45063</v>
      </c>
      <c r="D2024">
        <v>39</v>
      </c>
      <c r="E2024" t="s">
        <v>6</v>
      </c>
      <c r="F2024" t="s">
        <v>7</v>
      </c>
      <c r="G2024" s="1">
        <f t="shared" si="93"/>
        <v>45199</v>
      </c>
      <c r="H2024">
        <f t="shared" si="94"/>
        <v>4</v>
      </c>
      <c r="I2024">
        <f t="shared" si="95"/>
        <v>0</v>
      </c>
      <c r="J2024">
        <f>IF(Table1[[#This Row],[Active_months]]&gt;=1, 1, 0)</f>
        <v>1</v>
      </c>
    </row>
    <row r="2025" spans="1:10" x14ac:dyDescent="0.3">
      <c r="A2025">
        <v>133565657</v>
      </c>
      <c r="B2025" s="1">
        <v>45063</v>
      </c>
      <c r="C2025" s="1">
        <v>45148</v>
      </c>
      <c r="D2025">
        <v>39</v>
      </c>
      <c r="E2025" t="s">
        <v>6</v>
      </c>
      <c r="F2025" t="s">
        <v>7</v>
      </c>
      <c r="G2025" s="1">
        <f t="shared" si="93"/>
        <v>45148</v>
      </c>
      <c r="H2025">
        <f t="shared" si="94"/>
        <v>3</v>
      </c>
      <c r="I2025">
        <f t="shared" si="95"/>
        <v>0</v>
      </c>
      <c r="J2025">
        <f>IF(Table1[[#This Row],[Active_months]]&gt;=1, 1, 0)</f>
        <v>1</v>
      </c>
    </row>
    <row r="2026" spans="1:10" x14ac:dyDescent="0.3">
      <c r="A2026">
        <v>215307979</v>
      </c>
      <c r="B2026" s="1">
        <v>45063</v>
      </c>
      <c r="C2026" s="1">
        <v>45101</v>
      </c>
      <c r="D2026">
        <v>39</v>
      </c>
      <c r="E2026" t="s">
        <v>6</v>
      </c>
      <c r="F2026" t="s">
        <v>7</v>
      </c>
      <c r="G2026" s="1">
        <f t="shared" si="93"/>
        <v>45101</v>
      </c>
      <c r="H2026">
        <f t="shared" si="94"/>
        <v>1</v>
      </c>
      <c r="I2026">
        <f t="shared" si="95"/>
        <v>0</v>
      </c>
      <c r="J2026">
        <f>IF(Table1[[#This Row],[Active_months]]&gt;=1, 1, 0)</f>
        <v>1</v>
      </c>
    </row>
    <row r="2027" spans="1:10" x14ac:dyDescent="0.3">
      <c r="A2027">
        <v>174289942</v>
      </c>
      <c r="B2027" s="1">
        <v>45063</v>
      </c>
      <c r="C2027" s="1">
        <v>45128</v>
      </c>
      <c r="D2027">
        <v>39</v>
      </c>
      <c r="E2027" t="s">
        <v>6</v>
      </c>
      <c r="F2027" t="s">
        <v>7</v>
      </c>
      <c r="G2027" s="1">
        <f t="shared" si="93"/>
        <v>45128</v>
      </c>
      <c r="H2027">
        <f t="shared" si="94"/>
        <v>2</v>
      </c>
      <c r="I2027">
        <f t="shared" si="95"/>
        <v>0</v>
      </c>
      <c r="J2027">
        <f>IF(Table1[[#This Row],[Active_months]]&gt;=1, 1, 0)</f>
        <v>1</v>
      </c>
    </row>
    <row r="2028" spans="1:10" x14ac:dyDescent="0.3">
      <c r="A2028">
        <v>215366550</v>
      </c>
      <c r="B2028" s="1">
        <v>45063</v>
      </c>
      <c r="C2028" s="1">
        <v>45139</v>
      </c>
      <c r="D2028">
        <v>39</v>
      </c>
      <c r="E2028" t="s">
        <v>6</v>
      </c>
      <c r="F2028" t="s">
        <v>7</v>
      </c>
      <c r="G2028" s="1">
        <f t="shared" si="93"/>
        <v>45139</v>
      </c>
      <c r="H2028">
        <f t="shared" si="94"/>
        <v>3</v>
      </c>
      <c r="I2028">
        <f t="shared" si="95"/>
        <v>0</v>
      </c>
      <c r="J2028">
        <f>IF(Table1[[#This Row],[Active_months]]&gt;=1, 1, 0)</f>
        <v>1</v>
      </c>
    </row>
    <row r="2029" spans="1:10" x14ac:dyDescent="0.3">
      <c r="A2029">
        <v>210361390</v>
      </c>
      <c r="B2029" s="1">
        <v>45064</v>
      </c>
      <c r="D2029">
        <v>39</v>
      </c>
      <c r="E2029" t="s">
        <v>6</v>
      </c>
      <c r="F2029" t="s">
        <v>7</v>
      </c>
      <c r="G2029" s="1">
        <f t="shared" si="93"/>
        <v>45199</v>
      </c>
      <c r="H2029">
        <f t="shared" si="94"/>
        <v>4</v>
      </c>
      <c r="I2029">
        <f t="shared" si="95"/>
        <v>0</v>
      </c>
      <c r="J2029">
        <f>IF(Table1[[#This Row],[Active_months]]&gt;=1, 1, 0)</f>
        <v>1</v>
      </c>
    </row>
    <row r="2030" spans="1:10" x14ac:dyDescent="0.3">
      <c r="A2030">
        <v>120738319</v>
      </c>
      <c r="B2030" s="1">
        <v>45064</v>
      </c>
      <c r="D2030">
        <v>39</v>
      </c>
      <c r="E2030" t="s">
        <v>6</v>
      </c>
      <c r="F2030" t="s">
        <v>7</v>
      </c>
      <c r="G2030" s="1">
        <f t="shared" si="93"/>
        <v>45199</v>
      </c>
      <c r="H2030">
        <f t="shared" si="94"/>
        <v>4</v>
      </c>
      <c r="I2030">
        <f t="shared" si="95"/>
        <v>0</v>
      </c>
      <c r="J2030">
        <f>IF(Table1[[#This Row],[Active_months]]&gt;=1, 1, 0)</f>
        <v>1</v>
      </c>
    </row>
    <row r="2031" spans="1:10" x14ac:dyDescent="0.3">
      <c r="A2031">
        <v>214122861</v>
      </c>
      <c r="B2031" s="1">
        <v>45064</v>
      </c>
      <c r="D2031">
        <v>39</v>
      </c>
      <c r="E2031" t="s">
        <v>6</v>
      </c>
      <c r="F2031" t="s">
        <v>7</v>
      </c>
      <c r="G2031" s="1">
        <f t="shared" si="93"/>
        <v>45199</v>
      </c>
      <c r="H2031">
        <f t="shared" si="94"/>
        <v>4</v>
      </c>
      <c r="I2031">
        <f t="shared" si="95"/>
        <v>0</v>
      </c>
      <c r="J2031">
        <f>IF(Table1[[#This Row],[Active_months]]&gt;=1, 1, 0)</f>
        <v>1</v>
      </c>
    </row>
    <row r="2032" spans="1:10" x14ac:dyDescent="0.3">
      <c r="A2032">
        <v>214793162</v>
      </c>
      <c r="B2032" s="1">
        <v>45064</v>
      </c>
      <c r="D2032">
        <v>39</v>
      </c>
      <c r="E2032" t="s">
        <v>6</v>
      </c>
      <c r="F2032" t="s">
        <v>7</v>
      </c>
      <c r="G2032" s="1">
        <f t="shared" si="93"/>
        <v>45199</v>
      </c>
      <c r="H2032">
        <f t="shared" si="94"/>
        <v>4</v>
      </c>
      <c r="I2032">
        <f t="shared" si="95"/>
        <v>0</v>
      </c>
      <c r="J2032">
        <f>IF(Table1[[#This Row],[Active_months]]&gt;=1, 1, 0)</f>
        <v>1</v>
      </c>
    </row>
    <row r="2033" spans="1:10" x14ac:dyDescent="0.3">
      <c r="A2033">
        <v>215420480</v>
      </c>
      <c r="B2033" s="1">
        <v>45064</v>
      </c>
      <c r="C2033" s="1">
        <v>45175</v>
      </c>
      <c r="D2033">
        <v>39</v>
      </c>
      <c r="E2033" t="s">
        <v>6</v>
      </c>
      <c r="F2033" t="s">
        <v>7</v>
      </c>
      <c r="G2033" s="1">
        <f t="shared" si="93"/>
        <v>45175</v>
      </c>
      <c r="H2033">
        <f t="shared" si="94"/>
        <v>4</v>
      </c>
      <c r="I2033">
        <f t="shared" si="95"/>
        <v>0</v>
      </c>
      <c r="J2033">
        <f>IF(Table1[[#This Row],[Active_months]]&gt;=1, 1, 0)</f>
        <v>1</v>
      </c>
    </row>
    <row r="2034" spans="1:10" x14ac:dyDescent="0.3">
      <c r="A2034">
        <v>215415792</v>
      </c>
      <c r="B2034" s="1">
        <v>45064</v>
      </c>
      <c r="C2034" s="1">
        <v>45065</v>
      </c>
      <c r="D2034">
        <v>39</v>
      </c>
      <c r="E2034" t="s">
        <v>6</v>
      </c>
      <c r="F2034" t="s">
        <v>8</v>
      </c>
      <c r="G2034" s="1">
        <f t="shared" si="93"/>
        <v>45065</v>
      </c>
      <c r="H2034">
        <f t="shared" si="94"/>
        <v>0</v>
      </c>
      <c r="I2034">
        <f t="shared" si="95"/>
        <v>0</v>
      </c>
      <c r="J2034">
        <f>IF(Table1[[#This Row],[Active_months]]&gt;=1, 1, 0)</f>
        <v>0</v>
      </c>
    </row>
    <row r="2035" spans="1:10" x14ac:dyDescent="0.3">
      <c r="A2035">
        <v>152705871</v>
      </c>
      <c r="B2035" s="1">
        <v>45064</v>
      </c>
      <c r="C2035" s="1">
        <v>45071</v>
      </c>
      <c r="D2035">
        <v>39</v>
      </c>
      <c r="E2035" t="s">
        <v>6</v>
      </c>
      <c r="F2035" t="s">
        <v>7</v>
      </c>
      <c r="G2035" s="1">
        <f t="shared" si="93"/>
        <v>45071</v>
      </c>
      <c r="H2035">
        <f t="shared" si="94"/>
        <v>0</v>
      </c>
      <c r="I2035">
        <f t="shared" si="95"/>
        <v>0</v>
      </c>
      <c r="J2035">
        <f>IF(Table1[[#This Row],[Active_months]]&gt;=1, 1, 0)</f>
        <v>0</v>
      </c>
    </row>
    <row r="2036" spans="1:10" x14ac:dyDescent="0.3">
      <c r="A2036">
        <v>168265029</v>
      </c>
      <c r="B2036" s="1">
        <v>45064</v>
      </c>
      <c r="C2036" s="1">
        <v>45077</v>
      </c>
      <c r="D2036">
        <v>39</v>
      </c>
      <c r="E2036" t="s">
        <v>6</v>
      </c>
      <c r="F2036" t="s">
        <v>7</v>
      </c>
      <c r="G2036" s="1">
        <f t="shared" si="93"/>
        <v>45077</v>
      </c>
      <c r="H2036">
        <f t="shared" si="94"/>
        <v>0</v>
      </c>
      <c r="I2036">
        <f t="shared" si="95"/>
        <v>0</v>
      </c>
      <c r="J2036">
        <f>IF(Table1[[#This Row],[Active_months]]&gt;=1, 1, 0)</f>
        <v>0</v>
      </c>
    </row>
    <row r="2037" spans="1:10" x14ac:dyDescent="0.3">
      <c r="A2037">
        <v>215428908</v>
      </c>
      <c r="B2037" s="1">
        <v>45064</v>
      </c>
      <c r="C2037" s="1">
        <v>45096</v>
      </c>
      <c r="D2037">
        <v>39</v>
      </c>
      <c r="E2037" t="s">
        <v>6</v>
      </c>
      <c r="F2037" t="s">
        <v>7</v>
      </c>
      <c r="G2037" s="1">
        <f t="shared" si="93"/>
        <v>45096</v>
      </c>
      <c r="H2037">
        <f t="shared" si="94"/>
        <v>1</v>
      </c>
      <c r="I2037">
        <f t="shared" si="95"/>
        <v>0</v>
      </c>
      <c r="J2037">
        <f>IF(Table1[[#This Row],[Active_months]]&gt;=1, 1, 0)</f>
        <v>1</v>
      </c>
    </row>
    <row r="2038" spans="1:10" x14ac:dyDescent="0.3">
      <c r="A2038">
        <v>215189952</v>
      </c>
      <c r="B2038" s="1">
        <v>45064</v>
      </c>
      <c r="C2038" s="1">
        <v>45106</v>
      </c>
      <c r="D2038">
        <v>39</v>
      </c>
      <c r="E2038" t="s">
        <v>6</v>
      </c>
      <c r="F2038" t="s">
        <v>7</v>
      </c>
      <c r="G2038" s="1">
        <f t="shared" si="93"/>
        <v>45106</v>
      </c>
      <c r="H2038">
        <f t="shared" si="94"/>
        <v>1</v>
      </c>
      <c r="I2038">
        <f t="shared" si="95"/>
        <v>0</v>
      </c>
      <c r="J2038">
        <f>IF(Table1[[#This Row],[Active_months]]&gt;=1, 1, 0)</f>
        <v>1</v>
      </c>
    </row>
    <row r="2039" spans="1:10" x14ac:dyDescent="0.3">
      <c r="A2039">
        <v>208168256</v>
      </c>
      <c r="B2039" s="1">
        <v>45064</v>
      </c>
      <c r="C2039" s="1">
        <v>45095</v>
      </c>
      <c r="D2039">
        <v>39</v>
      </c>
      <c r="E2039" t="s">
        <v>6</v>
      </c>
      <c r="F2039" t="s">
        <v>7</v>
      </c>
      <c r="G2039" s="1">
        <f t="shared" si="93"/>
        <v>45095</v>
      </c>
      <c r="H2039">
        <f t="shared" si="94"/>
        <v>1</v>
      </c>
      <c r="I2039">
        <f t="shared" si="95"/>
        <v>0</v>
      </c>
      <c r="J2039">
        <f>IF(Table1[[#This Row],[Active_months]]&gt;=1, 1, 0)</f>
        <v>1</v>
      </c>
    </row>
    <row r="2040" spans="1:10" x14ac:dyDescent="0.3">
      <c r="A2040">
        <v>163193072</v>
      </c>
      <c r="B2040" s="1">
        <v>45065</v>
      </c>
      <c r="D2040">
        <v>39</v>
      </c>
      <c r="E2040" t="s">
        <v>6</v>
      </c>
      <c r="F2040" t="s">
        <v>7</v>
      </c>
      <c r="G2040" s="1">
        <f t="shared" si="93"/>
        <v>45199</v>
      </c>
      <c r="H2040">
        <f t="shared" si="94"/>
        <v>4</v>
      </c>
      <c r="I2040">
        <f t="shared" si="95"/>
        <v>0</v>
      </c>
      <c r="J2040">
        <f>IF(Table1[[#This Row],[Active_months]]&gt;=1, 1, 0)</f>
        <v>1</v>
      </c>
    </row>
    <row r="2041" spans="1:10" x14ac:dyDescent="0.3">
      <c r="A2041">
        <v>153449481</v>
      </c>
      <c r="B2041" s="1">
        <v>45065</v>
      </c>
      <c r="C2041" s="1">
        <v>45066</v>
      </c>
      <c r="D2041">
        <v>39</v>
      </c>
      <c r="E2041" t="s">
        <v>6</v>
      </c>
      <c r="F2041" t="s">
        <v>7</v>
      </c>
      <c r="G2041" s="1">
        <f t="shared" si="93"/>
        <v>45066</v>
      </c>
      <c r="H2041">
        <f t="shared" si="94"/>
        <v>0</v>
      </c>
      <c r="I2041">
        <f t="shared" si="95"/>
        <v>0</v>
      </c>
      <c r="J2041">
        <f>IF(Table1[[#This Row],[Active_months]]&gt;=1, 1, 0)</f>
        <v>0</v>
      </c>
    </row>
    <row r="2042" spans="1:10" x14ac:dyDescent="0.3">
      <c r="A2042">
        <v>215384745</v>
      </c>
      <c r="B2042" s="1">
        <v>45065</v>
      </c>
      <c r="C2042" s="1">
        <v>45095</v>
      </c>
      <c r="D2042">
        <v>39</v>
      </c>
      <c r="E2042" t="s">
        <v>6</v>
      </c>
      <c r="F2042" t="s">
        <v>7</v>
      </c>
      <c r="G2042" s="1">
        <f t="shared" si="93"/>
        <v>45095</v>
      </c>
      <c r="H2042">
        <f t="shared" si="94"/>
        <v>1</v>
      </c>
      <c r="I2042">
        <f t="shared" si="95"/>
        <v>0</v>
      </c>
      <c r="J2042">
        <f>IF(Table1[[#This Row],[Active_months]]&gt;=1, 1, 0)</f>
        <v>1</v>
      </c>
    </row>
    <row r="2043" spans="1:10" x14ac:dyDescent="0.3">
      <c r="A2043">
        <v>160904253</v>
      </c>
      <c r="B2043" s="1">
        <v>45065</v>
      </c>
      <c r="C2043" s="1">
        <v>45103</v>
      </c>
      <c r="D2043">
        <v>39</v>
      </c>
      <c r="E2043" t="s">
        <v>6</v>
      </c>
      <c r="F2043" t="s">
        <v>7</v>
      </c>
      <c r="G2043" s="1">
        <f t="shared" si="93"/>
        <v>45103</v>
      </c>
      <c r="H2043">
        <f t="shared" si="94"/>
        <v>1</v>
      </c>
      <c r="I2043">
        <f t="shared" si="95"/>
        <v>0</v>
      </c>
      <c r="J2043">
        <f>IF(Table1[[#This Row],[Active_months]]&gt;=1, 1, 0)</f>
        <v>1</v>
      </c>
    </row>
    <row r="2044" spans="1:10" x14ac:dyDescent="0.3">
      <c r="A2044">
        <v>215476119</v>
      </c>
      <c r="B2044" s="1">
        <v>45065</v>
      </c>
      <c r="C2044" s="1">
        <v>45103</v>
      </c>
      <c r="D2044">
        <v>39</v>
      </c>
      <c r="E2044" t="s">
        <v>6</v>
      </c>
      <c r="F2044" t="s">
        <v>7</v>
      </c>
      <c r="G2044" s="1">
        <f t="shared" si="93"/>
        <v>45103</v>
      </c>
      <c r="H2044">
        <f t="shared" si="94"/>
        <v>1</v>
      </c>
      <c r="I2044">
        <f t="shared" si="95"/>
        <v>0</v>
      </c>
      <c r="J2044">
        <f>IF(Table1[[#This Row],[Active_months]]&gt;=1, 1, 0)</f>
        <v>1</v>
      </c>
    </row>
    <row r="2045" spans="1:10" x14ac:dyDescent="0.3">
      <c r="A2045">
        <v>214624328</v>
      </c>
      <c r="B2045" s="1">
        <v>45065</v>
      </c>
      <c r="C2045" s="1">
        <v>45091</v>
      </c>
      <c r="D2045">
        <v>39</v>
      </c>
      <c r="E2045" t="s">
        <v>6</v>
      </c>
      <c r="F2045" t="s">
        <v>7</v>
      </c>
      <c r="G2045" s="1">
        <f t="shared" si="93"/>
        <v>45091</v>
      </c>
      <c r="H2045">
        <f t="shared" si="94"/>
        <v>1</v>
      </c>
      <c r="I2045">
        <f t="shared" si="95"/>
        <v>0</v>
      </c>
      <c r="J2045">
        <f>IF(Table1[[#This Row],[Active_months]]&gt;=1, 1, 0)</f>
        <v>1</v>
      </c>
    </row>
    <row r="2046" spans="1:10" x14ac:dyDescent="0.3">
      <c r="A2046">
        <v>215463105</v>
      </c>
      <c r="B2046" s="1">
        <v>45065</v>
      </c>
      <c r="C2046" s="1">
        <v>45073</v>
      </c>
      <c r="D2046">
        <v>39</v>
      </c>
      <c r="E2046" t="s">
        <v>6</v>
      </c>
      <c r="F2046" t="s">
        <v>7</v>
      </c>
      <c r="G2046" s="1">
        <f t="shared" si="93"/>
        <v>45073</v>
      </c>
      <c r="H2046">
        <f t="shared" si="94"/>
        <v>0</v>
      </c>
      <c r="I2046">
        <f t="shared" si="95"/>
        <v>0</v>
      </c>
      <c r="J2046">
        <f>IF(Table1[[#This Row],[Active_months]]&gt;=1, 1, 0)</f>
        <v>0</v>
      </c>
    </row>
    <row r="2047" spans="1:10" x14ac:dyDescent="0.3">
      <c r="A2047">
        <v>187368519</v>
      </c>
      <c r="B2047" s="1">
        <v>45065</v>
      </c>
      <c r="C2047" s="1">
        <v>45164</v>
      </c>
      <c r="D2047">
        <v>39</v>
      </c>
      <c r="E2047" t="s">
        <v>6</v>
      </c>
      <c r="F2047" t="s">
        <v>7</v>
      </c>
      <c r="G2047" s="1">
        <f t="shared" si="93"/>
        <v>45164</v>
      </c>
      <c r="H2047">
        <f t="shared" si="94"/>
        <v>3</v>
      </c>
      <c r="I2047">
        <f t="shared" si="95"/>
        <v>0</v>
      </c>
      <c r="J2047">
        <f>IF(Table1[[#This Row],[Active_months]]&gt;=1, 1, 0)</f>
        <v>1</v>
      </c>
    </row>
    <row r="2048" spans="1:10" x14ac:dyDescent="0.3">
      <c r="A2048">
        <v>206139986</v>
      </c>
      <c r="B2048" s="1">
        <v>45065</v>
      </c>
      <c r="C2048" s="1">
        <v>45125</v>
      </c>
      <c r="D2048">
        <v>39</v>
      </c>
      <c r="E2048" t="s">
        <v>6</v>
      </c>
      <c r="F2048" t="s">
        <v>7</v>
      </c>
      <c r="G2048" s="1">
        <f t="shared" si="93"/>
        <v>45125</v>
      </c>
      <c r="H2048">
        <f t="shared" si="94"/>
        <v>2</v>
      </c>
      <c r="I2048">
        <f t="shared" si="95"/>
        <v>0</v>
      </c>
      <c r="J2048">
        <f>IF(Table1[[#This Row],[Active_months]]&gt;=1, 1, 0)</f>
        <v>1</v>
      </c>
    </row>
    <row r="2049" spans="1:10" x14ac:dyDescent="0.3">
      <c r="A2049">
        <v>215473481</v>
      </c>
      <c r="B2049" s="1">
        <v>45065</v>
      </c>
      <c r="C2049" s="1">
        <v>45121</v>
      </c>
      <c r="D2049">
        <v>39</v>
      </c>
      <c r="E2049" t="s">
        <v>6</v>
      </c>
      <c r="F2049" t="s">
        <v>7</v>
      </c>
      <c r="G2049" s="1">
        <f t="shared" si="93"/>
        <v>45121</v>
      </c>
      <c r="H2049">
        <f t="shared" si="94"/>
        <v>2</v>
      </c>
      <c r="I2049">
        <f t="shared" si="95"/>
        <v>0</v>
      </c>
      <c r="J2049">
        <f>IF(Table1[[#This Row],[Active_months]]&gt;=1, 1, 0)</f>
        <v>1</v>
      </c>
    </row>
    <row r="2050" spans="1:10" x14ac:dyDescent="0.3">
      <c r="A2050">
        <v>214967111</v>
      </c>
      <c r="B2050" s="1">
        <v>45066</v>
      </c>
      <c r="D2050">
        <v>39</v>
      </c>
      <c r="E2050" t="s">
        <v>6</v>
      </c>
      <c r="F2050" t="s">
        <v>7</v>
      </c>
      <c r="G2050" s="1">
        <f t="shared" si="93"/>
        <v>45199</v>
      </c>
      <c r="H2050">
        <f t="shared" si="94"/>
        <v>4</v>
      </c>
      <c r="I2050">
        <f t="shared" si="95"/>
        <v>0</v>
      </c>
      <c r="J2050">
        <f>IF(Table1[[#This Row],[Active_months]]&gt;=1, 1, 0)</f>
        <v>1</v>
      </c>
    </row>
    <row r="2051" spans="1:10" x14ac:dyDescent="0.3">
      <c r="A2051">
        <v>215472324</v>
      </c>
      <c r="B2051" s="1">
        <v>45066</v>
      </c>
      <c r="C2051" s="1">
        <v>45104</v>
      </c>
      <c r="D2051">
        <v>39</v>
      </c>
      <c r="E2051" t="s">
        <v>6</v>
      </c>
      <c r="F2051" t="s">
        <v>7</v>
      </c>
      <c r="G2051" s="1">
        <f t="shared" ref="G2051:G2114" si="96">IF(ISBLANK(C2051), DATE(2023,9,30), C2051)</f>
        <v>45104</v>
      </c>
      <c r="H2051">
        <f t="shared" ref="H2051:H2114" si="97">(YEAR(G2051)-YEAR(B2051))*12 + (MONTH(G2051)-MONTH(B2051))</f>
        <v>1</v>
      </c>
      <c r="I2051">
        <f t="shared" ref="I2051:I2114" si="98">IF(H2051 &gt;=5, 1, 0)</f>
        <v>0</v>
      </c>
      <c r="J2051">
        <f>IF(Table1[[#This Row],[Active_months]]&gt;=1, 1, 0)</f>
        <v>1</v>
      </c>
    </row>
    <row r="2052" spans="1:10" x14ac:dyDescent="0.3">
      <c r="A2052">
        <v>146557284</v>
      </c>
      <c r="B2052" s="1">
        <v>45066</v>
      </c>
      <c r="C2052" s="1">
        <v>45098</v>
      </c>
      <c r="D2052">
        <v>39</v>
      </c>
      <c r="E2052" t="s">
        <v>6</v>
      </c>
      <c r="F2052" t="s">
        <v>7</v>
      </c>
      <c r="G2052" s="1">
        <f t="shared" si="96"/>
        <v>45098</v>
      </c>
      <c r="H2052">
        <f t="shared" si="97"/>
        <v>1</v>
      </c>
      <c r="I2052">
        <f t="shared" si="98"/>
        <v>0</v>
      </c>
      <c r="J2052">
        <f>IF(Table1[[#This Row],[Active_months]]&gt;=1, 1, 0)</f>
        <v>1</v>
      </c>
    </row>
    <row r="2053" spans="1:10" x14ac:dyDescent="0.3">
      <c r="A2053">
        <v>215486098</v>
      </c>
      <c r="B2053" s="1">
        <v>45067</v>
      </c>
      <c r="D2053">
        <v>39</v>
      </c>
      <c r="E2053" t="s">
        <v>6</v>
      </c>
      <c r="F2053" t="s">
        <v>7</v>
      </c>
      <c r="G2053" s="1">
        <f t="shared" si="96"/>
        <v>45199</v>
      </c>
      <c r="H2053">
        <f t="shared" si="97"/>
        <v>4</v>
      </c>
      <c r="I2053">
        <f t="shared" si="98"/>
        <v>0</v>
      </c>
      <c r="J2053">
        <f>IF(Table1[[#This Row],[Active_months]]&gt;=1, 1, 0)</f>
        <v>1</v>
      </c>
    </row>
    <row r="2054" spans="1:10" x14ac:dyDescent="0.3">
      <c r="A2054">
        <v>119436804</v>
      </c>
      <c r="B2054" s="1">
        <v>45067</v>
      </c>
      <c r="D2054">
        <v>39</v>
      </c>
      <c r="E2054" t="s">
        <v>6</v>
      </c>
      <c r="F2054" t="s">
        <v>7</v>
      </c>
      <c r="G2054" s="1">
        <f t="shared" si="96"/>
        <v>45199</v>
      </c>
      <c r="H2054">
        <f t="shared" si="97"/>
        <v>4</v>
      </c>
      <c r="I2054">
        <f t="shared" si="98"/>
        <v>0</v>
      </c>
      <c r="J2054">
        <f>IF(Table1[[#This Row],[Active_months]]&gt;=1, 1, 0)</f>
        <v>1</v>
      </c>
    </row>
    <row r="2055" spans="1:10" x14ac:dyDescent="0.3">
      <c r="A2055">
        <v>127100688</v>
      </c>
      <c r="B2055" s="1">
        <v>45067</v>
      </c>
      <c r="C2055" s="1">
        <v>45068</v>
      </c>
      <c r="D2055">
        <v>39</v>
      </c>
      <c r="E2055" t="s">
        <v>6</v>
      </c>
      <c r="F2055" t="s">
        <v>7</v>
      </c>
      <c r="G2055" s="1">
        <f t="shared" si="96"/>
        <v>45068</v>
      </c>
      <c r="H2055">
        <f t="shared" si="97"/>
        <v>0</v>
      </c>
      <c r="I2055">
        <f t="shared" si="98"/>
        <v>0</v>
      </c>
      <c r="J2055">
        <f>IF(Table1[[#This Row],[Active_months]]&gt;=1, 1, 0)</f>
        <v>0</v>
      </c>
    </row>
    <row r="2056" spans="1:10" x14ac:dyDescent="0.3">
      <c r="A2056">
        <v>134524378</v>
      </c>
      <c r="B2056" s="1">
        <v>45067</v>
      </c>
      <c r="C2056" s="1">
        <v>45068</v>
      </c>
      <c r="D2056">
        <v>39</v>
      </c>
      <c r="E2056" t="s">
        <v>6</v>
      </c>
      <c r="F2056" t="s">
        <v>7</v>
      </c>
      <c r="G2056" s="1">
        <f t="shared" si="96"/>
        <v>45068</v>
      </c>
      <c r="H2056">
        <f t="shared" si="97"/>
        <v>0</v>
      </c>
      <c r="I2056">
        <f t="shared" si="98"/>
        <v>0</v>
      </c>
      <c r="J2056">
        <f>IF(Table1[[#This Row],[Active_months]]&gt;=1, 1, 0)</f>
        <v>0</v>
      </c>
    </row>
    <row r="2057" spans="1:10" x14ac:dyDescent="0.3">
      <c r="A2057">
        <v>134652589</v>
      </c>
      <c r="B2057" s="1">
        <v>45067</v>
      </c>
      <c r="C2057" s="1">
        <v>45067</v>
      </c>
      <c r="D2057">
        <v>39</v>
      </c>
      <c r="E2057" t="s">
        <v>6</v>
      </c>
      <c r="F2057" t="s">
        <v>7</v>
      </c>
      <c r="G2057" s="1">
        <f t="shared" si="96"/>
        <v>45067</v>
      </c>
      <c r="H2057">
        <f t="shared" si="97"/>
        <v>0</v>
      </c>
      <c r="I2057">
        <f t="shared" si="98"/>
        <v>0</v>
      </c>
      <c r="J2057">
        <f>IF(Table1[[#This Row],[Active_months]]&gt;=1, 1, 0)</f>
        <v>0</v>
      </c>
    </row>
    <row r="2058" spans="1:10" x14ac:dyDescent="0.3">
      <c r="A2058">
        <v>214134251</v>
      </c>
      <c r="B2058" s="1">
        <v>45067</v>
      </c>
      <c r="C2058" s="1">
        <v>45068</v>
      </c>
      <c r="D2058">
        <v>39</v>
      </c>
      <c r="E2058" t="s">
        <v>6</v>
      </c>
      <c r="F2058" t="s">
        <v>8</v>
      </c>
      <c r="G2058" s="1">
        <f t="shared" si="96"/>
        <v>45068</v>
      </c>
      <c r="H2058">
        <f t="shared" si="97"/>
        <v>0</v>
      </c>
      <c r="I2058">
        <f t="shared" si="98"/>
        <v>0</v>
      </c>
      <c r="J2058">
        <f>IF(Table1[[#This Row],[Active_months]]&gt;=1, 1, 0)</f>
        <v>0</v>
      </c>
    </row>
    <row r="2059" spans="1:10" x14ac:dyDescent="0.3">
      <c r="A2059">
        <v>215565049</v>
      </c>
      <c r="B2059" s="1">
        <v>45067</v>
      </c>
      <c r="C2059" s="1">
        <v>45067</v>
      </c>
      <c r="D2059">
        <v>39</v>
      </c>
      <c r="E2059" t="s">
        <v>6</v>
      </c>
      <c r="F2059" t="s">
        <v>7</v>
      </c>
      <c r="G2059" s="1">
        <f t="shared" si="96"/>
        <v>45067</v>
      </c>
      <c r="H2059">
        <f t="shared" si="97"/>
        <v>0</v>
      </c>
      <c r="I2059">
        <f t="shared" si="98"/>
        <v>0</v>
      </c>
      <c r="J2059">
        <f>IF(Table1[[#This Row],[Active_months]]&gt;=1, 1, 0)</f>
        <v>0</v>
      </c>
    </row>
    <row r="2060" spans="1:10" x14ac:dyDescent="0.3">
      <c r="A2060">
        <v>215606026</v>
      </c>
      <c r="B2060" s="1">
        <v>45067</v>
      </c>
      <c r="C2060" s="1">
        <v>45127</v>
      </c>
      <c r="D2060">
        <v>39</v>
      </c>
      <c r="E2060" t="s">
        <v>6</v>
      </c>
      <c r="F2060" t="s">
        <v>7</v>
      </c>
      <c r="G2060" s="1">
        <f t="shared" si="96"/>
        <v>45127</v>
      </c>
      <c r="H2060">
        <f t="shared" si="97"/>
        <v>2</v>
      </c>
      <c r="I2060">
        <f t="shared" si="98"/>
        <v>0</v>
      </c>
      <c r="J2060">
        <f>IF(Table1[[#This Row],[Active_months]]&gt;=1, 1, 0)</f>
        <v>1</v>
      </c>
    </row>
    <row r="2061" spans="1:10" x14ac:dyDescent="0.3">
      <c r="A2061">
        <v>215678881</v>
      </c>
      <c r="B2061" s="1">
        <v>45068</v>
      </c>
      <c r="D2061">
        <v>39</v>
      </c>
      <c r="E2061" t="s">
        <v>6</v>
      </c>
      <c r="F2061" t="s">
        <v>7</v>
      </c>
      <c r="G2061" s="1">
        <f t="shared" si="96"/>
        <v>45199</v>
      </c>
      <c r="H2061">
        <f t="shared" si="97"/>
        <v>4</v>
      </c>
      <c r="I2061">
        <f t="shared" si="98"/>
        <v>0</v>
      </c>
      <c r="J2061">
        <f>IF(Table1[[#This Row],[Active_months]]&gt;=1, 1, 0)</f>
        <v>1</v>
      </c>
    </row>
    <row r="2062" spans="1:10" x14ac:dyDescent="0.3">
      <c r="A2062">
        <v>212356610</v>
      </c>
      <c r="B2062" s="1">
        <v>45068</v>
      </c>
      <c r="D2062">
        <v>39</v>
      </c>
      <c r="E2062" t="s">
        <v>6</v>
      </c>
      <c r="F2062" t="s">
        <v>7</v>
      </c>
      <c r="G2062" s="1">
        <f t="shared" si="96"/>
        <v>45199</v>
      </c>
      <c r="H2062">
        <f t="shared" si="97"/>
        <v>4</v>
      </c>
      <c r="I2062">
        <f t="shared" si="98"/>
        <v>0</v>
      </c>
      <c r="J2062">
        <f>IF(Table1[[#This Row],[Active_months]]&gt;=1, 1, 0)</f>
        <v>1</v>
      </c>
    </row>
    <row r="2063" spans="1:10" x14ac:dyDescent="0.3">
      <c r="A2063">
        <v>215336118</v>
      </c>
      <c r="B2063" s="1">
        <v>45068</v>
      </c>
      <c r="D2063">
        <v>39</v>
      </c>
      <c r="E2063" t="s">
        <v>6</v>
      </c>
      <c r="F2063" t="s">
        <v>7</v>
      </c>
      <c r="G2063" s="1">
        <f t="shared" si="96"/>
        <v>45199</v>
      </c>
      <c r="H2063">
        <f t="shared" si="97"/>
        <v>4</v>
      </c>
      <c r="I2063">
        <f t="shared" si="98"/>
        <v>0</v>
      </c>
      <c r="J2063">
        <f>IF(Table1[[#This Row],[Active_months]]&gt;=1, 1, 0)</f>
        <v>1</v>
      </c>
    </row>
    <row r="2064" spans="1:10" x14ac:dyDescent="0.3">
      <c r="A2064">
        <v>215664306</v>
      </c>
      <c r="B2064" s="1">
        <v>45068</v>
      </c>
      <c r="D2064">
        <v>39</v>
      </c>
      <c r="E2064" t="s">
        <v>6</v>
      </c>
      <c r="F2064" t="s">
        <v>7</v>
      </c>
      <c r="G2064" s="1">
        <f t="shared" si="96"/>
        <v>45199</v>
      </c>
      <c r="H2064">
        <f t="shared" si="97"/>
        <v>4</v>
      </c>
      <c r="I2064">
        <f t="shared" si="98"/>
        <v>0</v>
      </c>
      <c r="J2064">
        <f>IF(Table1[[#This Row],[Active_months]]&gt;=1, 1, 0)</f>
        <v>1</v>
      </c>
    </row>
    <row r="2065" spans="1:10" x14ac:dyDescent="0.3">
      <c r="A2065">
        <v>215643802</v>
      </c>
      <c r="B2065" s="1">
        <v>45068</v>
      </c>
      <c r="D2065">
        <v>39</v>
      </c>
      <c r="E2065" t="s">
        <v>6</v>
      </c>
      <c r="F2065" t="s">
        <v>7</v>
      </c>
      <c r="G2065" s="1">
        <f t="shared" si="96"/>
        <v>45199</v>
      </c>
      <c r="H2065">
        <f t="shared" si="97"/>
        <v>4</v>
      </c>
      <c r="I2065">
        <f t="shared" si="98"/>
        <v>0</v>
      </c>
      <c r="J2065">
        <f>IF(Table1[[#This Row],[Active_months]]&gt;=1, 1, 0)</f>
        <v>1</v>
      </c>
    </row>
    <row r="2066" spans="1:10" x14ac:dyDescent="0.3">
      <c r="A2066">
        <v>206177720</v>
      </c>
      <c r="B2066" s="1">
        <v>45068</v>
      </c>
      <c r="C2066" s="1">
        <v>45069</v>
      </c>
      <c r="D2066">
        <v>39</v>
      </c>
      <c r="E2066" t="s">
        <v>6</v>
      </c>
      <c r="F2066" t="s">
        <v>8</v>
      </c>
      <c r="G2066" s="1">
        <f t="shared" si="96"/>
        <v>45069</v>
      </c>
      <c r="H2066">
        <f t="shared" si="97"/>
        <v>0</v>
      </c>
      <c r="I2066">
        <f t="shared" si="98"/>
        <v>0</v>
      </c>
      <c r="J2066">
        <f>IF(Table1[[#This Row],[Active_months]]&gt;=1, 1, 0)</f>
        <v>0</v>
      </c>
    </row>
    <row r="2067" spans="1:10" x14ac:dyDescent="0.3">
      <c r="A2067">
        <v>215691994</v>
      </c>
      <c r="B2067" s="1">
        <v>45068</v>
      </c>
      <c r="C2067" s="1">
        <v>45159</v>
      </c>
      <c r="D2067">
        <v>39</v>
      </c>
      <c r="E2067" t="s">
        <v>6</v>
      </c>
      <c r="F2067" t="s">
        <v>7</v>
      </c>
      <c r="G2067" s="1">
        <f t="shared" si="96"/>
        <v>45159</v>
      </c>
      <c r="H2067">
        <f t="shared" si="97"/>
        <v>3</v>
      </c>
      <c r="I2067">
        <f t="shared" si="98"/>
        <v>0</v>
      </c>
      <c r="J2067">
        <f>IF(Table1[[#This Row],[Active_months]]&gt;=1, 1, 0)</f>
        <v>1</v>
      </c>
    </row>
    <row r="2068" spans="1:10" x14ac:dyDescent="0.3">
      <c r="A2068">
        <v>215653406</v>
      </c>
      <c r="B2068" s="1">
        <v>45069</v>
      </c>
      <c r="D2068">
        <v>39</v>
      </c>
      <c r="E2068" t="s">
        <v>6</v>
      </c>
      <c r="F2068" t="s">
        <v>7</v>
      </c>
      <c r="G2068" s="1">
        <f t="shared" si="96"/>
        <v>45199</v>
      </c>
      <c r="H2068">
        <f t="shared" si="97"/>
        <v>4</v>
      </c>
      <c r="I2068">
        <f t="shared" si="98"/>
        <v>0</v>
      </c>
      <c r="J2068">
        <f>IF(Table1[[#This Row],[Active_months]]&gt;=1, 1, 0)</f>
        <v>1</v>
      </c>
    </row>
    <row r="2069" spans="1:10" x14ac:dyDescent="0.3">
      <c r="A2069">
        <v>215534470</v>
      </c>
      <c r="B2069" s="1">
        <v>45069</v>
      </c>
      <c r="C2069" s="1">
        <v>45070</v>
      </c>
      <c r="D2069">
        <v>39</v>
      </c>
      <c r="E2069" t="s">
        <v>6</v>
      </c>
      <c r="F2069" t="s">
        <v>7</v>
      </c>
      <c r="G2069" s="1">
        <f t="shared" si="96"/>
        <v>45070</v>
      </c>
      <c r="H2069">
        <f t="shared" si="97"/>
        <v>0</v>
      </c>
      <c r="I2069">
        <f t="shared" si="98"/>
        <v>0</v>
      </c>
      <c r="J2069">
        <f>IF(Table1[[#This Row],[Active_months]]&gt;=1, 1, 0)</f>
        <v>0</v>
      </c>
    </row>
    <row r="2070" spans="1:10" x14ac:dyDescent="0.3">
      <c r="A2070">
        <v>150751482</v>
      </c>
      <c r="B2070" s="1">
        <v>45069</v>
      </c>
      <c r="C2070" s="1">
        <v>45127</v>
      </c>
      <c r="D2070">
        <v>39</v>
      </c>
      <c r="E2070" t="s">
        <v>6</v>
      </c>
      <c r="F2070" t="s">
        <v>7</v>
      </c>
      <c r="G2070" s="1">
        <f t="shared" si="96"/>
        <v>45127</v>
      </c>
      <c r="H2070">
        <f t="shared" si="97"/>
        <v>2</v>
      </c>
      <c r="I2070">
        <f t="shared" si="98"/>
        <v>0</v>
      </c>
      <c r="J2070">
        <f>IF(Table1[[#This Row],[Active_months]]&gt;=1, 1, 0)</f>
        <v>1</v>
      </c>
    </row>
    <row r="2071" spans="1:10" x14ac:dyDescent="0.3">
      <c r="A2071">
        <v>208601341</v>
      </c>
      <c r="B2071" s="1">
        <v>45069</v>
      </c>
      <c r="C2071" s="1">
        <v>45115</v>
      </c>
      <c r="D2071">
        <v>39</v>
      </c>
      <c r="E2071" t="s">
        <v>6</v>
      </c>
      <c r="F2071" t="s">
        <v>7</v>
      </c>
      <c r="G2071" s="1">
        <f t="shared" si="96"/>
        <v>45115</v>
      </c>
      <c r="H2071">
        <f t="shared" si="97"/>
        <v>2</v>
      </c>
      <c r="I2071">
        <f t="shared" si="98"/>
        <v>0</v>
      </c>
      <c r="J2071">
        <f>IF(Table1[[#This Row],[Active_months]]&gt;=1, 1, 0)</f>
        <v>1</v>
      </c>
    </row>
    <row r="2072" spans="1:10" x14ac:dyDescent="0.3">
      <c r="A2072">
        <v>215473479</v>
      </c>
      <c r="B2072" s="1">
        <v>45069</v>
      </c>
      <c r="C2072" s="1">
        <v>45103</v>
      </c>
      <c r="D2072">
        <v>39</v>
      </c>
      <c r="E2072" t="s">
        <v>6</v>
      </c>
      <c r="F2072" t="s">
        <v>7</v>
      </c>
      <c r="G2072" s="1">
        <f t="shared" si="96"/>
        <v>45103</v>
      </c>
      <c r="H2072">
        <f t="shared" si="97"/>
        <v>1</v>
      </c>
      <c r="I2072">
        <f t="shared" si="98"/>
        <v>0</v>
      </c>
      <c r="J2072">
        <f>IF(Table1[[#This Row],[Active_months]]&gt;=1, 1, 0)</f>
        <v>1</v>
      </c>
    </row>
    <row r="2073" spans="1:10" x14ac:dyDescent="0.3">
      <c r="A2073">
        <v>215646044</v>
      </c>
      <c r="B2073" s="1">
        <v>45069</v>
      </c>
      <c r="C2073" s="1">
        <v>45098</v>
      </c>
      <c r="D2073">
        <v>39</v>
      </c>
      <c r="E2073" t="s">
        <v>6</v>
      </c>
      <c r="F2073" t="s">
        <v>7</v>
      </c>
      <c r="G2073" s="1">
        <f t="shared" si="96"/>
        <v>45098</v>
      </c>
      <c r="H2073">
        <f t="shared" si="97"/>
        <v>1</v>
      </c>
      <c r="I2073">
        <f t="shared" si="98"/>
        <v>0</v>
      </c>
      <c r="J2073">
        <f>IF(Table1[[#This Row],[Active_months]]&gt;=1, 1, 0)</f>
        <v>1</v>
      </c>
    </row>
    <row r="2074" spans="1:10" x14ac:dyDescent="0.3">
      <c r="A2074">
        <v>215686983</v>
      </c>
      <c r="B2074" s="1">
        <v>45069</v>
      </c>
      <c r="C2074" s="1">
        <v>45103</v>
      </c>
      <c r="D2074">
        <v>39</v>
      </c>
      <c r="E2074" t="s">
        <v>6</v>
      </c>
      <c r="F2074" t="s">
        <v>7</v>
      </c>
      <c r="G2074" s="1">
        <f t="shared" si="96"/>
        <v>45103</v>
      </c>
      <c r="H2074">
        <f t="shared" si="97"/>
        <v>1</v>
      </c>
      <c r="I2074">
        <f t="shared" si="98"/>
        <v>0</v>
      </c>
      <c r="J2074">
        <f>IF(Table1[[#This Row],[Active_months]]&gt;=1, 1, 0)</f>
        <v>1</v>
      </c>
    </row>
    <row r="2075" spans="1:10" x14ac:dyDescent="0.3">
      <c r="A2075">
        <v>215704655</v>
      </c>
      <c r="B2075" s="1">
        <v>45070</v>
      </c>
      <c r="D2075">
        <v>39</v>
      </c>
      <c r="E2075" t="s">
        <v>6</v>
      </c>
      <c r="F2075" t="s">
        <v>7</v>
      </c>
      <c r="G2075" s="1">
        <f t="shared" si="96"/>
        <v>45199</v>
      </c>
      <c r="H2075">
        <f t="shared" si="97"/>
        <v>4</v>
      </c>
      <c r="I2075">
        <f t="shared" si="98"/>
        <v>0</v>
      </c>
      <c r="J2075">
        <f>IF(Table1[[#This Row],[Active_months]]&gt;=1, 1, 0)</f>
        <v>1</v>
      </c>
    </row>
    <row r="2076" spans="1:10" x14ac:dyDescent="0.3">
      <c r="A2076">
        <v>131984682</v>
      </c>
      <c r="B2076" s="1">
        <v>45070</v>
      </c>
      <c r="C2076" s="1">
        <v>45116</v>
      </c>
      <c r="D2076">
        <v>39</v>
      </c>
      <c r="E2076" t="s">
        <v>6</v>
      </c>
      <c r="F2076" t="s">
        <v>7</v>
      </c>
      <c r="G2076" s="1">
        <f t="shared" si="96"/>
        <v>45116</v>
      </c>
      <c r="H2076">
        <f t="shared" si="97"/>
        <v>2</v>
      </c>
      <c r="I2076">
        <f t="shared" si="98"/>
        <v>0</v>
      </c>
      <c r="J2076">
        <f>IF(Table1[[#This Row],[Active_months]]&gt;=1, 1, 0)</f>
        <v>1</v>
      </c>
    </row>
    <row r="2077" spans="1:10" x14ac:dyDescent="0.3">
      <c r="A2077">
        <v>214698924</v>
      </c>
      <c r="B2077" s="1">
        <v>45070</v>
      </c>
      <c r="C2077" s="1">
        <v>45104</v>
      </c>
      <c r="D2077">
        <v>39</v>
      </c>
      <c r="E2077" t="s">
        <v>6</v>
      </c>
      <c r="F2077" t="s">
        <v>7</v>
      </c>
      <c r="G2077" s="1">
        <f t="shared" si="96"/>
        <v>45104</v>
      </c>
      <c r="H2077">
        <f t="shared" si="97"/>
        <v>1</v>
      </c>
      <c r="I2077">
        <f t="shared" si="98"/>
        <v>0</v>
      </c>
      <c r="J2077">
        <f>IF(Table1[[#This Row],[Active_months]]&gt;=1, 1, 0)</f>
        <v>1</v>
      </c>
    </row>
    <row r="2078" spans="1:10" x14ac:dyDescent="0.3">
      <c r="A2078">
        <v>183886863</v>
      </c>
      <c r="B2078" s="1">
        <v>45070</v>
      </c>
      <c r="C2078" s="1">
        <v>45070</v>
      </c>
      <c r="D2078">
        <v>39</v>
      </c>
      <c r="E2078" t="s">
        <v>6</v>
      </c>
      <c r="F2078" t="s">
        <v>7</v>
      </c>
      <c r="G2078" s="1">
        <f t="shared" si="96"/>
        <v>45070</v>
      </c>
      <c r="H2078">
        <f t="shared" si="97"/>
        <v>0</v>
      </c>
      <c r="I2078">
        <f t="shared" si="98"/>
        <v>0</v>
      </c>
      <c r="J2078">
        <f>IF(Table1[[#This Row],[Active_months]]&gt;=1, 1, 0)</f>
        <v>0</v>
      </c>
    </row>
    <row r="2079" spans="1:10" x14ac:dyDescent="0.3">
      <c r="A2079">
        <v>215869320</v>
      </c>
      <c r="B2079" s="1">
        <v>45071</v>
      </c>
      <c r="D2079">
        <v>39</v>
      </c>
      <c r="E2079" t="s">
        <v>6</v>
      </c>
      <c r="F2079" t="s">
        <v>7</v>
      </c>
      <c r="G2079" s="1">
        <f t="shared" si="96"/>
        <v>45199</v>
      </c>
      <c r="H2079">
        <f t="shared" si="97"/>
        <v>4</v>
      </c>
      <c r="I2079">
        <f t="shared" si="98"/>
        <v>0</v>
      </c>
      <c r="J2079">
        <f>IF(Table1[[#This Row],[Active_months]]&gt;=1, 1, 0)</f>
        <v>1</v>
      </c>
    </row>
    <row r="2080" spans="1:10" x14ac:dyDescent="0.3">
      <c r="A2080">
        <v>215616284</v>
      </c>
      <c r="B2080" s="1">
        <v>45071</v>
      </c>
      <c r="D2080">
        <v>39</v>
      </c>
      <c r="E2080" t="s">
        <v>6</v>
      </c>
      <c r="F2080" t="s">
        <v>7</v>
      </c>
      <c r="G2080" s="1">
        <f t="shared" si="96"/>
        <v>45199</v>
      </c>
      <c r="H2080">
        <f t="shared" si="97"/>
        <v>4</v>
      </c>
      <c r="I2080">
        <f t="shared" si="98"/>
        <v>0</v>
      </c>
      <c r="J2080">
        <f>IF(Table1[[#This Row],[Active_months]]&gt;=1, 1, 0)</f>
        <v>1</v>
      </c>
    </row>
    <row r="2081" spans="1:10" x14ac:dyDescent="0.3">
      <c r="A2081">
        <v>215896078</v>
      </c>
      <c r="B2081" s="1">
        <v>45071</v>
      </c>
      <c r="D2081">
        <v>39</v>
      </c>
      <c r="E2081" t="s">
        <v>6</v>
      </c>
      <c r="F2081" t="s">
        <v>7</v>
      </c>
      <c r="G2081" s="1">
        <f t="shared" si="96"/>
        <v>45199</v>
      </c>
      <c r="H2081">
        <f t="shared" si="97"/>
        <v>4</v>
      </c>
      <c r="I2081">
        <f t="shared" si="98"/>
        <v>0</v>
      </c>
      <c r="J2081">
        <f>IF(Table1[[#This Row],[Active_months]]&gt;=1, 1, 0)</f>
        <v>1</v>
      </c>
    </row>
    <row r="2082" spans="1:10" x14ac:dyDescent="0.3">
      <c r="A2082">
        <v>215910170</v>
      </c>
      <c r="B2082" s="1">
        <v>45071</v>
      </c>
      <c r="D2082">
        <v>39</v>
      </c>
      <c r="E2082" t="s">
        <v>6</v>
      </c>
      <c r="F2082" t="s">
        <v>7</v>
      </c>
      <c r="G2082" s="1">
        <f t="shared" si="96"/>
        <v>45199</v>
      </c>
      <c r="H2082">
        <f t="shared" si="97"/>
        <v>4</v>
      </c>
      <c r="I2082">
        <f t="shared" si="98"/>
        <v>0</v>
      </c>
      <c r="J2082">
        <f>IF(Table1[[#This Row],[Active_months]]&gt;=1, 1, 0)</f>
        <v>1</v>
      </c>
    </row>
    <row r="2083" spans="1:10" x14ac:dyDescent="0.3">
      <c r="A2083">
        <v>211754109</v>
      </c>
      <c r="B2083" s="1">
        <v>45071</v>
      </c>
      <c r="C2083" s="1">
        <v>45072</v>
      </c>
      <c r="D2083">
        <v>39</v>
      </c>
      <c r="E2083" t="s">
        <v>6</v>
      </c>
      <c r="F2083" t="s">
        <v>8</v>
      </c>
      <c r="G2083" s="1">
        <f t="shared" si="96"/>
        <v>45072</v>
      </c>
      <c r="H2083">
        <f t="shared" si="97"/>
        <v>0</v>
      </c>
      <c r="I2083">
        <f t="shared" si="98"/>
        <v>0</v>
      </c>
      <c r="J2083">
        <f>IF(Table1[[#This Row],[Active_months]]&gt;=1, 1, 0)</f>
        <v>0</v>
      </c>
    </row>
    <row r="2084" spans="1:10" x14ac:dyDescent="0.3">
      <c r="A2084">
        <v>205682690</v>
      </c>
      <c r="B2084" s="1">
        <v>45071</v>
      </c>
      <c r="C2084" s="1">
        <v>45072</v>
      </c>
      <c r="D2084">
        <v>39</v>
      </c>
      <c r="E2084" t="s">
        <v>6</v>
      </c>
      <c r="F2084" t="s">
        <v>7</v>
      </c>
      <c r="G2084" s="1">
        <f t="shared" si="96"/>
        <v>45072</v>
      </c>
      <c r="H2084">
        <f t="shared" si="97"/>
        <v>0</v>
      </c>
      <c r="I2084">
        <f t="shared" si="98"/>
        <v>0</v>
      </c>
      <c r="J2084">
        <f>IF(Table1[[#This Row],[Active_months]]&gt;=1, 1, 0)</f>
        <v>0</v>
      </c>
    </row>
    <row r="2085" spans="1:10" x14ac:dyDescent="0.3">
      <c r="A2085">
        <v>151412112</v>
      </c>
      <c r="B2085" s="1">
        <v>45071</v>
      </c>
      <c r="C2085" s="1">
        <v>45096</v>
      </c>
      <c r="D2085">
        <v>39</v>
      </c>
      <c r="E2085" t="s">
        <v>6</v>
      </c>
      <c r="F2085" t="s">
        <v>7</v>
      </c>
      <c r="G2085" s="1">
        <f t="shared" si="96"/>
        <v>45096</v>
      </c>
      <c r="H2085">
        <f t="shared" si="97"/>
        <v>1</v>
      </c>
      <c r="I2085">
        <f t="shared" si="98"/>
        <v>0</v>
      </c>
      <c r="J2085">
        <f>IF(Table1[[#This Row],[Active_months]]&gt;=1, 1, 0)</f>
        <v>1</v>
      </c>
    </row>
    <row r="2086" spans="1:10" x14ac:dyDescent="0.3">
      <c r="A2086">
        <v>154467458</v>
      </c>
      <c r="B2086" s="1">
        <v>45071</v>
      </c>
      <c r="C2086" s="1">
        <v>45106</v>
      </c>
      <c r="D2086">
        <v>39</v>
      </c>
      <c r="E2086" t="s">
        <v>6</v>
      </c>
      <c r="F2086" t="s">
        <v>7</v>
      </c>
      <c r="G2086" s="1">
        <f t="shared" si="96"/>
        <v>45106</v>
      </c>
      <c r="H2086">
        <f t="shared" si="97"/>
        <v>1</v>
      </c>
      <c r="I2086">
        <f t="shared" si="98"/>
        <v>0</v>
      </c>
      <c r="J2086">
        <f>IF(Table1[[#This Row],[Active_months]]&gt;=1, 1, 0)</f>
        <v>1</v>
      </c>
    </row>
    <row r="2087" spans="1:10" x14ac:dyDescent="0.3">
      <c r="A2087">
        <v>212339137</v>
      </c>
      <c r="B2087" s="1">
        <v>45071</v>
      </c>
      <c r="C2087" s="1">
        <v>45109</v>
      </c>
      <c r="D2087">
        <v>39</v>
      </c>
      <c r="E2087" t="s">
        <v>6</v>
      </c>
      <c r="F2087" t="s">
        <v>7</v>
      </c>
      <c r="G2087" s="1">
        <f t="shared" si="96"/>
        <v>45109</v>
      </c>
      <c r="H2087">
        <f t="shared" si="97"/>
        <v>2</v>
      </c>
      <c r="I2087">
        <f t="shared" si="98"/>
        <v>0</v>
      </c>
      <c r="J2087">
        <f>IF(Table1[[#This Row],[Active_months]]&gt;=1, 1, 0)</f>
        <v>1</v>
      </c>
    </row>
    <row r="2088" spans="1:10" x14ac:dyDescent="0.3">
      <c r="A2088">
        <v>215894271</v>
      </c>
      <c r="B2088" s="1">
        <v>45071</v>
      </c>
      <c r="C2088" s="1">
        <v>45092</v>
      </c>
      <c r="D2088">
        <v>39</v>
      </c>
      <c r="E2088" t="s">
        <v>6</v>
      </c>
      <c r="F2088" t="s">
        <v>7</v>
      </c>
      <c r="G2088" s="1">
        <f t="shared" si="96"/>
        <v>45092</v>
      </c>
      <c r="H2088">
        <f t="shared" si="97"/>
        <v>1</v>
      </c>
      <c r="I2088">
        <f t="shared" si="98"/>
        <v>0</v>
      </c>
      <c r="J2088">
        <f>IF(Table1[[#This Row],[Active_months]]&gt;=1, 1, 0)</f>
        <v>1</v>
      </c>
    </row>
    <row r="2089" spans="1:10" x14ac:dyDescent="0.3">
      <c r="A2089">
        <v>215908442</v>
      </c>
      <c r="B2089" s="1">
        <v>45071</v>
      </c>
      <c r="C2089" s="1">
        <v>45155</v>
      </c>
      <c r="D2089">
        <v>39</v>
      </c>
      <c r="E2089" t="s">
        <v>6</v>
      </c>
      <c r="F2089" t="s">
        <v>7</v>
      </c>
      <c r="G2089" s="1">
        <f t="shared" si="96"/>
        <v>45155</v>
      </c>
      <c r="H2089">
        <f t="shared" si="97"/>
        <v>3</v>
      </c>
      <c r="I2089">
        <f t="shared" si="98"/>
        <v>0</v>
      </c>
      <c r="J2089">
        <f>IF(Table1[[#This Row],[Active_months]]&gt;=1, 1, 0)</f>
        <v>1</v>
      </c>
    </row>
    <row r="2090" spans="1:10" x14ac:dyDescent="0.3">
      <c r="A2090">
        <v>136032360</v>
      </c>
      <c r="B2090" s="1">
        <v>45071</v>
      </c>
      <c r="C2090" s="1">
        <v>45163</v>
      </c>
      <c r="D2090">
        <v>39</v>
      </c>
      <c r="E2090" t="s">
        <v>6</v>
      </c>
      <c r="F2090" t="s">
        <v>7</v>
      </c>
      <c r="G2090" s="1">
        <f t="shared" si="96"/>
        <v>45163</v>
      </c>
      <c r="H2090">
        <f t="shared" si="97"/>
        <v>3</v>
      </c>
      <c r="I2090">
        <f t="shared" si="98"/>
        <v>0</v>
      </c>
      <c r="J2090">
        <f>IF(Table1[[#This Row],[Active_months]]&gt;=1, 1, 0)</f>
        <v>1</v>
      </c>
    </row>
    <row r="2091" spans="1:10" x14ac:dyDescent="0.3">
      <c r="A2091">
        <v>215956542</v>
      </c>
      <c r="B2091" s="1">
        <v>45072</v>
      </c>
      <c r="D2091">
        <v>39</v>
      </c>
      <c r="E2091" t="s">
        <v>6</v>
      </c>
      <c r="F2091" t="s">
        <v>7</v>
      </c>
      <c r="G2091" s="1">
        <f t="shared" si="96"/>
        <v>45199</v>
      </c>
      <c r="H2091">
        <f t="shared" si="97"/>
        <v>4</v>
      </c>
      <c r="I2091">
        <f t="shared" si="98"/>
        <v>0</v>
      </c>
      <c r="J2091">
        <f>IF(Table1[[#This Row],[Active_months]]&gt;=1, 1, 0)</f>
        <v>1</v>
      </c>
    </row>
    <row r="2092" spans="1:10" x14ac:dyDescent="0.3">
      <c r="A2092">
        <v>215947247</v>
      </c>
      <c r="B2092" s="1">
        <v>45072</v>
      </c>
      <c r="D2092">
        <v>39</v>
      </c>
      <c r="E2092" t="s">
        <v>6</v>
      </c>
      <c r="F2092" t="s">
        <v>7</v>
      </c>
      <c r="G2092" s="1">
        <f t="shared" si="96"/>
        <v>45199</v>
      </c>
      <c r="H2092">
        <f t="shared" si="97"/>
        <v>4</v>
      </c>
      <c r="I2092">
        <f t="shared" si="98"/>
        <v>0</v>
      </c>
      <c r="J2092">
        <f>IF(Table1[[#This Row],[Active_months]]&gt;=1, 1, 0)</f>
        <v>1</v>
      </c>
    </row>
    <row r="2093" spans="1:10" x14ac:dyDescent="0.3">
      <c r="A2093">
        <v>122830574</v>
      </c>
      <c r="B2093" s="1">
        <v>45072</v>
      </c>
      <c r="D2093">
        <v>39</v>
      </c>
      <c r="E2093" t="s">
        <v>6</v>
      </c>
      <c r="F2093" t="s">
        <v>7</v>
      </c>
      <c r="G2093" s="1">
        <f t="shared" si="96"/>
        <v>45199</v>
      </c>
      <c r="H2093">
        <f t="shared" si="97"/>
        <v>4</v>
      </c>
      <c r="I2093">
        <f t="shared" si="98"/>
        <v>0</v>
      </c>
      <c r="J2093">
        <f>IF(Table1[[#This Row],[Active_months]]&gt;=1, 1, 0)</f>
        <v>1</v>
      </c>
    </row>
    <row r="2094" spans="1:10" x14ac:dyDescent="0.3">
      <c r="A2094">
        <v>206904025</v>
      </c>
      <c r="B2094" s="1">
        <v>45072</v>
      </c>
      <c r="C2094" s="1">
        <v>45073</v>
      </c>
      <c r="D2094">
        <v>39</v>
      </c>
      <c r="E2094" t="s">
        <v>6</v>
      </c>
      <c r="F2094" t="s">
        <v>8</v>
      </c>
      <c r="G2094" s="1">
        <f t="shared" si="96"/>
        <v>45073</v>
      </c>
      <c r="H2094">
        <f t="shared" si="97"/>
        <v>0</v>
      </c>
      <c r="I2094">
        <f t="shared" si="98"/>
        <v>0</v>
      </c>
      <c r="J2094">
        <f>IF(Table1[[#This Row],[Active_months]]&gt;=1, 1, 0)</f>
        <v>0</v>
      </c>
    </row>
    <row r="2095" spans="1:10" x14ac:dyDescent="0.3">
      <c r="A2095">
        <v>153396366</v>
      </c>
      <c r="B2095" s="1">
        <v>45072</v>
      </c>
      <c r="C2095" s="1">
        <v>45104</v>
      </c>
      <c r="D2095">
        <v>39</v>
      </c>
      <c r="E2095" t="s">
        <v>6</v>
      </c>
      <c r="F2095" t="s">
        <v>7</v>
      </c>
      <c r="G2095" s="1">
        <f t="shared" si="96"/>
        <v>45104</v>
      </c>
      <c r="H2095">
        <f t="shared" si="97"/>
        <v>1</v>
      </c>
      <c r="I2095">
        <f t="shared" si="98"/>
        <v>0</v>
      </c>
      <c r="J2095">
        <f>IF(Table1[[#This Row],[Active_months]]&gt;=1, 1, 0)</f>
        <v>1</v>
      </c>
    </row>
    <row r="2096" spans="1:10" x14ac:dyDescent="0.3">
      <c r="A2096">
        <v>200304509</v>
      </c>
      <c r="B2096" s="1">
        <v>45072</v>
      </c>
      <c r="C2096" s="1">
        <v>45094</v>
      </c>
      <c r="D2096">
        <v>39</v>
      </c>
      <c r="E2096" t="s">
        <v>6</v>
      </c>
      <c r="F2096" t="s">
        <v>7</v>
      </c>
      <c r="G2096" s="1">
        <f t="shared" si="96"/>
        <v>45094</v>
      </c>
      <c r="H2096">
        <f t="shared" si="97"/>
        <v>1</v>
      </c>
      <c r="I2096">
        <f t="shared" si="98"/>
        <v>0</v>
      </c>
      <c r="J2096">
        <f>IF(Table1[[#This Row],[Active_months]]&gt;=1, 1, 0)</f>
        <v>1</v>
      </c>
    </row>
    <row r="2097" spans="1:10" x14ac:dyDescent="0.3">
      <c r="A2097">
        <v>215867874</v>
      </c>
      <c r="B2097" s="1">
        <v>45072</v>
      </c>
      <c r="C2097" s="1">
        <v>45095</v>
      </c>
      <c r="D2097">
        <v>39</v>
      </c>
      <c r="E2097" t="s">
        <v>6</v>
      </c>
      <c r="F2097" t="s">
        <v>7</v>
      </c>
      <c r="G2097" s="1">
        <f t="shared" si="96"/>
        <v>45095</v>
      </c>
      <c r="H2097">
        <f t="shared" si="97"/>
        <v>1</v>
      </c>
      <c r="I2097">
        <f t="shared" si="98"/>
        <v>0</v>
      </c>
      <c r="J2097">
        <f>IF(Table1[[#This Row],[Active_months]]&gt;=1, 1, 0)</f>
        <v>1</v>
      </c>
    </row>
    <row r="2098" spans="1:10" x14ac:dyDescent="0.3">
      <c r="A2098">
        <v>215869887</v>
      </c>
      <c r="B2098" s="1">
        <v>45072</v>
      </c>
      <c r="C2098" s="1">
        <v>45088</v>
      </c>
      <c r="D2098">
        <v>39</v>
      </c>
      <c r="E2098" t="s">
        <v>6</v>
      </c>
      <c r="F2098" t="s">
        <v>7</v>
      </c>
      <c r="G2098" s="1">
        <f t="shared" si="96"/>
        <v>45088</v>
      </c>
      <c r="H2098">
        <f t="shared" si="97"/>
        <v>1</v>
      </c>
      <c r="I2098">
        <f t="shared" si="98"/>
        <v>0</v>
      </c>
      <c r="J2098">
        <f>IF(Table1[[#This Row],[Active_months]]&gt;=1, 1, 0)</f>
        <v>1</v>
      </c>
    </row>
    <row r="2099" spans="1:10" x14ac:dyDescent="0.3">
      <c r="A2099">
        <v>134652589</v>
      </c>
      <c r="B2099" s="1">
        <v>45072</v>
      </c>
      <c r="C2099" s="1">
        <v>45087</v>
      </c>
      <c r="D2099">
        <v>39</v>
      </c>
      <c r="E2099" t="s">
        <v>6</v>
      </c>
      <c r="F2099" t="s">
        <v>7</v>
      </c>
      <c r="G2099" s="1">
        <f t="shared" si="96"/>
        <v>45087</v>
      </c>
      <c r="H2099">
        <f t="shared" si="97"/>
        <v>1</v>
      </c>
      <c r="I2099">
        <f t="shared" si="98"/>
        <v>0</v>
      </c>
      <c r="J2099">
        <f>IF(Table1[[#This Row],[Active_months]]&gt;=1, 1, 0)</f>
        <v>1</v>
      </c>
    </row>
    <row r="2100" spans="1:10" x14ac:dyDescent="0.3">
      <c r="A2100">
        <v>215759517</v>
      </c>
      <c r="B2100" s="1">
        <v>45072</v>
      </c>
      <c r="C2100" s="1">
        <v>45171</v>
      </c>
      <c r="D2100">
        <v>39</v>
      </c>
      <c r="E2100" t="s">
        <v>6</v>
      </c>
      <c r="F2100" t="s">
        <v>7</v>
      </c>
      <c r="G2100" s="1">
        <f t="shared" si="96"/>
        <v>45171</v>
      </c>
      <c r="H2100">
        <f t="shared" si="97"/>
        <v>4</v>
      </c>
      <c r="I2100">
        <f t="shared" si="98"/>
        <v>0</v>
      </c>
      <c r="J2100">
        <f>IF(Table1[[#This Row],[Active_months]]&gt;=1, 1, 0)</f>
        <v>1</v>
      </c>
    </row>
    <row r="2101" spans="1:10" x14ac:dyDescent="0.3">
      <c r="A2101">
        <v>152004313</v>
      </c>
      <c r="B2101" s="1">
        <v>45072</v>
      </c>
      <c r="C2101" s="1">
        <v>45111</v>
      </c>
      <c r="D2101">
        <v>39</v>
      </c>
      <c r="E2101" t="s">
        <v>6</v>
      </c>
      <c r="F2101" t="s">
        <v>7</v>
      </c>
      <c r="G2101" s="1">
        <f t="shared" si="96"/>
        <v>45111</v>
      </c>
      <c r="H2101">
        <f t="shared" si="97"/>
        <v>2</v>
      </c>
      <c r="I2101">
        <f t="shared" si="98"/>
        <v>0</v>
      </c>
      <c r="J2101">
        <f>IF(Table1[[#This Row],[Active_months]]&gt;=1, 1, 0)</f>
        <v>1</v>
      </c>
    </row>
    <row r="2102" spans="1:10" x14ac:dyDescent="0.3">
      <c r="A2102">
        <v>215931788</v>
      </c>
      <c r="B2102" s="1">
        <v>45072</v>
      </c>
      <c r="C2102" s="1">
        <v>45104</v>
      </c>
      <c r="D2102">
        <v>39</v>
      </c>
      <c r="E2102" t="s">
        <v>6</v>
      </c>
      <c r="F2102" t="s">
        <v>7</v>
      </c>
      <c r="G2102" s="1">
        <f t="shared" si="96"/>
        <v>45104</v>
      </c>
      <c r="H2102">
        <f t="shared" si="97"/>
        <v>1</v>
      </c>
      <c r="I2102">
        <f t="shared" si="98"/>
        <v>0</v>
      </c>
      <c r="J2102">
        <f>IF(Table1[[#This Row],[Active_months]]&gt;=1, 1, 0)</f>
        <v>1</v>
      </c>
    </row>
    <row r="2103" spans="1:10" x14ac:dyDescent="0.3">
      <c r="A2103">
        <v>215792692</v>
      </c>
      <c r="B2103" s="1">
        <v>45072</v>
      </c>
      <c r="C2103" s="1">
        <v>45132</v>
      </c>
      <c r="D2103">
        <v>39</v>
      </c>
      <c r="E2103" t="s">
        <v>6</v>
      </c>
      <c r="F2103" t="s">
        <v>7</v>
      </c>
      <c r="G2103" s="1">
        <f t="shared" si="96"/>
        <v>45132</v>
      </c>
      <c r="H2103">
        <f t="shared" si="97"/>
        <v>2</v>
      </c>
      <c r="I2103">
        <f t="shared" si="98"/>
        <v>0</v>
      </c>
      <c r="J2103">
        <f>IF(Table1[[#This Row],[Active_months]]&gt;=1, 1, 0)</f>
        <v>1</v>
      </c>
    </row>
    <row r="2104" spans="1:10" x14ac:dyDescent="0.3">
      <c r="A2104">
        <v>205507364</v>
      </c>
      <c r="B2104" s="1">
        <v>45072</v>
      </c>
      <c r="C2104" s="1">
        <v>45133</v>
      </c>
      <c r="D2104">
        <v>39</v>
      </c>
      <c r="E2104" t="s">
        <v>6</v>
      </c>
      <c r="F2104" t="s">
        <v>7</v>
      </c>
      <c r="G2104" s="1">
        <f t="shared" si="96"/>
        <v>45133</v>
      </c>
      <c r="H2104">
        <f t="shared" si="97"/>
        <v>2</v>
      </c>
      <c r="I2104">
        <f t="shared" si="98"/>
        <v>0</v>
      </c>
      <c r="J2104">
        <f>IF(Table1[[#This Row],[Active_months]]&gt;=1, 1, 0)</f>
        <v>1</v>
      </c>
    </row>
    <row r="2105" spans="1:10" x14ac:dyDescent="0.3">
      <c r="A2105">
        <v>130016916</v>
      </c>
      <c r="B2105" s="1">
        <v>45072</v>
      </c>
      <c r="C2105" s="1">
        <v>45133</v>
      </c>
      <c r="D2105">
        <v>39</v>
      </c>
      <c r="E2105" t="s">
        <v>6</v>
      </c>
      <c r="F2105" t="s">
        <v>7</v>
      </c>
      <c r="G2105" s="1">
        <f t="shared" si="96"/>
        <v>45133</v>
      </c>
      <c r="H2105">
        <f t="shared" si="97"/>
        <v>2</v>
      </c>
      <c r="I2105">
        <f t="shared" si="98"/>
        <v>0</v>
      </c>
      <c r="J2105">
        <f>IF(Table1[[#This Row],[Active_months]]&gt;=1, 1, 0)</f>
        <v>1</v>
      </c>
    </row>
    <row r="2106" spans="1:10" x14ac:dyDescent="0.3">
      <c r="A2106">
        <v>174991614</v>
      </c>
      <c r="B2106" s="1">
        <v>45073</v>
      </c>
      <c r="D2106">
        <v>39</v>
      </c>
      <c r="E2106" t="s">
        <v>6</v>
      </c>
      <c r="F2106" t="s">
        <v>7</v>
      </c>
      <c r="G2106" s="1">
        <f t="shared" si="96"/>
        <v>45199</v>
      </c>
      <c r="H2106">
        <f t="shared" si="97"/>
        <v>4</v>
      </c>
      <c r="I2106">
        <f t="shared" si="98"/>
        <v>0</v>
      </c>
      <c r="J2106">
        <f>IF(Table1[[#This Row],[Active_months]]&gt;=1, 1, 0)</f>
        <v>1</v>
      </c>
    </row>
    <row r="2107" spans="1:10" x14ac:dyDescent="0.3">
      <c r="A2107">
        <v>118197872</v>
      </c>
      <c r="B2107" s="1">
        <v>45073</v>
      </c>
      <c r="D2107">
        <v>39</v>
      </c>
      <c r="E2107" t="s">
        <v>6</v>
      </c>
      <c r="F2107" t="s">
        <v>7</v>
      </c>
      <c r="G2107" s="1">
        <f t="shared" si="96"/>
        <v>45199</v>
      </c>
      <c r="H2107">
        <f t="shared" si="97"/>
        <v>4</v>
      </c>
      <c r="I2107">
        <f t="shared" si="98"/>
        <v>0</v>
      </c>
      <c r="J2107">
        <f>IF(Table1[[#This Row],[Active_months]]&gt;=1, 1, 0)</f>
        <v>1</v>
      </c>
    </row>
    <row r="2108" spans="1:10" x14ac:dyDescent="0.3">
      <c r="A2108">
        <v>215906516</v>
      </c>
      <c r="B2108" s="1">
        <v>45073</v>
      </c>
      <c r="D2108">
        <v>39</v>
      </c>
      <c r="E2108" t="s">
        <v>6</v>
      </c>
      <c r="F2108" t="s">
        <v>7</v>
      </c>
      <c r="G2108" s="1">
        <f t="shared" si="96"/>
        <v>45199</v>
      </c>
      <c r="H2108">
        <f t="shared" si="97"/>
        <v>4</v>
      </c>
      <c r="I2108">
        <f t="shared" si="98"/>
        <v>0</v>
      </c>
      <c r="J2108">
        <f>IF(Table1[[#This Row],[Active_months]]&gt;=1, 1, 0)</f>
        <v>1</v>
      </c>
    </row>
    <row r="2109" spans="1:10" x14ac:dyDescent="0.3">
      <c r="A2109">
        <v>116197941</v>
      </c>
      <c r="B2109" s="1">
        <v>45073</v>
      </c>
      <c r="C2109" s="1">
        <v>45141</v>
      </c>
      <c r="D2109">
        <v>39</v>
      </c>
      <c r="E2109" t="s">
        <v>6</v>
      </c>
      <c r="F2109" t="s">
        <v>7</v>
      </c>
      <c r="G2109" s="1">
        <f t="shared" si="96"/>
        <v>45141</v>
      </c>
      <c r="H2109">
        <f t="shared" si="97"/>
        <v>3</v>
      </c>
      <c r="I2109">
        <f t="shared" si="98"/>
        <v>0</v>
      </c>
      <c r="J2109">
        <f>IF(Table1[[#This Row],[Active_months]]&gt;=1, 1, 0)</f>
        <v>1</v>
      </c>
    </row>
    <row r="2110" spans="1:10" x14ac:dyDescent="0.3">
      <c r="A2110">
        <v>215973039</v>
      </c>
      <c r="B2110" s="1">
        <v>45073</v>
      </c>
      <c r="C2110" s="1">
        <v>45080</v>
      </c>
      <c r="D2110">
        <v>39</v>
      </c>
      <c r="E2110" t="s">
        <v>6</v>
      </c>
      <c r="F2110" t="s">
        <v>7</v>
      </c>
      <c r="G2110" s="1">
        <f t="shared" si="96"/>
        <v>45080</v>
      </c>
      <c r="H2110">
        <f t="shared" si="97"/>
        <v>1</v>
      </c>
      <c r="I2110">
        <f t="shared" si="98"/>
        <v>0</v>
      </c>
      <c r="J2110">
        <f>IF(Table1[[#This Row],[Active_months]]&gt;=1, 1, 0)</f>
        <v>1</v>
      </c>
    </row>
    <row r="2111" spans="1:10" x14ac:dyDescent="0.3">
      <c r="A2111">
        <v>147761700</v>
      </c>
      <c r="B2111" s="1">
        <v>45073</v>
      </c>
      <c r="C2111" s="1">
        <v>45085</v>
      </c>
      <c r="D2111">
        <v>39</v>
      </c>
      <c r="E2111" t="s">
        <v>6</v>
      </c>
      <c r="F2111" t="s">
        <v>7</v>
      </c>
      <c r="G2111" s="1">
        <f t="shared" si="96"/>
        <v>45085</v>
      </c>
      <c r="H2111">
        <f t="shared" si="97"/>
        <v>1</v>
      </c>
      <c r="I2111">
        <f t="shared" si="98"/>
        <v>0</v>
      </c>
      <c r="J2111">
        <f>IF(Table1[[#This Row],[Active_months]]&gt;=1, 1, 0)</f>
        <v>1</v>
      </c>
    </row>
    <row r="2112" spans="1:10" x14ac:dyDescent="0.3">
      <c r="A2112">
        <v>215943650</v>
      </c>
      <c r="B2112" s="1">
        <v>45073</v>
      </c>
      <c r="C2112" s="1">
        <v>45111</v>
      </c>
      <c r="D2112">
        <v>39</v>
      </c>
      <c r="E2112" t="s">
        <v>6</v>
      </c>
      <c r="F2112" t="s">
        <v>7</v>
      </c>
      <c r="G2112" s="1">
        <f t="shared" si="96"/>
        <v>45111</v>
      </c>
      <c r="H2112">
        <f t="shared" si="97"/>
        <v>2</v>
      </c>
      <c r="I2112">
        <f t="shared" si="98"/>
        <v>0</v>
      </c>
      <c r="J2112">
        <f>IF(Table1[[#This Row],[Active_months]]&gt;=1, 1, 0)</f>
        <v>1</v>
      </c>
    </row>
    <row r="2113" spans="1:10" x14ac:dyDescent="0.3">
      <c r="A2113">
        <v>157259062</v>
      </c>
      <c r="B2113" s="1">
        <v>45073</v>
      </c>
      <c r="C2113" s="1">
        <v>45111</v>
      </c>
      <c r="D2113">
        <v>39</v>
      </c>
      <c r="E2113" t="s">
        <v>6</v>
      </c>
      <c r="F2113" t="s">
        <v>7</v>
      </c>
      <c r="G2113" s="1">
        <f t="shared" si="96"/>
        <v>45111</v>
      </c>
      <c r="H2113">
        <f t="shared" si="97"/>
        <v>2</v>
      </c>
      <c r="I2113">
        <f t="shared" si="98"/>
        <v>0</v>
      </c>
      <c r="J2113">
        <f>IF(Table1[[#This Row],[Active_months]]&gt;=1, 1, 0)</f>
        <v>1</v>
      </c>
    </row>
    <row r="2114" spans="1:10" x14ac:dyDescent="0.3">
      <c r="A2114">
        <v>216001506</v>
      </c>
      <c r="B2114" s="1">
        <v>45073</v>
      </c>
      <c r="C2114" s="1">
        <v>45133</v>
      </c>
      <c r="D2114">
        <v>39</v>
      </c>
      <c r="E2114" t="s">
        <v>6</v>
      </c>
      <c r="F2114" t="s">
        <v>7</v>
      </c>
      <c r="G2114" s="1">
        <f t="shared" si="96"/>
        <v>45133</v>
      </c>
      <c r="H2114">
        <f t="shared" si="97"/>
        <v>2</v>
      </c>
      <c r="I2114">
        <f t="shared" si="98"/>
        <v>0</v>
      </c>
      <c r="J2114">
        <f>IF(Table1[[#This Row],[Active_months]]&gt;=1, 1, 0)</f>
        <v>1</v>
      </c>
    </row>
    <row r="2115" spans="1:10" x14ac:dyDescent="0.3">
      <c r="A2115">
        <v>199306900</v>
      </c>
      <c r="B2115" s="1">
        <v>45073</v>
      </c>
      <c r="C2115" s="1">
        <v>45172</v>
      </c>
      <c r="D2115">
        <v>39</v>
      </c>
      <c r="E2115" t="s">
        <v>6</v>
      </c>
      <c r="F2115" t="s">
        <v>7</v>
      </c>
      <c r="G2115" s="1">
        <f t="shared" ref="G2115:G2178" si="99">IF(ISBLANK(C2115), DATE(2023,9,30), C2115)</f>
        <v>45172</v>
      </c>
      <c r="H2115">
        <f t="shared" ref="H2115:H2178" si="100">(YEAR(G2115)-YEAR(B2115))*12 + (MONTH(G2115)-MONTH(B2115))</f>
        <v>4</v>
      </c>
      <c r="I2115">
        <f t="shared" ref="I2115:I2178" si="101">IF(H2115 &gt;=5, 1, 0)</f>
        <v>0</v>
      </c>
      <c r="J2115">
        <f>IF(Table1[[#This Row],[Active_months]]&gt;=1, 1, 0)</f>
        <v>1</v>
      </c>
    </row>
    <row r="2116" spans="1:10" x14ac:dyDescent="0.3">
      <c r="A2116">
        <v>156245288</v>
      </c>
      <c r="B2116" s="1">
        <v>45074</v>
      </c>
      <c r="D2116">
        <v>39</v>
      </c>
      <c r="E2116" t="s">
        <v>6</v>
      </c>
      <c r="F2116" t="s">
        <v>7</v>
      </c>
      <c r="G2116" s="1">
        <f t="shared" si="99"/>
        <v>45199</v>
      </c>
      <c r="H2116">
        <f t="shared" si="100"/>
        <v>4</v>
      </c>
      <c r="I2116">
        <f t="shared" si="101"/>
        <v>0</v>
      </c>
      <c r="J2116">
        <f>IF(Table1[[#This Row],[Active_months]]&gt;=1, 1, 0)</f>
        <v>1</v>
      </c>
    </row>
    <row r="2117" spans="1:10" x14ac:dyDescent="0.3">
      <c r="A2117">
        <v>211904765</v>
      </c>
      <c r="B2117" s="1">
        <v>45074</v>
      </c>
      <c r="D2117">
        <v>39</v>
      </c>
      <c r="E2117" t="s">
        <v>6</v>
      </c>
      <c r="F2117" t="s">
        <v>7</v>
      </c>
      <c r="G2117" s="1">
        <f t="shared" si="99"/>
        <v>45199</v>
      </c>
      <c r="H2117">
        <f t="shared" si="100"/>
        <v>4</v>
      </c>
      <c r="I2117">
        <f t="shared" si="101"/>
        <v>0</v>
      </c>
      <c r="J2117">
        <f>IF(Table1[[#This Row],[Active_months]]&gt;=1, 1, 0)</f>
        <v>1</v>
      </c>
    </row>
    <row r="2118" spans="1:10" x14ac:dyDescent="0.3">
      <c r="A2118">
        <v>215832805</v>
      </c>
      <c r="B2118" s="1">
        <v>45074</v>
      </c>
      <c r="D2118">
        <v>39</v>
      </c>
      <c r="E2118" t="s">
        <v>6</v>
      </c>
      <c r="F2118" t="s">
        <v>7</v>
      </c>
      <c r="G2118" s="1">
        <f t="shared" si="99"/>
        <v>45199</v>
      </c>
      <c r="H2118">
        <f t="shared" si="100"/>
        <v>4</v>
      </c>
      <c r="I2118">
        <f t="shared" si="101"/>
        <v>0</v>
      </c>
      <c r="J2118">
        <f>IF(Table1[[#This Row],[Active_months]]&gt;=1, 1, 0)</f>
        <v>1</v>
      </c>
    </row>
    <row r="2119" spans="1:10" x14ac:dyDescent="0.3">
      <c r="A2119">
        <v>156403612</v>
      </c>
      <c r="B2119" s="1">
        <v>45075</v>
      </c>
      <c r="D2119">
        <v>39</v>
      </c>
      <c r="E2119" t="s">
        <v>6</v>
      </c>
      <c r="F2119" t="s">
        <v>7</v>
      </c>
      <c r="G2119" s="1">
        <f t="shared" si="99"/>
        <v>45199</v>
      </c>
      <c r="H2119">
        <f t="shared" si="100"/>
        <v>4</v>
      </c>
      <c r="I2119">
        <f t="shared" si="101"/>
        <v>0</v>
      </c>
      <c r="J2119">
        <f>IF(Table1[[#This Row],[Active_months]]&gt;=1, 1, 0)</f>
        <v>1</v>
      </c>
    </row>
    <row r="2120" spans="1:10" x14ac:dyDescent="0.3">
      <c r="A2120">
        <v>216062001</v>
      </c>
      <c r="B2120" s="1">
        <v>45075</v>
      </c>
      <c r="D2120">
        <v>39</v>
      </c>
      <c r="E2120" t="s">
        <v>6</v>
      </c>
      <c r="F2120" t="s">
        <v>7</v>
      </c>
      <c r="G2120" s="1">
        <f t="shared" si="99"/>
        <v>45199</v>
      </c>
      <c r="H2120">
        <f t="shared" si="100"/>
        <v>4</v>
      </c>
      <c r="I2120">
        <f t="shared" si="101"/>
        <v>0</v>
      </c>
      <c r="J2120">
        <f>IF(Table1[[#This Row],[Active_months]]&gt;=1, 1, 0)</f>
        <v>1</v>
      </c>
    </row>
    <row r="2121" spans="1:10" x14ac:dyDescent="0.3">
      <c r="A2121">
        <v>216083936</v>
      </c>
      <c r="B2121" s="1">
        <v>45075</v>
      </c>
      <c r="D2121">
        <v>39</v>
      </c>
      <c r="E2121" t="s">
        <v>6</v>
      </c>
      <c r="F2121" t="s">
        <v>7</v>
      </c>
      <c r="G2121" s="1">
        <f t="shared" si="99"/>
        <v>45199</v>
      </c>
      <c r="H2121">
        <f t="shared" si="100"/>
        <v>4</v>
      </c>
      <c r="I2121">
        <f t="shared" si="101"/>
        <v>0</v>
      </c>
      <c r="J2121">
        <f>IF(Table1[[#This Row],[Active_months]]&gt;=1, 1, 0)</f>
        <v>1</v>
      </c>
    </row>
    <row r="2122" spans="1:10" x14ac:dyDescent="0.3">
      <c r="A2122">
        <v>215568210</v>
      </c>
      <c r="B2122" s="1">
        <v>45075</v>
      </c>
      <c r="C2122" s="1">
        <v>45166</v>
      </c>
      <c r="D2122">
        <v>39</v>
      </c>
      <c r="E2122" t="s">
        <v>6</v>
      </c>
      <c r="F2122" t="s">
        <v>7</v>
      </c>
      <c r="G2122" s="1">
        <f t="shared" si="99"/>
        <v>45166</v>
      </c>
      <c r="H2122">
        <f t="shared" si="100"/>
        <v>3</v>
      </c>
      <c r="I2122">
        <f t="shared" si="101"/>
        <v>0</v>
      </c>
      <c r="J2122">
        <f>IF(Table1[[#This Row],[Active_months]]&gt;=1, 1, 0)</f>
        <v>1</v>
      </c>
    </row>
    <row r="2123" spans="1:10" x14ac:dyDescent="0.3">
      <c r="A2123">
        <v>181480437</v>
      </c>
      <c r="B2123" s="1">
        <v>45075</v>
      </c>
      <c r="C2123" s="1">
        <v>45110</v>
      </c>
      <c r="D2123">
        <v>39</v>
      </c>
      <c r="E2123" t="s">
        <v>6</v>
      </c>
      <c r="F2123" t="s">
        <v>7</v>
      </c>
      <c r="G2123" s="1">
        <f t="shared" si="99"/>
        <v>45110</v>
      </c>
      <c r="H2123">
        <f t="shared" si="100"/>
        <v>2</v>
      </c>
      <c r="I2123">
        <f t="shared" si="101"/>
        <v>0</v>
      </c>
      <c r="J2123">
        <f>IF(Table1[[#This Row],[Active_months]]&gt;=1, 1, 0)</f>
        <v>1</v>
      </c>
    </row>
    <row r="2124" spans="1:10" x14ac:dyDescent="0.3">
      <c r="A2124">
        <v>147197398</v>
      </c>
      <c r="B2124" s="1">
        <v>45076</v>
      </c>
      <c r="D2124">
        <v>39</v>
      </c>
      <c r="E2124" t="s">
        <v>6</v>
      </c>
      <c r="F2124" t="s">
        <v>7</v>
      </c>
      <c r="G2124" s="1">
        <f t="shared" si="99"/>
        <v>45199</v>
      </c>
      <c r="H2124">
        <f t="shared" si="100"/>
        <v>4</v>
      </c>
      <c r="I2124">
        <f t="shared" si="101"/>
        <v>0</v>
      </c>
      <c r="J2124">
        <f>IF(Table1[[#This Row],[Active_months]]&gt;=1, 1, 0)</f>
        <v>1</v>
      </c>
    </row>
    <row r="2125" spans="1:10" x14ac:dyDescent="0.3">
      <c r="A2125">
        <v>212051648</v>
      </c>
      <c r="B2125" s="1">
        <v>45076</v>
      </c>
      <c r="D2125">
        <v>39</v>
      </c>
      <c r="E2125" t="s">
        <v>6</v>
      </c>
      <c r="F2125" t="s">
        <v>7</v>
      </c>
      <c r="G2125" s="1">
        <f t="shared" si="99"/>
        <v>45199</v>
      </c>
      <c r="H2125">
        <f t="shared" si="100"/>
        <v>4</v>
      </c>
      <c r="I2125">
        <f t="shared" si="101"/>
        <v>0</v>
      </c>
      <c r="J2125">
        <f>IF(Table1[[#This Row],[Active_months]]&gt;=1, 1, 0)</f>
        <v>1</v>
      </c>
    </row>
    <row r="2126" spans="1:10" x14ac:dyDescent="0.3">
      <c r="A2126">
        <v>216141502</v>
      </c>
      <c r="B2126" s="1">
        <v>45076</v>
      </c>
      <c r="D2126">
        <v>39</v>
      </c>
      <c r="E2126" t="s">
        <v>6</v>
      </c>
      <c r="F2126" t="s">
        <v>7</v>
      </c>
      <c r="G2126" s="1">
        <f t="shared" si="99"/>
        <v>45199</v>
      </c>
      <c r="H2126">
        <f t="shared" si="100"/>
        <v>4</v>
      </c>
      <c r="I2126">
        <f t="shared" si="101"/>
        <v>0</v>
      </c>
      <c r="J2126">
        <f>IF(Table1[[#This Row],[Active_months]]&gt;=1, 1, 0)</f>
        <v>1</v>
      </c>
    </row>
    <row r="2127" spans="1:10" x14ac:dyDescent="0.3">
      <c r="A2127">
        <v>216136975</v>
      </c>
      <c r="B2127" s="1">
        <v>45076</v>
      </c>
      <c r="D2127">
        <v>39</v>
      </c>
      <c r="E2127" t="s">
        <v>6</v>
      </c>
      <c r="F2127" t="s">
        <v>7</v>
      </c>
      <c r="G2127" s="1">
        <f t="shared" si="99"/>
        <v>45199</v>
      </c>
      <c r="H2127">
        <f t="shared" si="100"/>
        <v>4</v>
      </c>
      <c r="I2127">
        <f t="shared" si="101"/>
        <v>0</v>
      </c>
      <c r="J2127">
        <f>IF(Table1[[#This Row],[Active_months]]&gt;=1, 1, 0)</f>
        <v>1</v>
      </c>
    </row>
    <row r="2128" spans="1:10" x14ac:dyDescent="0.3">
      <c r="A2128">
        <v>213240907</v>
      </c>
      <c r="B2128" s="1">
        <v>45076</v>
      </c>
      <c r="D2128">
        <v>39</v>
      </c>
      <c r="E2128" t="s">
        <v>6</v>
      </c>
      <c r="F2128" t="s">
        <v>7</v>
      </c>
      <c r="G2128" s="1">
        <f t="shared" si="99"/>
        <v>45199</v>
      </c>
      <c r="H2128">
        <f t="shared" si="100"/>
        <v>4</v>
      </c>
      <c r="I2128">
        <f t="shared" si="101"/>
        <v>0</v>
      </c>
      <c r="J2128">
        <f>IF(Table1[[#This Row],[Active_months]]&gt;=1, 1, 0)</f>
        <v>1</v>
      </c>
    </row>
    <row r="2129" spans="1:10" x14ac:dyDescent="0.3">
      <c r="A2129">
        <v>204739496</v>
      </c>
      <c r="B2129" s="1">
        <v>45076</v>
      </c>
      <c r="C2129" s="1">
        <v>45172</v>
      </c>
      <c r="D2129">
        <v>39</v>
      </c>
      <c r="E2129" t="s">
        <v>6</v>
      </c>
      <c r="F2129" t="s">
        <v>7</v>
      </c>
      <c r="G2129" s="1">
        <f t="shared" si="99"/>
        <v>45172</v>
      </c>
      <c r="H2129">
        <f t="shared" si="100"/>
        <v>4</v>
      </c>
      <c r="I2129">
        <f t="shared" si="101"/>
        <v>0</v>
      </c>
      <c r="J2129">
        <f>IF(Table1[[#This Row],[Active_months]]&gt;=1, 1, 0)</f>
        <v>1</v>
      </c>
    </row>
    <row r="2130" spans="1:10" x14ac:dyDescent="0.3">
      <c r="A2130">
        <v>203366396</v>
      </c>
      <c r="B2130" s="1">
        <v>45076</v>
      </c>
      <c r="C2130" s="1">
        <v>45077</v>
      </c>
      <c r="D2130">
        <v>39</v>
      </c>
      <c r="E2130" t="s">
        <v>6</v>
      </c>
      <c r="F2130" t="s">
        <v>7</v>
      </c>
      <c r="G2130" s="1">
        <f t="shared" si="99"/>
        <v>45077</v>
      </c>
      <c r="H2130">
        <f t="shared" si="100"/>
        <v>0</v>
      </c>
      <c r="I2130">
        <f t="shared" si="101"/>
        <v>0</v>
      </c>
      <c r="J2130">
        <f>IF(Table1[[#This Row],[Active_months]]&gt;=1, 1, 0)</f>
        <v>0</v>
      </c>
    </row>
    <row r="2131" spans="1:10" x14ac:dyDescent="0.3">
      <c r="A2131">
        <v>216136446</v>
      </c>
      <c r="B2131" s="1">
        <v>45076</v>
      </c>
      <c r="C2131" s="1">
        <v>45105</v>
      </c>
      <c r="D2131">
        <v>39</v>
      </c>
      <c r="E2131" t="s">
        <v>6</v>
      </c>
      <c r="F2131" t="s">
        <v>7</v>
      </c>
      <c r="G2131" s="1">
        <f t="shared" si="99"/>
        <v>45105</v>
      </c>
      <c r="H2131">
        <f t="shared" si="100"/>
        <v>1</v>
      </c>
      <c r="I2131">
        <f t="shared" si="101"/>
        <v>0</v>
      </c>
      <c r="J2131">
        <f>IF(Table1[[#This Row],[Active_months]]&gt;=1, 1, 0)</f>
        <v>1</v>
      </c>
    </row>
    <row r="2132" spans="1:10" x14ac:dyDescent="0.3">
      <c r="A2132">
        <v>216139586</v>
      </c>
      <c r="B2132" s="1">
        <v>45076</v>
      </c>
      <c r="C2132" s="1">
        <v>45107</v>
      </c>
      <c r="D2132">
        <v>39</v>
      </c>
      <c r="E2132" t="s">
        <v>6</v>
      </c>
      <c r="F2132" t="s">
        <v>7</v>
      </c>
      <c r="G2132" s="1">
        <f t="shared" si="99"/>
        <v>45107</v>
      </c>
      <c r="H2132">
        <f t="shared" si="100"/>
        <v>1</v>
      </c>
      <c r="I2132">
        <f t="shared" si="101"/>
        <v>0</v>
      </c>
      <c r="J2132">
        <f>IF(Table1[[#This Row],[Active_months]]&gt;=1, 1, 0)</f>
        <v>1</v>
      </c>
    </row>
    <row r="2133" spans="1:10" x14ac:dyDescent="0.3">
      <c r="A2133">
        <v>216126416</v>
      </c>
      <c r="B2133" s="1">
        <v>45076</v>
      </c>
      <c r="C2133" s="1">
        <v>45081</v>
      </c>
      <c r="D2133">
        <v>39</v>
      </c>
      <c r="E2133" t="s">
        <v>6</v>
      </c>
      <c r="F2133" t="s">
        <v>7</v>
      </c>
      <c r="G2133" s="1">
        <f t="shared" si="99"/>
        <v>45081</v>
      </c>
      <c r="H2133">
        <f t="shared" si="100"/>
        <v>1</v>
      </c>
      <c r="I2133">
        <f t="shared" si="101"/>
        <v>0</v>
      </c>
      <c r="J2133">
        <f>IF(Table1[[#This Row],[Active_months]]&gt;=1, 1, 0)</f>
        <v>1</v>
      </c>
    </row>
    <row r="2134" spans="1:10" x14ac:dyDescent="0.3">
      <c r="A2134">
        <v>216181144</v>
      </c>
      <c r="B2134" s="1">
        <v>45076</v>
      </c>
      <c r="C2134" s="1">
        <v>45114</v>
      </c>
      <c r="D2134">
        <v>39</v>
      </c>
      <c r="E2134" t="s">
        <v>6</v>
      </c>
      <c r="F2134" t="s">
        <v>7</v>
      </c>
      <c r="G2134" s="1">
        <f t="shared" si="99"/>
        <v>45114</v>
      </c>
      <c r="H2134">
        <f t="shared" si="100"/>
        <v>2</v>
      </c>
      <c r="I2134">
        <f t="shared" si="101"/>
        <v>0</v>
      </c>
      <c r="J2134">
        <f>IF(Table1[[#This Row],[Active_months]]&gt;=1, 1, 0)</f>
        <v>1</v>
      </c>
    </row>
    <row r="2135" spans="1:10" x14ac:dyDescent="0.3">
      <c r="A2135">
        <v>216100714</v>
      </c>
      <c r="B2135" s="1">
        <v>45076</v>
      </c>
      <c r="C2135" s="1">
        <v>45140</v>
      </c>
      <c r="D2135">
        <v>39</v>
      </c>
      <c r="E2135" t="s">
        <v>6</v>
      </c>
      <c r="F2135" t="s">
        <v>7</v>
      </c>
      <c r="G2135" s="1">
        <f t="shared" si="99"/>
        <v>45140</v>
      </c>
      <c r="H2135">
        <f t="shared" si="100"/>
        <v>3</v>
      </c>
      <c r="I2135">
        <f t="shared" si="101"/>
        <v>0</v>
      </c>
      <c r="J2135">
        <f>IF(Table1[[#This Row],[Active_months]]&gt;=1, 1, 0)</f>
        <v>1</v>
      </c>
    </row>
    <row r="2136" spans="1:10" x14ac:dyDescent="0.3">
      <c r="A2136">
        <v>216155144</v>
      </c>
      <c r="B2136" s="1">
        <v>45076</v>
      </c>
      <c r="C2136" s="1">
        <v>45137</v>
      </c>
      <c r="D2136">
        <v>39</v>
      </c>
      <c r="E2136" t="s">
        <v>6</v>
      </c>
      <c r="F2136" t="s">
        <v>7</v>
      </c>
      <c r="G2136" s="1">
        <f t="shared" si="99"/>
        <v>45137</v>
      </c>
      <c r="H2136">
        <f t="shared" si="100"/>
        <v>2</v>
      </c>
      <c r="I2136">
        <f t="shared" si="101"/>
        <v>0</v>
      </c>
      <c r="J2136">
        <f>IF(Table1[[#This Row],[Active_months]]&gt;=1, 1, 0)</f>
        <v>1</v>
      </c>
    </row>
    <row r="2137" spans="1:10" x14ac:dyDescent="0.3">
      <c r="A2137">
        <v>190978347</v>
      </c>
      <c r="B2137" s="1">
        <v>45076</v>
      </c>
      <c r="C2137" s="1">
        <v>45146</v>
      </c>
      <c r="D2137">
        <v>39</v>
      </c>
      <c r="E2137" t="s">
        <v>6</v>
      </c>
      <c r="F2137" t="s">
        <v>7</v>
      </c>
      <c r="G2137" s="1">
        <f t="shared" si="99"/>
        <v>45146</v>
      </c>
      <c r="H2137">
        <f t="shared" si="100"/>
        <v>3</v>
      </c>
      <c r="I2137">
        <f t="shared" si="101"/>
        <v>0</v>
      </c>
      <c r="J2137">
        <f>IF(Table1[[#This Row],[Active_months]]&gt;=1, 1, 0)</f>
        <v>1</v>
      </c>
    </row>
    <row r="2138" spans="1:10" x14ac:dyDescent="0.3">
      <c r="A2138">
        <v>215653713</v>
      </c>
      <c r="B2138" s="1">
        <v>45076</v>
      </c>
      <c r="C2138" s="1">
        <v>45118</v>
      </c>
      <c r="D2138">
        <v>39</v>
      </c>
      <c r="E2138" t="s">
        <v>6</v>
      </c>
      <c r="F2138" t="s">
        <v>7</v>
      </c>
      <c r="G2138" s="1">
        <f t="shared" si="99"/>
        <v>45118</v>
      </c>
      <c r="H2138">
        <f t="shared" si="100"/>
        <v>2</v>
      </c>
      <c r="I2138">
        <f t="shared" si="101"/>
        <v>0</v>
      </c>
      <c r="J2138">
        <f>IF(Table1[[#This Row],[Active_months]]&gt;=1, 1, 0)</f>
        <v>1</v>
      </c>
    </row>
    <row r="2139" spans="1:10" x14ac:dyDescent="0.3">
      <c r="A2139">
        <v>215185569</v>
      </c>
      <c r="B2139" s="1">
        <v>45076</v>
      </c>
      <c r="C2139" s="1">
        <v>45167</v>
      </c>
      <c r="D2139">
        <v>39</v>
      </c>
      <c r="E2139" t="s">
        <v>6</v>
      </c>
      <c r="F2139" t="s">
        <v>7</v>
      </c>
      <c r="G2139" s="1">
        <f t="shared" si="99"/>
        <v>45167</v>
      </c>
      <c r="H2139">
        <f t="shared" si="100"/>
        <v>3</v>
      </c>
      <c r="I2139">
        <f t="shared" si="101"/>
        <v>0</v>
      </c>
      <c r="J2139">
        <f>IF(Table1[[#This Row],[Active_months]]&gt;=1, 1, 0)</f>
        <v>1</v>
      </c>
    </row>
    <row r="2140" spans="1:10" x14ac:dyDescent="0.3">
      <c r="A2140">
        <v>215488799</v>
      </c>
      <c r="B2140" s="1">
        <v>45077</v>
      </c>
      <c r="D2140">
        <v>39</v>
      </c>
      <c r="E2140" t="s">
        <v>6</v>
      </c>
      <c r="F2140" t="s">
        <v>7</v>
      </c>
      <c r="G2140" s="1">
        <f t="shared" si="99"/>
        <v>45199</v>
      </c>
      <c r="H2140">
        <f t="shared" si="100"/>
        <v>4</v>
      </c>
      <c r="I2140">
        <f t="shared" si="101"/>
        <v>0</v>
      </c>
      <c r="J2140">
        <f>IF(Table1[[#This Row],[Active_months]]&gt;=1, 1, 0)</f>
        <v>1</v>
      </c>
    </row>
    <row r="2141" spans="1:10" x14ac:dyDescent="0.3">
      <c r="A2141">
        <v>216170130</v>
      </c>
      <c r="B2141" s="1">
        <v>45077</v>
      </c>
      <c r="D2141">
        <v>39</v>
      </c>
      <c r="E2141" t="s">
        <v>6</v>
      </c>
      <c r="F2141" t="s">
        <v>7</v>
      </c>
      <c r="G2141" s="1">
        <f t="shared" si="99"/>
        <v>45199</v>
      </c>
      <c r="H2141">
        <f t="shared" si="100"/>
        <v>4</v>
      </c>
      <c r="I2141">
        <f t="shared" si="101"/>
        <v>0</v>
      </c>
      <c r="J2141">
        <f>IF(Table1[[#This Row],[Active_months]]&gt;=1, 1, 0)</f>
        <v>1</v>
      </c>
    </row>
    <row r="2142" spans="1:10" x14ac:dyDescent="0.3">
      <c r="A2142">
        <v>215723337</v>
      </c>
      <c r="B2142" s="1">
        <v>45077</v>
      </c>
      <c r="D2142">
        <v>39</v>
      </c>
      <c r="E2142" t="s">
        <v>6</v>
      </c>
      <c r="F2142" t="s">
        <v>7</v>
      </c>
      <c r="G2142" s="1">
        <f t="shared" si="99"/>
        <v>45199</v>
      </c>
      <c r="H2142">
        <f t="shared" si="100"/>
        <v>4</v>
      </c>
      <c r="I2142">
        <f t="shared" si="101"/>
        <v>0</v>
      </c>
      <c r="J2142">
        <f>IF(Table1[[#This Row],[Active_months]]&gt;=1, 1, 0)</f>
        <v>1</v>
      </c>
    </row>
    <row r="2143" spans="1:10" x14ac:dyDescent="0.3">
      <c r="A2143">
        <v>148568942</v>
      </c>
      <c r="B2143" s="1">
        <v>45077</v>
      </c>
      <c r="D2143">
        <v>39</v>
      </c>
      <c r="E2143" t="s">
        <v>6</v>
      </c>
      <c r="F2143" t="s">
        <v>7</v>
      </c>
      <c r="G2143" s="1">
        <f t="shared" si="99"/>
        <v>45199</v>
      </c>
      <c r="H2143">
        <f t="shared" si="100"/>
        <v>4</v>
      </c>
      <c r="I2143">
        <f t="shared" si="101"/>
        <v>0</v>
      </c>
      <c r="J2143">
        <f>IF(Table1[[#This Row],[Active_months]]&gt;=1, 1, 0)</f>
        <v>1</v>
      </c>
    </row>
    <row r="2144" spans="1:10" x14ac:dyDescent="0.3">
      <c r="A2144">
        <v>215102456</v>
      </c>
      <c r="B2144" s="1">
        <v>45077</v>
      </c>
      <c r="D2144">
        <v>39</v>
      </c>
      <c r="E2144" t="s">
        <v>6</v>
      </c>
      <c r="F2144" t="s">
        <v>7</v>
      </c>
      <c r="G2144" s="1">
        <f t="shared" si="99"/>
        <v>45199</v>
      </c>
      <c r="H2144">
        <f t="shared" si="100"/>
        <v>4</v>
      </c>
      <c r="I2144">
        <f t="shared" si="101"/>
        <v>0</v>
      </c>
      <c r="J2144">
        <f>IF(Table1[[#This Row],[Active_months]]&gt;=1, 1, 0)</f>
        <v>1</v>
      </c>
    </row>
    <row r="2145" spans="1:10" x14ac:dyDescent="0.3">
      <c r="A2145">
        <v>216017581</v>
      </c>
      <c r="B2145" s="1">
        <v>45077</v>
      </c>
      <c r="D2145">
        <v>39</v>
      </c>
      <c r="E2145" t="s">
        <v>6</v>
      </c>
      <c r="F2145" t="s">
        <v>7</v>
      </c>
      <c r="G2145" s="1">
        <f t="shared" si="99"/>
        <v>45199</v>
      </c>
      <c r="H2145">
        <f t="shared" si="100"/>
        <v>4</v>
      </c>
      <c r="I2145">
        <f t="shared" si="101"/>
        <v>0</v>
      </c>
      <c r="J2145">
        <f>IF(Table1[[#This Row],[Active_months]]&gt;=1, 1, 0)</f>
        <v>1</v>
      </c>
    </row>
    <row r="2146" spans="1:10" x14ac:dyDescent="0.3">
      <c r="A2146">
        <v>153438676</v>
      </c>
      <c r="B2146" s="1">
        <v>45077</v>
      </c>
      <c r="D2146">
        <v>39</v>
      </c>
      <c r="E2146" t="s">
        <v>6</v>
      </c>
      <c r="F2146" t="s">
        <v>7</v>
      </c>
      <c r="G2146" s="1">
        <f t="shared" si="99"/>
        <v>45199</v>
      </c>
      <c r="H2146">
        <f t="shared" si="100"/>
        <v>4</v>
      </c>
      <c r="I2146">
        <f t="shared" si="101"/>
        <v>0</v>
      </c>
      <c r="J2146">
        <f>IF(Table1[[#This Row],[Active_months]]&gt;=1, 1, 0)</f>
        <v>1</v>
      </c>
    </row>
    <row r="2147" spans="1:10" x14ac:dyDescent="0.3">
      <c r="A2147">
        <v>213190132</v>
      </c>
      <c r="B2147" s="1">
        <v>45077</v>
      </c>
      <c r="D2147">
        <v>39</v>
      </c>
      <c r="E2147" t="s">
        <v>6</v>
      </c>
      <c r="F2147" t="s">
        <v>7</v>
      </c>
      <c r="G2147" s="1">
        <f t="shared" si="99"/>
        <v>45199</v>
      </c>
      <c r="H2147">
        <f t="shared" si="100"/>
        <v>4</v>
      </c>
      <c r="I2147">
        <f t="shared" si="101"/>
        <v>0</v>
      </c>
      <c r="J2147">
        <f>IF(Table1[[#This Row],[Active_months]]&gt;=1, 1, 0)</f>
        <v>1</v>
      </c>
    </row>
    <row r="2148" spans="1:10" x14ac:dyDescent="0.3">
      <c r="A2148">
        <v>216218992</v>
      </c>
      <c r="B2148" s="1">
        <v>45077</v>
      </c>
      <c r="C2148" s="1">
        <v>45169</v>
      </c>
      <c r="D2148">
        <v>39</v>
      </c>
      <c r="E2148" t="s">
        <v>6</v>
      </c>
      <c r="F2148" t="s">
        <v>7</v>
      </c>
      <c r="G2148" s="1">
        <f t="shared" si="99"/>
        <v>45169</v>
      </c>
      <c r="H2148">
        <f t="shared" si="100"/>
        <v>3</v>
      </c>
      <c r="I2148">
        <f t="shared" si="101"/>
        <v>0</v>
      </c>
      <c r="J2148">
        <f>IF(Table1[[#This Row],[Active_months]]&gt;=1, 1, 0)</f>
        <v>1</v>
      </c>
    </row>
    <row r="2149" spans="1:10" x14ac:dyDescent="0.3">
      <c r="A2149">
        <v>216210442</v>
      </c>
      <c r="B2149" s="1">
        <v>45077</v>
      </c>
      <c r="C2149" s="1">
        <v>45092</v>
      </c>
      <c r="D2149">
        <v>39</v>
      </c>
      <c r="E2149" t="s">
        <v>6</v>
      </c>
      <c r="F2149" t="s">
        <v>7</v>
      </c>
      <c r="G2149" s="1">
        <f t="shared" si="99"/>
        <v>45092</v>
      </c>
      <c r="H2149">
        <f t="shared" si="100"/>
        <v>1</v>
      </c>
      <c r="I2149">
        <f t="shared" si="101"/>
        <v>0</v>
      </c>
      <c r="J2149">
        <f>IF(Table1[[#This Row],[Active_months]]&gt;=1, 1, 0)</f>
        <v>1</v>
      </c>
    </row>
    <row r="2150" spans="1:10" x14ac:dyDescent="0.3">
      <c r="A2150">
        <v>129447970</v>
      </c>
      <c r="B2150" s="1">
        <v>45077</v>
      </c>
      <c r="C2150" s="1">
        <v>45172</v>
      </c>
      <c r="D2150">
        <v>39</v>
      </c>
      <c r="E2150" t="s">
        <v>6</v>
      </c>
      <c r="F2150" t="s">
        <v>7</v>
      </c>
      <c r="G2150" s="1">
        <f t="shared" si="99"/>
        <v>45172</v>
      </c>
      <c r="H2150">
        <f t="shared" si="100"/>
        <v>4</v>
      </c>
      <c r="I2150">
        <f t="shared" si="101"/>
        <v>0</v>
      </c>
      <c r="J2150">
        <f>IF(Table1[[#This Row],[Active_months]]&gt;=1, 1, 0)</f>
        <v>1</v>
      </c>
    </row>
    <row r="2151" spans="1:10" x14ac:dyDescent="0.3">
      <c r="A2151">
        <v>216221115</v>
      </c>
      <c r="B2151" s="1">
        <v>45077</v>
      </c>
      <c r="C2151" s="1">
        <v>45109</v>
      </c>
      <c r="D2151">
        <v>39</v>
      </c>
      <c r="E2151" t="s">
        <v>6</v>
      </c>
      <c r="F2151" t="s">
        <v>7</v>
      </c>
      <c r="G2151" s="1">
        <f t="shared" si="99"/>
        <v>45109</v>
      </c>
      <c r="H2151">
        <f t="shared" si="100"/>
        <v>2</v>
      </c>
      <c r="I2151">
        <f t="shared" si="101"/>
        <v>0</v>
      </c>
      <c r="J2151">
        <f>IF(Table1[[#This Row],[Active_months]]&gt;=1, 1, 0)</f>
        <v>1</v>
      </c>
    </row>
    <row r="2152" spans="1:10" x14ac:dyDescent="0.3">
      <c r="A2152">
        <v>215911675</v>
      </c>
      <c r="B2152" s="1">
        <v>45077</v>
      </c>
      <c r="C2152" s="1">
        <v>45114</v>
      </c>
      <c r="D2152">
        <v>39</v>
      </c>
      <c r="E2152" t="s">
        <v>6</v>
      </c>
      <c r="F2152" t="s">
        <v>7</v>
      </c>
      <c r="G2152" s="1">
        <f t="shared" si="99"/>
        <v>45114</v>
      </c>
      <c r="H2152">
        <f t="shared" si="100"/>
        <v>2</v>
      </c>
      <c r="I2152">
        <f t="shared" si="101"/>
        <v>0</v>
      </c>
      <c r="J2152">
        <f>IF(Table1[[#This Row],[Active_months]]&gt;=1, 1, 0)</f>
        <v>1</v>
      </c>
    </row>
    <row r="2153" spans="1:10" x14ac:dyDescent="0.3">
      <c r="A2153">
        <v>215908254</v>
      </c>
      <c r="B2153" s="1">
        <v>45077</v>
      </c>
      <c r="C2153" s="1">
        <v>45098</v>
      </c>
      <c r="D2153">
        <v>39</v>
      </c>
      <c r="E2153" t="s">
        <v>6</v>
      </c>
      <c r="F2153" t="s">
        <v>7</v>
      </c>
      <c r="G2153" s="1">
        <f t="shared" si="99"/>
        <v>45098</v>
      </c>
      <c r="H2153">
        <f t="shared" si="100"/>
        <v>1</v>
      </c>
      <c r="I2153">
        <f t="shared" si="101"/>
        <v>0</v>
      </c>
      <c r="J2153">
        <f>IF(Table1[[#This Row],[Active_months]]&gt;=1, 1, 0)</f>
        <v>1</v>
      </c>
    </row>
    <row r="2154" spans="1:10" x14ac:dyDescent="0.3">
      <c r="A2154">
        <v>214610994</v>
      </c>
      <c r="B2154" s="1">
        <v>45077</v>
      </c>
      <c r="C2154" s="1">
        <v>45106</v>
      </c>
      <c r="D2154">
        <v>39</v>
      </c>
      <c r="E2154" t="s">
        <v>6</v>
      </c>
      <c r="F2154" t="s">
        <v>7</v>
      </c>
      <c r="G2154" s="1">
        <f t="shared" si="99"/>
        <v>45106</v>
      </c>
      <c r="H2154">
        <f t="shared" si="100"/>
        <v>1</v>
      </c>
      <c r="I2154">
        <f t="shared" si="101"/>
        <v>0</v>
      </c>
      <c r="J2154">
        <f>IF(Table1[[#This Row],[Active_months]]&gt;=1, 1, 0)</f>
        <v>1</v>
      </c>
    </row>
    <row r="2155" spans="1:10" x14ac:dyDescent="0.3">
      <c r="A2155">
        <v>143272167</v>
      </c>
      <c r="B2155" s="1">
        <v>45077</v>
      </c>
      <c r="C2155" s="1">
        <v>45176</v>
      </c>
      <c r="D2155">
        <v>39</v>
      </c>
      <c r="E2155" t="s">
        <v>6</v>
      </c>
      <c r="F2155" t="s">
        <v>7</v>
      </c>
      <c r="G2155" s="1">
        <f t="shared" si="99"/>
        <v>45176</v>
      </c>
      <c r="H2155">
        <f t="shared" si="100"/>
        <v>4</v>
      </c>
      <c r="I2155">
        <f t="shared" si="101"/>
        <v>0</v>
      </c>
      <c r="J2155">
        <f>IF(Table1[[#This Row],[Active_months]]&gt;=1, 1, 0)</f>
        <v>1</v>
      </c>
    </row>
    <row r="2156" spans="1:10" x14ac:dyDescent="0.3">
      <c r="A2156">
        <v>216340651</v>
      </c>
      <c r="B2156" s="1">
        <v>45078</v>
      </c>
      <c r="D2156">
        <v>39</v>
      </c>
      <c r="E2156" t="s">
        <v>6</v>
      </c>
      <c r="F2156" t="s">
        <v>7</v>
      </c>
      <c r="G2156" s="1">
        <f t="shared" si="99"/>
        <v>45199</v>
      </c>
      <c r="H2156">
        <f t="shared" si="100"/>
        <v>3</v>
      </c>
      <c r="I2156">
        <f t="shared" si="101"/>
        <v>0</v>
      </c>
      <c r="J2156">
        <f>IF(Table1[[#This Row],[Active_months]]&gt;=1, 1, 0)</f>
        <v>1</v>
      </c>
    </row>
    <row r="2157" spans="1:10" x14ac:dyDescent="0.3">
      <c r="A2157">
        <v>153573832</v>
      </c>
      <c r="B2157" s="1">
        <v>45078</v>
      </c>
      <c r="D2157">
        <v>39</v>
      </c>
      <c r="E2157" t="s">
        <v>6</v>
      </c>
      <c r="F2157" t="s">
        <v>7</v>
      </c>
      <c r="G2157" s="1">
        <f t="shared" si="99"/>
        <v>45199</v>
      </c>
      <c r="H2157">
        <f t="shared" si="100"/>
        <v>3</v>
      </c>
      <c r="I2157">
        <f t="shared" si="101"/>
        <v>0</v>
      </c>
      <c r="J2157">
        <f>IF(Table1[[#This Row],[Active_months]]&gt;=1, 1, 0)</f>
        <v>1</v>
      </c>
    </row>
    <row r="2158" spans="1:10" x14ac:dyDescent="0.3">
      <c r="A2158">
        <v>138312982</v>
      </c>
      <c r="B2158" s="1">
        <v>45078</v>
      </c>
      <c r="D2158">
        <v>39</v>
      </c>
      <c r="E2158" t="s">
        <v>6</v>
      </c>
      <c r="F2158" t="s">
        <v>7</v>
      </c>
      <c r="G2158" s="1">
        <f t="shared" si="99"/>
        <v>45199</v>
      </c>
      <c r="H2158">
        <f t="shared" si="100"/>
        <v>3</v>
      </c>
      <c r="I2158">
        <f t="shared" si="101"/>
        <v>0</v>
      </c>
      <c r="J2158">
        <f>IF(Table1[[#This Row],[Active_months]]&gt;=1, 1, 0)</f>
        <v>1</v>
      </c>
    </row>
    <row r="2159" spans="1:10" x14ac:dyDescent="0.3">
      <c r="A2159">
        <v>216365777</v>
      </c>
      <c r="B2159" s="1">
        <v>45078</v>
      </c>
      <c r="D2159">
        <v>39</v>
      </c>
      <c r="E2159" t="s">
        <v>6</v>
      </c>
      <c r="F2159" t="s">
        <v>7</v>
      </c>
      <c r="G2159" s="1">
        <f t="shared" si="99"/>
        <v>45199</v>
      </c>
      <c r="H2159">
        <f t="shared" si="100"/>
        <v>3</v>
      </c>
      <c r="I2159">
        <f t="shared" si="101"/>
        <v>0</v>
      </c>
      <c r="J2159">
        <f>IF(Table1[[#This Row],[Active_months]]&gt;=1, 1, 0)</f>
        <v>1</v>
      </c>
    </row>
    <row r="2160" spans="1:10" x14ac:dyDescent="0.3">
      <c r="A2160">
        <v>216272792</v>
      </c>
      <c r="B2160" s="1">
        <v>45078</v>
      </c>
      <c r="C2160" s="1">
        <v>45175</v>
      </c>
      <c r="D2160">
        <v>39</v>
      </c>
      <c r="E2160" t="s">
        <v>6</v>
      </c>
      <c r="F2160" t="s">
        <v>7</v>
      </c>
      <c r="G2160" s="1">
        <f t="shared" si="99"/>
        <v>45175</v>
      </c>
      <c r="H2160">
        <f t="shared" si="100"/>
        <v>3</v>
      </c>
      <c r="I2160">
        <f t="shared" si="101"/>
        <v>0</v>
      </c>
      <c r="J2160">
        <f>IF(Table1[[#This Row],[Active_months]]&gt;=1, 1, 0)</f>
        <v>1</v>
      </c>
    </row>
    <row r="2161" spans="1:10" x14ac:dyDescent="0.3">
      <c r="A2161">
        <v>167174814</v>
      </c>
      <c r="B2161" s="1">
        <v>45078</v>
      </c>
      <c r="C2161" s="1">
        <v>45088</v>
      </c>
      <c r="D2161">
        <v>39</v>
      </c>
      <c r="E2161" t="s">
        <v>6</v>
      </c>
      <c r="F2161" t="s">
        <v>7</v>
      </c>
      <c r="G2161" s="1">
        <f t="shared" si="99"/>
        <v>45088</v>
      </c>
      <c r="H2161">
        <f t="shared" si="100"/>
        <v>0</v>
      </c>
      <c r="I2161">
        <f t="shared" si="101"/>
        <v>0</v>
      </c>
      <c r="J2161">
        <f>IF(Table1[[#This Row],[Active_months]]&gt;=1, 1, 0)</f>
        <v>0</v>
      </c>
    </row>
    <row r="2162" spans="1:10" x14ac:dyDescent="0.3">
      <c r="A2162">
        <v>216329176</v>
      </c>
      <c r="B2162" s="1">
        <v>45078</v>
      </c>
      <c r="C2162" s="1">
        <v>45115</v>
      </c>
      <c r="D2162">
        <v>39</v>
      </c>
      <c r="E2162" t="s">
        <v>6</v>
      </c>
      <c r="F2162" t="s">
        <v>7</v>
      </c>
      <c r="G2162" s="1">
        <f t="shared" si="99"/>
        <v>45115</v>
      </c>
      <c r="H2162">
        <f t="shared" si="100"/>
        <v>1</v>
      </c>
      <c r="I2162">
        <f t="shared" si="101"/>
        <v>0</v>
      </c>
      <c r="J2162">
        <f>IF(Table1[[#This Row],[Active_months]]&gt;=1, 1, 0)</f>
        <v>1</v>
      </c>
    </row>
    <row r="2163" spans="1:10" x14ac:dyDescent="0.3">
      <c r="A2163">
        <v>147320092</v>
      </c>
      <c r="B2163" s="1">
        <v>45078</v>
      </c>
      <c r="C2163" s="1">
        <v>45111</v>
      </c>
      <c r="D2163">
        <v>39</v>
      </c>
      <c r="E2163" t="s">
        <v>6</v>
      </c>
      <c r="F2163" t="s">
        <v>7</v>
      </c>
      <c r="G2163" s="1">
        <f t="shared" si="99"/>
        <v>45111</v>
      </c>
      <c r="H2163">
        <f t="shared" si="100"/>
        <v>1</v>
      </c>
      <c r="I2163">
        <f t="shared" si="101"/>
        <v>0</v>
      </c>
      <c r="J2163">
        <f>IF(Table1[[#This Row],[Active_months]]&gt;=1, 1, 0)</f>
        <v>1</v>
      </c>
    </row>
    <row r="2164" spans="1:10" x14ac:dyDescent="0.3">
      <c r="A2164">
        <v>157974600</v>
      </c>
      <c r="B2164" s="1">
        <v>45078</v>
      </c>
      <c r="C2164" s="1">
        <v>45091</v>
      </c>
      <c r="D2164">
        <v>39</v>
      </c>
      <c r="E2164" t="s">
        <v>6</v>
      </c>
      <c r="F2164" t="s">
        <v>7</v>
      </c>
      <c r="G2164" s="1">
        <f t="shared" si="99"/>
        <v>45091</v>
      </c>
      <c r="H2164">
        <f t="shared" si="100"/>
        <v>0</v>
      </c>
      <c r="I2164">
        <f t="shared" si="101"/>
        <v>0</v>
      </c>
      <c r="J2164">
        <f>IF(Table1[[#This Row],[Active_months]]&gt;=1, 1, 0)</f>
        <v>0</v>
      </c>
    </row>
    <row r="2165" spans="1:10" x14ac:dyDescent="0.3">
      <c r="A2165">
        <v>200955808</v>
      </c>
      <c r="B2165" s="1">
        <v>45078</v>
      </c>
      <c r="C2165" s="1">
        <v>45108</v>
      </c>
      <c r="D2165">
        <v>39</v>
      </c>
      <c r="E2165" t="s">
        <v>6</v>
      </c>
      <c r="F2165" t="s">
        <v>7</v>
      </c>
      <c r="G2165" s="1">
        <f t="shared" si="99"/>
        <v>45108</v>
      </c>
      <c r="H2165">
        <f t="shared" si="100"/>
        <v>1</v>
      </c>
      <c r="I2165">
        <f t="shared" si="101"/>
        <v>0</v>
      </c>
      <c r="J2165">
        <f>IF(Table1[[#This Row],[Active_months]]&gt;=1, 1, 0)</f>
        <v>1</v>
      </c>
    </row>
    <row r="2166" spans="1:10" x14ac:dyDescent="0.3">
      <c r="A2166">
        <v>216332850</v>
      </c>
      <c r="B2166" s="1">
        <v>45078</v>
      </c>
      <c r="C2166" s="1">
        <v>45139</v>
      </c>
      <c r="D2166">
        <v>39</v>
      </c>
      <c r="E2166" t="s">
        <v>6</v>
      </c>
      <c r="F2166" t="s">
        <v>7</v>
      </c>
      <c r="G2166" s="1">
        <f t="shared" si="99"/>
        <v>45139</v>
      </c>
      <c r="H2166">
        <f t="shared" si="100"/>
        <v>2</v>
      </c>
      <c r="I2166">
        <f t="shared" si="101"/>
        <v>0</v>
      </c>
      <c r="J2166">
        <f>IF(Table1[[#This Row],[Active_months]]&gt;=1, 1, 0)</f>
        <v>1</v>
      </c>
    </row>
    <row r="2167" spans="1:10" x14ac:dyDescent="0.3">
      <c r="A2167">
        <v>149986818</v>
      </c>
      <c r="B2167" s="1">
        <v>45079</v>
      </c>
      <c r="D2167">
        <v>39</v>
      </c>
      <c r="E2167" t="s">
        <v>6</v>
      </c>
      <c r="F2167" t="s">
        <v>7</v>
      </c>
      <c r="G2167" s="1">
        <f t="shared" si="99"/>
        <v>45199</v>
      </c>
      <c r="H2167">
        <f t="shared" si="100"/>
        <v>3</v>
      </c>
      <c r="I2167">
        <f t="shared" si="101"/>
        <v>0</v>
      </c>
      <c r="J2167">
        <f>IF(Table1[[#This Row],[Active_months]]&gt;=1, 1, 0)</f>
        <v>1</v>
      </c>
    </row>
    <row r="2168" spans="1:10" x14ac:dyDescent="0.3">
      <c r="A2168">
        <v>132579012</v>
      </c>
      <c r="B2168" s="1">
        <v>45079</v>
      </c>
      <c r="D2168">
        <v>39</v>
      </c>
      <c r="E2168" t="s">
        <v>6</v>
      </c>
      <c r="F2168" t="s">
        <v>7</v>
      </c>
      <c r="G2168" s="1">
        <f t="shared" si="99"/>
        <v>45199</v>
      </c>
      <c r="H2168">
        <f t="shared" si="100"/>
        <v>3</v>
      </c>
      <c r="I2168">
        <f t="shared" si="101"/>
        <v>0</v>
      </c>
      <c r="J2168">
        <f>IF(Table1[[#This Row],[Active_months]]&gt;=1, 1, 0)</f>
        <v>1</v>
      </c>
    </row>
    <row r="2169" spans="1:10" x14ac:dyDescent="0.3">
      <c r="A2169">
        <v>155529346</v>
      </c>
      <c r="B2169" s="1">
        <v>45079</v>
      </c>
      <c r="C2169" s="1">
        <v>45173</v>
      </c>
      <c r="D2169">
        <v>39</v>
      </c>
      <c r="E2169" t="s">
        <v>6</v>
      </c>
      <c r="F2169" t="s">
        <v>7</v>
      </c>
      <c r="G2169" s="1">
        <f t="shared" si="99"/>
        <v>45173</v>
      </c>
      <c r="H2169">
        <f t="shared" si="100"/>
        <v>3</v>
      </c>
      <c r="I2169">
        <f t="shared" si="101"/>
        <v>0</v>
      </c>
      <c r="J2169">
        <f>IF(Table1[[#This Row],[Active_months]]&gt;=1, 1, 0)</f>
        <v>1</v>
      </c>
    </row>
    <row r="2170" spans="1:10" x14ac:dyDescent="0.3">
      <c r="A2170">
        <v>153085868</v>
      </c>
      <c r="B2170" s="1">
        <v>45079</v>
      </c>
      <c r="C2170" s="1">
        <v>45106</v>
      </c>
      <c r="D2170">
        <v>39</v>
      </c>
      <c r="E2170" t="s">
        <v>6</v>
      </c>
      <c r="F2170" t="s">
        <v>7</v>
      </c>
      <c r="G2170" s="1">
        <f t="shared" si="99"/>
        <v>45106</v>
      </c>
      <c r="H2170">
        <f t="shared" si="100"/>
        <v>0</v>
      </c>
      <c r="I2170">
        <f t="shared" si="101"/>
        <v>0</v>
      </c>
      <c r="J2170">
        <f>IF(Table1[[#This Row],[Active_months]]&gt;=1, 1, 0)</f>
        <v>0</v>
      </c>
    </row>
    <row r="2171" spans="1:10" x14ac:dyDescent="0.3">
      <c r="A2171">
        <v>156702204</v>
      </c>
      <c r="B2171" s="1">
        <v>45079</v>
      </c>
      <c r="C2171" s="1">
        <v>45109</v>
      </c>
      <c r="D2171">
        <v>39</v>
      </c>
      <c r="E2171" t="s">
        <v>6</v>
      </c>
      <c r="F2171" t="s">
        <v>7</v>
      </c>
      <c r="G2171" s="1">
        <f t="shared" si="99"/>
        <v>45109</v>
      </c>
      <c r="H2171">
        <f t="shared" si="100"/>
        <v>1</v>
      </c>
      <c r="I2171">
        <f t="shared" si="101"/>
        <v>0</v>
      </c>
      <c r="J2171">
        <f>IF(Table1[[#This Row],[Active_months]]&gt;=1, 1, 0)</f>
        <v>1</v>
      </c>
    </row>
    <row r="2172" spans="1:10" x14ac:dyDescent="0.3">
      <c r="A2172">
        <v>158177676</v>
      </c>
      <c r="B2172" s="1">
        <v>45079</v>
      </c>
      <c r="C2172" s="1">
        <v>45104</v>
      </c>
      <c r="D2172">
        <v>39</v>
      </c>
      <c r="E2172" t="s">
        <v>6</v>
      </c>
      <c r="F2172" t="s">
        <v>7</v>
      </c>
      <c r="G2172" s="1">
        <f t="shared" si="99"/>
        <v>45104</v>
      </c>
      <c r="H2172">
        <f t="shared" si="100"/>
        <v>0</v>
      </c>
      <c r="I2172">
        <f t="shared" si="101"/>
        <v>0</v>
      </c>
      <c r="J2172">
        <f>IF(Table1[[#This Row],[Active_months]]&gt;=1, 1, 0)</f>
        <v>0</v>
      </c>
    </row>
    <row r="2173" spans="1:10" x14ac:dyDescent="0.3">
      <c r="A2173">
        <v>216423972</v>
      </c>
      <c r="B2173" s="1">
        <v>45079</v>
      </c>
      <c r="C2173" s="1">
        <v>45121</v>
      </c>
      <c r="D2173">
        <v>39</v>
      </c>
      <c r="E2173" t="s">
        <v>6</v>
      </c>
      <c r="F2173" t="s">
        <v>7</v>
      </c>
      <c r="G2173" s="1">
        <f t="shared" si="99"/>
        <v>45121</v>
      </c>
      <c r="H2173">
        <f t="shared" si="100"/>
        <v>1</v>
      </c>
      <c r="I2173">
        <f t="shared" si="101"/>
        <v>0</v>
      </c>
      <c r="J2173">
        <f>IF(Table1[[#This Row],[Active_months]]&gt;=1, 1, 0)</f>
        <v>1</v>
      </c>
    </row>
    <row r="2174" spans="1:10" x14ac:dyDescent="0.3">
      <c r="A2174">
        <v>216533259</v>
      </c>
      <c r="B2174" s="1">
        <v>45080</v>
      </c>
      <c r="D2174">
        <v>39</v>
      </c>
      <c r="E2174" t="s">
        <v>6</v>
      </c>
      <c r="F2174" t="s">
        <v>7</v>
      </c>
      <c r="G2174" s="1">
        <f t="shared" si="99"/>
        <v>45199</v>
      </c>
      <c r="H2174">
        <f t="shared" si="100"/>
        <v>3</v>
      </c>
      <c r="I2174">
        <f t="shared" si="101"/>
        <v>0</v>
      </c>
      <c r="J2174">
        <f>IF(Table1[[#This Row],[Active_months]]&gt;=1, 1, 0)</f>
        <v>1</v>
      </c>
    </row>
    <row r="2175" spans="1:10" x14ac:dyDescent="0.3">
      <c r="A2175">
        <v>204953211</v>
      </c>
      <c r="B2175" s="1">
        <v>45080</v>
      </c>
      <c r="D2175">
        <v>39</v>
      </c>
      <c r="E2175" t="s">
        <v>6</v>
      </c>
      <c r="F2175" t="s">
        <v>7</v>
      </c>
      <c r="G2175" s="1">
        <f t="shared" si="99"/>
        <v>45199</v>
      </c>
      <c r="H2175">
        <f t="shared" si="100"/>
        <v>3</v>
      </c>
      <c r="I2175">
        <f t="shared" si="101"/>
        <v>0</v>
      </c>
      <c r="J2175">
        <f>IF(Table1[[#This Row],[Active_months]]&gt;=1, 1, 0)</f>
        <v>1</v>
      </c>
    </row>
    <row r="2176" spans="1:10" x14ac:dyDescent="0.3">
      <c r="A2176">
        <v>149112756</v>
      </c>
      <c r="B2176" s="1">
        <v>45080</v>
      </c>
      <c r="D2176">
        <v>39</v>
      </c>
      <c r="E2176" t="s">
        <v>6</v>
      </c>
      <c r="F2176" t="s">
        <v>7</v>
      </c>
      <c r="G2176" s="1">
        <f t="shared" si="99"/>
        <v>45199</v>
      </c>
      <c r="H2176">
        <f t="shared" si="100"/>
        <v>3</v>
      </c>
      <c r="I2176">
        <f t="shared" si="101"/>
        <v>0</v>
      </c>
      <c r="J2176">
        <f>IF(Table1[[#This Row],[Active_months]]&gt;=1, 1, 0)</f>
        <v>1</v>
      </c>
    </row>
    <row r="2177" spans="1:10" x14ac:dyDescent="0.3">
      <c r="A2177">
        <v>216674420</v>
      </c>
      <c r="B2177" s="1">
        <v>45080</v>
      </c>
      <c r="C2177" s="1">
        <v>45081</v>
      </c>
      <c r="D2177">
        <v>39</v>
      </c>
      <c r="E2177" t="s">
        <v>6</v>
      </c>
      <c r="F2177" t="s">
        <v>8</v>
      </c>
      <c r="G2177" s="1">
        <f t="shared" si="99"/>
        <v>45081</v>
      </c>
      <c r="H2177">
        <f t="shared" si="100"/>
        <v>0</v>
      </c>
      <c r="I2177">
        <f t="shared" si="101"/>
        <v>0</v>
      </c>
      <c r="J2177">
        <f>IF(Table1[[#This Row],[Active_months]]&gt;=1, 1, 0)</f>
        <v>0</v>
      </c>
    </row>
    <row r="2178" spans="1:10" x14ac:dyDescent="0.3">
      <c r="A2178">
        <v>148225450</v>
      </c>
      <c r="B2178" s="1">
        <v>45080</v>
      </c>
      <c r="C2178" s="1">
        <v>45106</v>
      </c>
      <c r="D2178">
        <v>39</v>
      </c>
      <c r="E2178" t="s">
        <v>6</v>
      </c>
      <c r="F2178" t="s">
        <v>7</v>
      </c>
      <c r="G2178" s="1">
        <f t="shared" si="99"/>
        <v>45106</v>
      </c>
      <c r="H2178">
        <f t="shared" si="100"/>
        <v>0</v>
      </c>
      <c r="I2178">
        <f t="shared" si="101"/>
        <v>0</v>
      </c>
      <c r="J2178">
        <f>IF(Table1[[#This Row],[Active_months]]&gt;=1, 1, 0)</f>
        <v>0</v>
      </c>
    </row>
    <row r="2179" spans="1:10" x14ac:dyDescent="0.3">
      <c r="A2179">
        <v>216720172</v>
      </c>
      <c r="B2179" s="1">
        <v>45080</v>
      </c>
      <c r="C2179" s="1">
        <v>45097</v>
      </c>
      <c r="D2179">
        <v>39</v>
      </c>
      <c r="E2179" t="s">
        <v>6</v>
      </c>
      <c r="F2179" t="s">
        <v>7</v>
      </c>
      <c r="G2179" s="1">
        <f t="shared" ref="G2179:G2242" si="102">IF(ISBLANK(C2179), DATE(2023,9,30), C2179)</f>
        <v>45097</v>
      </c>
      <c r="H2179">
        <f t="shared" ref="H2179:H2242" si="103">(YEAR(G2179)-YEAR(B2179))*12 + (MONTH(G2179)-MONTH(B2179))</f>
        <v>0</v>
      </c>
      <c r="I2179">
        <f t="shared" ref="I2179:I2242" si="104">IF(H2179 &gt;=5, 1, 0)</f>
        <v>0</v>
      </c>
      <c r="J2179">
        <f>IF(Table1[[#This Row],[Active_months]]&gt;=1, 1, 0)</f>
        <v>0</v>
      </c>
    </row>
    <row r="2180" spans="1:10" x14ac:dyDescent="0.3">
      <c r="A2180">
        <v>204750804</v>
      </c>
      <c r="B2180" s="1">
        <v>45080</v>
      </c>
      <c r="C2180" s="1">
        <v>45104</v>
      </c>
      <c r="D2180">
        <v>39</v>
      </c>
      <c r="E2180" t="s">
        <v>6</v>
      </c>
      <c r="F2180" t="s">
        <v>7</v>
      </c>
      <c r="G2180" s="1">
        <f t="shared" si="102"/>
        <v>45104</v>
      </c>
      <c r="H2180">
        <f t="shared" si="103"/>
        <v>0</v>
      </c>
      <c r="I2180">
        <f t="shared" si="104"/>
        <v>0</v>
      </c>
      <c r="J2180">
        <f>IF(Table1[[#This Row],[Active_months]]&gt;=1, 1, 0)</f>
        <v>0</v>
      </c>
    </row>
    <row r="2181" spans="1:10" x14ac:dyDescent="0.3">
      <c r="A2181">
        <v>147798395</v>
      </c>
      <c r="B2181" s="1">
        <v>45081</v>
      </c>
      <c r="D2181">
        <v>39</v>
      </c>
      <c r="E2181" t="s">
        <v>6</v>
      </c>
      <c r="F2181" t="s">
        <v>7</v>
      </c>
      <c r="G2181" s="1">
        <f t="shared" si="102"/>
        <v>45199</v>
      </c>
      <c r="H2181">
        <f t="shared" si="103"/>
        <v>3</v>
      </c>
      <c r="I2181">
        <f t="shared" si="104"/>
        <v>0</v>
      </c>
      <c r="J2181">
        <f>IF(Table1[[#This Row],[Active_months]]&gt;=1, 1, 0)</f>
        <v>1</v>
      </c>
    </row>
    <row r="2182" spans="1:10" x14ac:dyDescent="0.3">
      <c r="A2182">
        <v>216560949</v>
      </c>
      <c r="B2182" s="1">
        <v>45081</v>
      </c>
      <c r="C2182" s="1">
        <v>45112</v>
      </c>
      <c r="D2182">
        <v>39</v>
      </c>
      <c r="E2182" t="s">
        <v>6</v>
      </c>
      <c r="F2182" t="s">
        <v>7</v>
      </c>
      <c r="G2182" s="1">
        <f t="shared" si="102"/>
        <v>45112</v>
      </c>
      <c r="H2182">
        <f t="shared" si="103"/>
        <v>1</v>
      </c>
      <c r="I2182">
        <f t="shared" si="104"/>
        <v>0</v>
      </c>
      <c r="J2182">
        <f>IF(Table1[[#This Row],[Active_months]]&gt;=1, 1, 0)</f>
        <v>1</v>
      </c>
    </row>
    <row r="2183" spans="1:10" x14ac:dyDescent="0.3">
      <c r="A2183">
        <v>216743053</v>
      </c>
      <c r="B2183" s="1">
        <v>45081</v>
      </c>
      <c r="C2183" s="1">
        <v>45121</v>
      </c>
      <c r="D2183">
        <v>39</v>
      </c>
      <c r="E2183" t="s">
        <v>6</v>
      </c>
      <c r="F2183" t="s">
        <v>7</v>
      </c>
      <c r="G2183" s="1">
        <f t="shared" si="102"/>
        <v>45121</v>
      </c>
      <c r="H2183">
        <f t="shared" si="103"/>
        <v>1</v>
      </c>
      <c r="I2183">
        <f t="shared" si="104"/>
        <v>0</v>
      </c>
      <c r="J2183">
        <f>IF(Table1[[#This Row],[Active_months]]&gt;=1, 1, 0)</f>
        <v>1</v>
      </c>
    </row>
    <row r="2184" spans="1:10" x14ac:dyDescent="0.3">
      <c r="A2184">
        <v>149040748</v>
      </c>
      <c r="B2184" s="1">
        <v>45082</v>
      </c>
      <c r="D2184">
        <v>39</v>
      </c>
      <c r="E2184" t="s">
        <v>6</v>
      </c>
      <c r="F2184" t="s">
        <v>7</v>
      </c>
      <c r="G2184" s="1">
        <f t="shared" si="102"/>
        <v>45199</v>
      </c>
      <c r="H2184">
        <f t="shared" si="103"/>
        <v>3</v>
      </c>
      <c r="I2184">
        <f t="shared" si="104"/>
        <v>0</v>
      </c>
      <c r="J2184">
        <f>IF(Table1[[#This Row],[Active_months]]&gt;=1, 1, 0)</f>
        <v>1</v>
      </c>
    </row>
    <row r="2185" spans="1:10" x14ac:dyDescent="0.3">
      <c r="A2185">
        <v>206939746</v>
      </c>
      <c r="B2185" s="1">
        <v>45082</v>
      </c>
      <c r="D2185">
        <v>39</v>
      </c>
      <c r="E2185" t="s">
        <v>6</v>
      </c>
      <c r="F2185" t="s">
        <v>7</v>
      </c>
      <c r="G2185" s="1">
        <f t="shared" si="102"/>
        <v>45199</v>
      </c>
      <c r="H2185">
        <f t="shared" si="103"/>
        <v>3</v>
      </c>
      <c r="I2185">
        <f t="shared" si="104"/>
        <v>0</v>
      </c>
      <c r="J2185">
        <f>IF(Table1[[#This Row],[Active_months]]&gt;=1, 1, 0)</f>
        <v>1</v>
      </c>
    </row>
    <row r="2186" spans="1:10" x14ac:dyDescent="0.3">
      <c r="A2186">
        <v>216845223</v>
      </c>
      <c r="B2186" s="1">
        <v>45082</v>
      </c>
      <c r="D2186">
        <v>39</v>
      </c>
      <c r="E2186" t="s">
        <v>6</v>
      </c>
      <c r="F2186" t="s">
        <v>7</v>
      </c>
      <c r="G2186" s="1">
        <f t="shared" si="102"/>
        <v>45199</v>
      </c>
      <c r="H2186">
        <f t="shared" si="103"/>
        <v>3</v>
      </c>
      <c r="I2186">
        <f t="shared" si="104"/>
        <v>0</v>
      </c>
      <c r="J2186">
        <f>IF(Table1[[#This Row],[Active_months]]&gt;=1, 1, 0)</f>
        <v>1</v>
      </c>
    </row>
    <row r="2187" spans="1:10" x14ac:dyDescent="0.3">
      <c r="A2187">
        <v>124876382</v>
      </c>
      <c r="B2187" s="1">
        <v>45082</v>
      </c>
      <c r="C2187" s="1">
        <v>45150</v>
      </c>
      <c r="D2187">
        <v>39</v>
      </c>
      <c r="E2187" t="s">
        <v>6</v>
      </c>
      <c r="F2187" t="s">
        <v>7</v>
      </c>
      <c r="G2187" s="1">
        <f t="shared" si="102"/>
        <v>45150</v>
      </c>
      <c r="H2187">
        <f t="shared" si="103"/>
        <v>2</v>
      </c>
      <c r="I2187">
        <f t="shared" si="104"/>
        <v>0</v>
      </c>
      <c r="J2187">
        <f>IF(Table1[[#This Row],[Active_months]]&gt;=1, 1, 0)</f>
        <v>1</v>
      </c>
    </row>
    <row r="2188" spans="1:10" x14ac:dyDescent="0.3">
      <c r="A2188">
        <v>168485609</v>
      </c>
      <c r="B2188" s="1">
        <v>45082</v>
      </c>
      <c r="C2188" s="1">
        <v>45158</v>
      </c>
      <c r="D2188">
        <v>39</v>
      </c>
      <c r="E2188" t="s">
        <v>6</v>
      </c>
      <c r="F2188" t="s">
        <v>7</v>
      </c>
      <c r="G2188" s="1">
        <f t="shared" si="102"/>
        <v>45158</v>
      </c>
      <c r="H2188">
        <f t="shared" si="103"/>
        <v>2</v>
      </c>
      <c r="I2188">
        <f t="shared" si="104"/>
        <v>0</v>
      </c>
      <c r="J2188">
        <f>IF(Table1[[#This Row],[Active_months]]&gt;=1, 1, 0)</f>
        <v>1</v>
      </c>
    </row>
    <row r="2189" spans="1:10" x14ac:dyDescent="0.3">
      <c r="A2189">
        <v>216888206</v>
      </c>
      <c r="B2189" s="1">
        <v>45082</v>
      </c>
      <c r="C2189" s="1">
        <v>45172</v>
      </c>
      <c r="D2189">
        <v>39</v>
      </c>
      <c r="E2189" t="s">
        <v>6</v>
      </c>
      <c r="F2189" t="s">
        <v>7</v>
      </c>
      <c r="G2189" s="1">
        <f t="shared" si="102"/>
        <v>45172</v>
      </c>
      <c r="H2189">
        <f t="shared" si="103"/>
        <v>3</v>
      </c>
      <c r="I2189">
        <f t="shared" si="104"/>
        <v>0</v>
      </c>
      <c r="J2189">
        <f>IF(Table1[[#This Row],[Active_months]]&gt;=1, 1, 0)</f>
        <v>1</v>
      </c>
    </row>
    <row r="2190" spans="1:10" x14ac:dyDescent="0.3">
      <c r="A2190">
        <v>216957502</v>
      </c>
      <c r="B2190" s="1">
        <v>45083</v>
      </c>
      <c r="D2190">
        <v>39</v>
      </c>
      <c r="E2190" t="s">
        <v>6</v>
      </c>
      <c r="F2190" t="s">
        <v>7</v>
      </c>
      <c r="G2190" s="1">
        <f t="shared" si="102"/>
        <v>45199</v>
      </c>
      <c r="H2190">
        <f t="shared" si="103"/>
        <v>3</v>
      </c>
      <c r="I2190">
        <f t="shared" si="104"/>
        <v>0</v>
      </c>
      <c r="J2190">
        <f>IF(Table1[[#This Row],[Active_months]]&gt;=1, 1, 0)</f>
        <v>1</v>
      </c>
    </row>
    <row r="2191" spans="1:10" x14ac:dyDescent="0.3">
      <c r="A2191">
        <v>215840282</v>
      </c>
      <c r="B2191" s="1">
        <v>45083</v>
      </c>
      <c r="D2191">
        <v>39</v>
      </c>
      <c r="E2191" t="s">
        <v>6</v>
      </c>
      <c r="F2191" t="s">
        <v>7</v>
      </c>
      <c r="G2191" s="1">
        <f t="shared" si="102"/>
        <v>45199</v>
      </c>
      <c r="H2191">
        <f t="shared" si="103"/>
        <v>3</v>
      </c>
      <c r="I2191">
        <f t="shared" si="104"/>
        <v>0</v>
      </c>
      <c r="J2191">
        <f>IF(Table1[[#This Row],[Active_months]]&gt;=1, 1, 0)</f>
        <v>1</v>
      </c>
    </row>
    <row r="2192" spans="1:10" x14ac:dyDescent="0.3">
      <c r="A2192">
        <v>216311456</v>
      </c>
      <c r="B2192" s="1">
        <v>45083</v>
      </c>
      <c r="D2192">
        <v>39</v>
      </c>
      <c r="E2192" t="s">
        <v>6</v>
      </c>
      <c r="F2192" t="s">
        <v>7</v>
      </c>
      <c r="G2192" s="1">
        <f t="shared" si="102"/>
        <v>45199</v>
      </c>
      <c r="H2192">
        <f t="shared" si="103"/>
        <v>3</v>
      </c>
      <c r="I2192">
        <f t="shared" si="104"/>
        <v>0</v>
      </c>
      <c r="J2192">
        <f>IF(Table1[[#This Row],[Active_months]]&gt;=1, 1, 0)</f>
        <v>1</v>
      </c>
    </row>
    <row r="2193" spans="1:10" x14ac:dyDescent="0.3">
      <c r="A2193">
        <v>155088727</v>
      </c>
      <c r="B2193" s="1">
        <v>45083</v>
      </c>
      <c r="D2193">
        <v>39</v>
      </c>
      <c r="E2193" t="s">
        <v>6</v>
      </c>
      <c r="F2193" t="s">
        <v>7</v>
      </c>
      <c r="G2193" s="1">
        <f t="shared" si="102"/>
        <v>45199</v>
      </c>
      <c r="H2193">
        <f t="shared" si="103"/>
        <v>3</v>
      </c>
      <c r="I2193">
        <f t="shared" si="104"/>
        <v>0</v>
      </c>
      <c r="J2193">
        <f>IF(Table1[[#This Row],[Active_months]]&gt;=1, 1, 0)</f>
        <v>1</v>
      </c>
    </row>
    <row r="2194" spans="1:10" x14ac:dyDescent="0.3">
      <c r="A2194">
        <v>216925191</v>
      </c>
      <c r="B2194" s="1">
        <v>45083</v>
      </c>
      <c r="C2194" s="1">
        <v>45090</v>
      </c>
      <c r="D2194">
        <v>39</v>
      </c>
      <c r="E2194" t="s">
        <v>6</v>
      </c>
      <c r="F2194" t="s">
        <v>7</v>
      </c>
      <c r="G2194" s="1">
        <f t="shared" si="102"/>
        <v>45090</v>
      </c>
      <c r="H2194">
        <f t="shared" si="103"/>
        <v>0</v>
      </c>
      <c r="I2194">
        <f t="shared" si="104"/>
        <v>0</v>
      </c>
      <c r="J2194">
        <f>IF(Table1[[#This Row],[Active_months]]&gt;=1, 1, 0)</f>
        <v>0</v>
      </c>
    </row>
    <row r="2195" spans="1:10" x14ac:dyDescent="0.3">
      <c r="A2195">
        <v>216924741</v>
      </c>
      <c r="B2195" s="1">
        <v>45083</v>
      </c>
      <c r="C2195" s="1">
        <v>45160</v>
      </c>
      <c r="D2195">
        <v>39</v>
      </c>
      <c r="E2195" t="s">
        <v>6</v>
      </c>
      <c r="F2195" t="s">
        <v>7</v>
      </c>
      <c r="G2195" s="1">
        <f t="shared" si="102"/>
        <v>45160</v>
      </c>
      <c r="H2195">
        <f t="shared" si="103"/>
        <v>2</v>
      </c>
      <c r="I2195">
        <f t="shared" si="104"/>
        <v>0</v>
      </c>
      <c r="J2195">
        <f>IF(Table1[[#This Row],[Active_months]]&gt;=1, 1, 0)</f>
        <v>1</v>
      </c>
    </row>
    <row r="2196" spans="1:10" x14ac:dyDescent="0.3">
      <c r="A2196">
        <v>194347007</v>
      </c>
      <c r="B2196" s="1">
        <v>45083</v>
      </c>
      <c r="C2196" s="1">
        <v>45120</v>
      </c>
      <c r="D2196">
        <v>39</v>
      </c>
      <c r="E2196" t="s">
        <v>6</v>
      </c>
      <c r="F2196" t="s">
        <v>7</v>
      </c>
      <c r="G2196" s="1">
        <f t="shared" si="102"/>
        <v>45120</v>
      </c>
      <c r="H2196">
        <f t="shared" si="103"/>
        <v>1</v>
      </c>
      <c r="I2196">
        <f t="shared" si="104"/>
        <v>0</v>
      </c>
      <c r="J2196">
        <f>IF(Table1[[#This Row],[Active_months]]&gt;=1, 1, 0)</f>
        <v>1</v>
      </c>
    </row>
    <row r="2197" spans="1:10" x14ac:dyDescent="0.3">
      <c r="A2197">
        <v>217067696</v>
      </c>
      <c r="B2197" s="1">
        <v>45084</v>
      </c>
      <c r="D2197">
        <v>39</v>
      </c>
      <c r="E2197" t="s">
        <v>6</v>
      </c>
      <c r="F2197" t="s">
        <v>7</v>
      </c>
      <c r="G2197" s="1">
        <f t="shared" si="102"/>
        <v>45199</v>
      </c>
      <c r="H2197">
        <f t="shared" si="103"/>
        <v>3</v>
      </c>
      <c r="I2197">
        <f t="shared" si="104"/>
        <v>0</v>
      </c>
      <c r="J2197">
        <f>IF(Table1[[#This Row],[Active_months]]&gt;=1, 1, 0)</f>
        <v>1</v>
      </c>
    </row>
    <row r="2198" spans="1:10" x14ac:dyDescent="0.3">
      <c r="A2198">
        <v>217012406</v>
      </c>
      <c r="B2198" s="1">
        <v>45084</v>
      </c>
      <c r="D2198">
        <v>39</v>
      </c>
      <c r="E2198" t="s">
        <v>6</v>
      </c>
      <c r="F2198" t="s">
        <v>7</v>
      </c>
      <c r="G2198" s="1">
        <f t="shared" si="102"/>
        <v>45199</v>
      </c>
      <c r="H2198">
        <f t="shared" si="103"/>
        <v>3</v>
      </c>
      <c r="I2198">
        <f t="shared" si="104"/>
        <v>0</v>
      </c>
      <c r="J2198">
        <f>IF(Table1[[#This Row],[Active_months]]&gt;=1, 1, 0)</f>
        <v>1</v>
      </c>
    </row>
    <row r="2199" spans="1:10" x14ac:dyDescent="0.3">
      <c r="A2199">
        <v>216345770</v>
      </c>
      <c r="B2199" s="1">
        <v>45084</v>
      </c>
      <c r="D2199">
        <v>39</v>
      </c>
      <c r="E2199" t="s">
        <v>6</v>
      </c>
      <c r="F2199" t="s">
        <v>7</v>
      </c>
      <c r="G2199" s="1">
        <f t="shared" si="102"/>
        <v>45199</v>
      </c>
      <c r="H2199">
        <f t="shared" si="103"/>
        <v>3</v>
      </c>
      <c r="I2199">
        <f t="shared" si="104"/>
        <v>0</v>
      </c>
      <c r="J2199">
        <f>IF(Table1[[#This Row],[Active_months]]&gt;=1, 1, 0)</f>
        <v>1</v>
      </c>
    </row>
    <row r="2200" spans="1:10" x14ac:dyDescent="0.3">
      <c r="A2200">
        <v>215654770</v>
      </c>
      <c r="B2200" s="1">
        <v>45084</v>
      </c>
      <c r="D2200">
        <v>39</v>
      </c>
      <c r="E2200" t="s">
        <v>6</v>
      </c>
      <c r="F2200" t="s">
        <v>7</v>
      </c>
      <c r="G2200" s="1">
        <f t="shared" si="102"/>
        <v>45199</v>
      </c>
      <c r="H2200">
        <f t="shared" si="103"/>
        <v>3</v>
      </c>
      <c r="I2200">
        <f t="shared" si="104"/>
        <v>0</v>
      </c>
      <c r="J2200">
        <f>IF(Table1[[#This Row],[Active_months]]&gt;=1, 1, 0)</f>
        <v>1</v>
      </c>
    </row>
    <row r="2201" spans="1:10" x14ac:dyDescent="0.3">
      <c r="A2201">
        <v>217044528</v>
      </c>
      <c r="B2201" s="1">
        <v>45084</v>
      </c>
      <c r="D2201">
        <v>39</v>
      </c>
      <c r="E2201" t="s">
        <v>6</v>
      </c>
      <c r="F2201" t="s">
        <v>7</v>
      </c>
      <c r="G2201" s="1">
        <f t="shared" si="102"/>
        <v>45199</v>
      </c>
      <c r="H2201">
        <f t="shared" si="103"/>
        <v>3</v>
      </c>
      <c r="I2201">
        <f t="shared" si="104"/>
        <v>0</v>
      </c>
      <c r="J2201">
        <f>IF(Table1[[#This Row],[Active_months]]&gt;=1, 1, 0)</f>
        <v>1</v>
      </c>
    </row>
    <row r="2202" spans="1:10" x14ac:dyDescent="0.3">
      <c r="A2202">
        <v>217031352</v>
      </c>
      <c r="B2202" s="1">
        <v>45084</v>
      </c>
      <c r="D2202">
        <v>39</v>
      </c>
      <c r="E2202" t="s">
        <v>6</v>
      </c>
      <c r="F2202" t="s">
        <v>7</v>
      </c>
      <c r="G2202" s="1">
        <f t="shared" si="102"/>
        <v>45199</v>
      </c>
      <c r="H2202">
        <f t="shared" si="103"/>
        <v>3</v>
      </c>
      <c r="I2202">
        <f t="shared" si="104"/>
        <v>0</v>
      </c>
      <c r="J2202">
        <f>IF(Table1[[#This Row],[Active_months]]&gt;=1, 1, 0)</f>
        <v>1</v>
      </c>
    </row>
    <row r="2203" spans="1:10" x14ac:dyDescent="0.3">
      <c r="A2203">
        <v>146450388</v>
      </c>
      <c r="B2203" s="1">
        <v>45084</v>
      </c>
      <c r="D2203">
        <v>39</v>
      </c>
      <c r="E2203" t="s">
        <v>6</v>
      </c>
      <c r="F2203" t="s">
        <v>7</v>
      </c>
      <c r="G2203" s="1">
        <f t="shared" si="102"/>
        <v>45199</v>
      </c>
      <c r="H2203">
        <f t="shared" si="103"/>
        <v>3</v>
      </c>
      <c r="I2203">
        <f t="shared" si="104"/>
        <v>0</v>
      </c>
      <c r="J2203">
        <f>IF(Table1[[#This Row],[Active_months]]&gt;=1, 1, 0)</f>
        <v>1</v>
      </c>
    </row>
    <row r="2204" spans="1:10" x14ac:dyDescent="0.3">
      <c r="A2204">
        <v>153374748</v>
      </c>
      <c r="B2204" s="1">
        <v>45084</v>
      </c>
      <c r="C2204" s="1">
        <v>45169</v>
      </c>
      <c r="D2204">
        <v>39</v>
      </c>
      <c r="E2204" t="s">
        <v>6</v>
      </c>
      <c r="F2204" t="s">
        <v>7</v>
      </c>
      <c r="G2204" s="1">
        <f t="shared" si="102"/>
        <v>45169</v>
      </c>
      <c r="H2204">
        <f t="shared" si="103"/>
        <v>2</v>
      </c>
      <c r="I2204">
        <f t="shared" si="104"/>
        <v>0</v>
      </c>
      <c r="J2204">
        <f>IF(Table1[[#This Row],[Active_months]]&gt;=1, 1, 0)</f>
        <v>1</v>
      </c>
    </row>
    <row r="2205" spans="1:10" x14ac:dyDescent="0.3">
      <c r="A2205">
        <v>217065874</v>
      </c>
      <c r="B2205" s="1">
        <v>45084</v>
      </c>
      <c r="C2205" s="1">
        <v>45106</v>
      </c>
      <c r="D2205">
        <v>39</v>
      </c>
      <c r="E2205" t="s">
        <v>6</v>
      </c>
      <c r="F2205" t="s">
        <v>7</v>
      </c>
      <c r="G2205" s="1">
        <f t="shared" si="102"/>
        <v>45106</v>
      </c>
      <c r="H2205">
        <f t="shared" si="103"/>
        <v>0</v>
      </c>
      <c r="I2205">
        <f t="shared" si="104"/>
        <v>0</v>
      </c>
      <c r="J2205">
        <f>IF(Table1[[#This Row],[Active_months]]&gt;=1, 1, 0)</f>
        <v>0</v>
      </c>
    </row>
    <row r="2206" spans="1:10" x14ac:dyDescent="0.3">
      <c r="A2206">
        <v>216622895</v>
      </c>
      <c r="B2206" s="1">
        <v>45084</v>
      </c>
      <c r="C2206" s="1">
        <v>45152</v>
      </c>
      <c r="D2206">
        <v>39</v>
      </c>
      <c r="E2206" t="s">
        <v>6</v>
      </c>
      <c r="F2206" t="s">
        <v>7</v>
      </c>
      <c r="G2206" s="1">
        <f t="shared" si="102"/>
        <v>45152</v>
      </c>
      <c r="H2206">
        <f t="shared" si="103"/>
        <v>2</v>
      </c>
      <c r="I2206">
        <f t="shared" si="104"/>
        <v>0</v>
      </c>
      <c r="J2206">
        <f>IF(Table1[[#This Row],[Active_months]]&gt;=1, 1, 0)</f>
        <v>1</v>
      </c>
    </row>
    <row r="2207" spans="1:10" x14ac:dyDescent="0.3">
      <c r="A2207">
        <v>216907852</v>
      </c>
      <c r="B2207" s="1">
        <v>45084</v>
      </c>
      <c r="C2207" s="1">
        <v>45116</v>
      </c>
      <c r="D2207">
        <v>39</v>
      </c>
      <c r="E2207" t="s">
        <v>6</v>
      </c>
      <c r="F2207" t="s">
        <v>7</v>
      </c>
      <c r="G2207" s="1">
        <f t="shared" si="102"/>
        <v>45116</v>
      </c>
      <c r="H2207">
        <f t="shared" si="103"/>
        <v>1</v>
      </c>
      <c r="I2207">
        <f t="shared" si="104"/>
        <v>0</v>
      </c>
      <c r="J2207">
        <f>IF(Table1[[#This Row],[Active_months]]&gt;=1, 1, 0)</f>
        <v>1</v>
      </c>
    </row>
    <row r="2208" spans="1:10" x14ac:dyDescent="0.3">
      <c r="A2208">
        <v>217054126</v>
      </c>
      <c r="B2208" s="1">
        <v>45085</v>
      </c>
      <c r="D2208">
        <v>39</v>
      </c>
      <c r="E2208" t="s">
        <v>6</v>
      </c>
      <c r="F2208" t="s">
        <v>7</v>
      </c>
      <c r="G2208" s="1">
        <f t="shared" si="102"/>
        <v>45199</v>
      </c>
      <c r="H2208">
        <f t="shared" si="103"/>
        <v>3</v>
      </c>
      <c r="I2208">
        <f t="shared" si="104"/>
        <v>0</v>
      </c>
      <c r="J2208">
        <f>IF(Table1[[#This Row],[Active_months]]&gt;=1, 1, 0)</f>
        <v>1</v>
      </c>
    </row>
    <row r="2209" spans="1:10" x14ac:dyDescent="0.3">
      <c r="A2209">
        <v>206001231</v>
      </c>
      <c r="B2209" s="1">
        <v>45085</v>
      </c>
      <c r="D2209">
        <v>39</v>
      </c>
      <c r="E2209" t="s">
        <v>6</v>
      </c>
      <c r="F2209" t="s">
        <v>7</v>
      </c>
      <c r="G2209" s="1">
        <f t="shared" si="102"/>
        <v>45199</v>
      </c>
      <c r="H2209">
        <f t="shared" si="103"/>
        <v>3</v>
      </c>
      <c r="I2209">
        <f t="shared" si="104"/>
        <v>0</v>
      </c>
      <c r="J2209">
        <f>IF(Table1[[#This Row],[Active_months]]&gt;=1, 1, 0)</f>
        <v>1</v>
      </c>
    </row>
    <row r="2210" spans="1:10" x14ac:dyDescent="0.3">
      <c r="A2210">
        <v>216925136</v>
      </c>
      <c r="B2210" s="1">
        <v>45085</v>
      </c>
      <c r="D2210">
        <v>39</v>
      </c>
      <c r="E2210" t="s">
        <v>6</v>
      </c>
      <c r="F2210" t="s">
        <v>7</v>
      </c>
      <c r="G2210" s="1">
        <f t="shared" si="102"/>
        <v>45199</v>
      </c>
      <c r="H2210">
        <f t="shared" si="103"/>
        <v>3</v>
      </c>
      <c r="I2210">
        <f t="shared" si="104"/>
        <v>0</v>
      </c>
      <c r="J2210">
        <f>IF(Table1[[#This Row],[Active_months]]&gt;=1, 1, 0)</f>
        <v>1</v>
      </c>
    </row>
    <row r="2211" spans="1:10" x14ac:dyDescent="0.3">
      <c r="A2211">
        <v>217094352</v>
      </c>
      <c r="B2211" s="1">
        <v>45085</v>
      </c>
      <c r="C2211" s="1">
        <v>45109</v>
      </c>
      <c r="D2211">
        <v>39</v>
      </c>
      <c r="E2211" t="s">
        <v>6</v>
      </c>
      <c r="F2211" t="s">
        <v>7</v>
      </c>
      <c r="G2211" s="1">
        <f t="shared" si="102"/>
        <v>45109</v>
      </c>
      <c r="H2211">
        <f t="shared" si="103"/>
        <v>1</v>
      </c>
      <c r="I2211">
        <f t="shared" si="104"/>
        <v>0</v>
      </c>
      <c r="J2211">
        <f>IF(Table1[[#This Row],[Active_months]]&gt;=1, 1, 0)</f>
        <v>1</v>
      </c>
    </row>
    <row r="2212" spans="1:10" x14ac:dyDescent="0.3">
      <c r="A2212">
        <v>206891818</v>
      </c>
      <c r="B2212" s="1">
        <v>45085</v>
      </c>
      <c r="C2212" s="1">
        <v>45105</v>
      </c>
      <c r="D2212">
        <v>39</v>
      </c>
      <c r="E2212" t="s">
        <v>6</v>
      </c>
      <c r="F2212" t="s">
        <v>7</v>
      </c>
      <c r="G2212" s="1">
        <f t="shared" si="102"/>
        <v>45105</v>
      </c>
      <c r="H2212">
        <f t="shared" si="103"/>
        <v>0</v>
      </c>
      <c r="I2212">
        <f t="shared" si="104"/>
        <v>0</v>
      </c>
      <c r="J2212">
        <f>IF(Table1[[#This Row],[Active_months]]&gt;=1, 1, 0)</f>
        <v>0</v>
      </c>
    </row>
    <row r="2213" spans="1:10" x14ac:dyDescent="0.3">
      <c r="A2213">
        <v>217084888</v>
      </c>
      <c r="B2213" s="1">
        <v>45085</v>
      </c>
      <c r="C2213" s="1">
        <v>45085</v>
      </c>
      <c r="D2213">
        <v>39</v>
      </c>
      <c r="E2213" t="s">
        <v>6</v>
      </c>
      <c r="F2213" t="s">
        <v>7</v>
      </c>
      <c r="G2213" s="1">
        <f t="shared" si="102"/>
        <v>45085</v>
      </c>
      <c r="H2213">
        <f t="shared" si="103"/>
        <v>0</v>
      </c>
      <c r="I2213">
        <f t="shared" si="104"/>
        <v>0</v>
      </c>
      <c r="J2213">
        <f>IF(Table1[[#This Row],[Active_months]]&gt;=1, 1, 0)</f>
        <v>0</v>
      </c>
    </row>
    <row r="2214" spans="1:10" x14ac:dyDescent="0.3">
      <c r="A2214">
        <v>216624401</v>
      </c>
      <c r="B2214" s="1">
        <v>45085</v>
      </c>
      <c r="C2214" s="1">
        <v>45105</v>
      </c>
      <c r="D2214">
        <v>39</v>
      </c>
      <c r="E2214" t="s">
        <v>6</v>
      </c>
      <c r="F2214" t="s">
        <v>7</v>
      </c>
      <c r="G2214" s="1">
        <f t="shared" si="102"/>
        <v>45105</v>
      </c>
      <c r="H2214">
        <f t="shared" si="103"/>
        <v>0</v>
      </c>
      <c r="I2214">
        <f t="shared" si="104"/>
        <v>0</v>
      </c>
      <c r="J2214">
        <f>IF(Table1[[#This Row],[Active_months]]&gt;=1, 1, 0)</f>
        <v>0</v>
      </c>
    </row>
    <row r="2215" spans="1:10" x14ac:dyDescent="0.3">
      <c r="A2215">
        <v>216795282</v>
      </c>
      <c r="B2215" s="1">
        <v>45085</v>
      </c>
      <c r="C2215" s="1">
        <v>45130</v>
      </c>
      <c r="D2215">
        <v>39</v>
      </c>
      <c r="E2215" t="s">
        <v>6</v>
      </c>
      <c r="F2215" t="s">
        <v>7</v>
      </c>
      <c r="G2215" s="1">
        <f t="shared" si="102"/>
        <v>45130</v>
      </c>
      <c r="H2215">
        <f t="shared" si="103"/>
        <v>1</v>
      </c>
      <c r="I2215">
        <f t="shared" si="104"/>
        <v>0</v>
      </c>
      <c r="J2215">
        <f>IF(Table1[[#This Row],[Active_months]]&gt;=1, 1, 0)</f>
        <v>1</v>
      </c>
    </row>
    <row r="2216" spans="1:10" x14ac:dyDescent="0.3">
      <c r="A2216">
        <v>174646924</v>
      </c>
      <c r="B2216" s="1">
        <v>45086</v>
      </c>
      <c r="D2216">
        <v>39</v>
      </c>
      <c r="E2216" t="s">
        <v>6</v>
      </c>
      <c r="F2216" t="s">
        <v>7</v>
      </c>
      <c r="G2216" s="1">
        <f t="shared" si="102"/>
        <v>45199</v>
      </c>
      <c r="H2216">
        <f t="shared" si="103"/>
        <v>3</v>
      </c>
      <c r="I2216">
        <f t="shared" si="104"/>
        <v>0</v>
      </c>
      <c r="J2216">
        <f>IF(Table1[[#This Row],[Active_months]]&gt;=1, 1, 0)</f>
        <v>1</v>
      </c>
    </row>
    <row r="2217" spans="1:10" x14ac:dyDescent="0.3">
      <c r="A2217">
        <v>217123644</v>
      </c>
      <c r="B2217" s="1">
        <v>45086</v>
      </c>
      <c r="D2217">
        <v>39</v>
      </c>
      <c r="E2217" t="s">
        <v>6</v>
      </c>
      <c r="F2217" t="s">
        <v>7</v>
      </c>
      <c r="G2217" s="1">
        <f t="shared" si="102"/>
        <v>45199</v>
      </c>
      <c r="H2217">
        <f t="shared" si="103"/>
        <v>3</v>
      </c>
      <c r="I2217">
        <f t="shared" si="104"/>
        <v>0</v>
      </c>
      <c r="J2217">
        <f>IF(Table1[[#This Row],[Active_months]]&gt;=1, 1, 0)</f>
        <v>1</v>
      </c>
    </row>
    <row r="2218" spans="1:10" x14ac:dyDescent="0.3">
      <c r="A2218">
        <v>217104490</v>
      </c>
      <c r="B2218" s="1">
        <v>45086</v>
      </c>
      <c r="D2218">
        <v>39</v>
      </c>
      <c r="E2218" t="s">
        <v>6</v>
      </c>
      <c r="F2218" t="s">
        <v>7</v>
      </c>
      <c r="G2218" s="1">
        <f t="shared" si="102"/>
        <v>45199</v>
      </c>
      <c r="H2218">
        <f t="shared" si="103"/>
        <v>3</v>
      </c>
      <c r="I2218">
        <f t="shared" si="104"/>
        <v>0</v>
      </c>
      <c r="J2218">
        <f>IF(Table1[[#This Row],[Active_months]]&gt;=1, 1, 0)</f>
        <v>1</v>
      </c>
    </row>
    <row r="2219" spans="1:10" x14ac:dyDescent="0.3">
      <c r="A2219">
        <v>153349708</v>
      </c>
      <c r="B2219" s="1">
        <v>45086</v>
      </c>
      <c r="D2219">
        <v>39</v>
      </c>
      <c r="E2219" t="s">
        <v>6</v>
      </c>
      <c r="F2219" t="s">
        <v>7</v>
      </c>
      <c r="G2219" s="1">
        <f t="shared" si="102"/>
        <v>45199</v>
      </c>
      <c r="H2219">
        <f t="shared" si="103"/>
        <v>3</v>
      </c>
      <c r="I2219">
        <f t="shared" si="104"/>
        <v>0</v>
      </c>
      <c r="J2219">
        <f>IF(Table1[[#This Row],[Active_months]]&gt;=1, 1, 0)</f>
        <v>1</v>
      </c>
    </row>
    <row r="2220" spans="1:10" x14ac:dyDescent="0.3">
      <c r="A2220">
        <v>153876204</v>
      </c>
      <c r="B2220" s="1">
        <v>45086</v>
      </c>
      <c r="C2220" s="1">
        <v>45087</v>
      </c>
      <c r="D2220">
        <v>39</v>
      </c>
      <c r="E2220" t="s">
        <v>6</v>
      </c>
      <c r="F2220" t="s">
        <v>7</v>
      </c>
      <c r="G2220" s="1">
        <f t="shared" si="102"/>
        <v>45087</v>
      </c>
      <c r="H2220">
        <f t="shared" si="103"/>
        <v>0</v>
      </c>
      <c r="I2220">
        <f t="shared" si="104"/>
        <v>0</v>
      </c>
      <c r="J2220">
        <f>IF(Table1[[#This Row],[Active_months]]&gt;=1, 1, 0)</f>
        <v>0</v>
      </c>
    </row>
    <row r="2221" spans="1:10" x14ac:dyDescent="0.3">
      <c r="A2221">
        <v>132442956</v>
      </c>
      <c r="B2221" s="1">
        <v>45086</v>
      </c>
      <c r="C2221" s="1">
        <v>45135</v>
      </c>
      <c r="D2221">
        <v>39</v>
      </c>
      <c r="E2221" t="s">
        <v>6</v>
      </c>
      <c r="F2221" t="s">
        <v>7</v>
      </c>
      <c r="G2221" s="1">
        <f t="shared" si="102"/>
        <v>45135</v>
      </c>
      <c r="H2221">
        <f t="shared" si="103"/>
        <v>1</v>
      </c>
      <c r="I2221">
        <f t="shared" si="104"/>
        <v>0</v>
      </c>
      <c r="J2221">
        <f>IF(Table1[[#This Row],[Active_months]]&gt;=1, 1, 0)</f>
        <v>1</v>
      </c>
    </row>
    <row r="2222" spans="1:10" x14ac:dyDescent="0.3">
      <c r="A2222">
        <v>130331160</v>
      </c>
      <c r="B2222" s="1">
        <v>45086</v>
      </c>
      <c r="C2222" s="1">
        <v>45109</v>
      </c>
      <c r="D2222">
        <v>39</v>
      </c>
      <c r="E2222" t="s">
        <v>6</v>
      </c>
      <c r="F2222" t="s">
        <v>7</v>
      </c>
      <c r="G2222" s="1">
        <f t="shared" si="102"/>
        <v>45109</v>
      </c>
      <c r="H2222">
        <f t="shared" si="103"/>
        <v>1</v>
      </c>
      <c r="I2222">
        <f t="shared" si="104"/>
        <v>0</v>
      </c>
      <c r="J2222">
        <f>IF(Table1[[#This Row],[Active_months]]&gt;=1, 1, 0)</f>
        <v>1</v>
      </c>
    </row>
    <row r="2223" spans="1:10" x14ac:dyDescent="0.3">
      <c r="A2223">
        <v>216225148</v>
      </c>
      <c r="B2223" s="1">
        <v>45086</v>
      </c>
      <c r="C2223" s="1">
        <v>45086</v>
      </c>
      <c r="D2223">
        <v>39</v>
      </c>
      <c r="E2223" t="s">
        <v>6</v>
      </c>
      <c r="F2223" t="s">
        <v>7</v>
      </c>
      <c r="G2223" s="1">
        <f t="shared" si="102"/>
        <v>45086</v>
      </c>
      <c r="H2223">
        <f t="shared" si="103"/>
        <v>0</v>
      </c>
      <c r="I2223">
        <f t="shared" si="104"/>
        <v>0</v>
      </c>
      <c r="J2223">
        <f>IF(Table1[[#This Row],[Active_months]]&gt;=1, 1, 0)</f>
        <v>0</v>
      </c>
    </row>
    <row r="2224" spans="1:10" x14ac:dyDescent="0.3">
      <c r="A2224">
        <v>161187748</v>
      </c>
      <c r="B2224" s="1">
        <v>45086</v>
      </c>
      <c r="C2224" s="1">
        <v>45131</v>
      </c>
      <c r="D2224">
        <v>39</v>
      </c>
      <c r="E2224" t="s">
        <v>6</v>
      </c>
      <c r="F2224" t="s">
        <v>7</v>
      </c>
      <c r="G2224" s="1">
        <f t="shared" si="102"/>
        <v>45131</v>
      </c>
      <c r="H2224">
        <f t="shared" si="103"/>
        <v>1</v>
      </c>
      <c r="I2224">
        <f t="shared" si="104"/>
        <v>0</v>
      </c>
      <c r="J2224">
        <f>IF(Table1[[#This Row],[Active_months]]&gt;=1, 1, 0)</f>
        <v>1</v>
      </c>
    </row>
    <row r="2225" spans="1:10" x14ac:dyDescent="0.3">
      <c r="A2225">
        <v>217137211</v>
      </c>
      <c r="B2225" s="1">
        <v>45086</v>
      </c>
      <c r="C2225" s="1">
        <v>45123</v>
      </c>
      <c r="D2225">
        <v>39</v>
      </c>
      <c r="E2225" t="s">
        <v>6</v>
      </c>
      <c r="F2225" t="s">
        <v>7</v>
      </c>
      <c r="G2225" s="1">
        <f t="shared" si="102"/>
        <v>45123</v>
      </c>
      <c r="H2225">
        <f t="shared" si="103"/>
        <v>1</v>
      </c>
      <c r="I2225">
        <f t="shared" si="104"/>
        <v>0</v>
      </c>
      <c r="J2225">
        <f>IF(Table1[[#This Row],[Active_months]]&gt;=1, 1, 0)</f>
        <v>1</v>
      </c>
    </row>
    <row r="2226" spans="1:10" x14ac:dyDescent="0.3">
      <c r="A2226">
        <v>180796559</v>
      </c>
      <c r="B2226" s="1">
        <v>45086</v>
      </c>
      <c r="C2226" s="1">
        <v>45123</v>
      </c>
      <c r="D2226">
        <v>39</v>
      </c>
      <c r="E2226" t="s">
        <v>6</v>
      </c>
      <c r="F2226" t="s">
        <v>7</v>
      </c>
      <c r="G2226" s="1">
        <f t="shared" si="102"/>
        <v>45123</v>
      </c>
      <c r="H2226">
        <f t="shared" si="103"/>
        <v>1</v>
      </c>
      <c r="I2226">
        <f t="shared" si="104"/>
        <v>0</v>
      </c>
      <c r="J2226">
        <f>IF(Table1[[#This Row],[Active_months]]&gt;=1, 1, 0)</f>
        <v>1</v>
      </c>
    </row>
    <row r="2227" spans="1:10" x14ac:dyDescent="0.3">
      <c r="A2227">
        <v>168200039</v>
      </c>
      <c r="B2227" s="1">
        <v>45087</v>
      </c>
      <c r="C2227" s="1">
        <v>45088</v>
      </c>
      <c r="D2227">
        <v>39</v>
      </c>
      <c r="E2227" t="s">
        <v>6</v>
      </c>
      <c r="F2227" t="s">
        <v>7</v>
      </c>
      <c r="G2227" s="1">
        <f t="shared" si="102"/>
        <v>45088</v>
      </c>
      <c r="H2227">
        <f t="shared" si="103"/>
        <v>0</v>
      </c>
      <c r="I2227">
        <f t="shared" si="104"/>
        <v>0</v>
      </c>
      <c r="J2227">
        <f>IF(Table1[[#This Row],[Active_months]]&gt;=1, 1, 0)</f>
        <v>0</v>
      </c>
    </row>
    <row r="2228" spans="1:10" x14ac:dyDescent="0.3">
      <c r="A2228">
        <v>217110396</v>
      </c>
      <c r="B2228" s="1">
        <v>45087</v>
      </c>
      <c r="C2228" s="1">
        <v>45101</v>
      </c>
      <c r="D2228">
        <v>39</v>
      </c>
      <c r="E2228" t="s">
        <v>6</v>
      </c>
      <c r="F2228" t="s">
        <v>7</v>
      </c>
      <c r="G2228" s="1">
        <f t="shared" si="102"/>
        <v>45101</v>
      </c>
      <c r="H2228">
        <f t="shared" si="103"/>
        <v>0</v>
      </c>
      <c r="I2228">
        <f t="shared" si="104"/>
        <v>0</v>
      </c>
      <c r="J2228">
        <f>IF(Table1[[#This Row],[Active_months]]&gt;=1, 1, 0)</f>
        <v>0</v>
      </c>
    </row>
    <row r="2229" spans="1:10" x14ac:dyDescent="0.3">
      <c r="A2229">
        <v>217159016</v>
      </c>
      <c r="B2229" s="1">
        <v>45087</v>
      </c>
      <c r="C2229" s="1">
        <v>45149</v>
      </c>
      <c r="D2229">
        <v>39</v>
      </c>
      <c r="E2229" t="s">
        <v>6</v>
      </c>
      <c r="F2229" t="s">
        <v>7</v>
      </c>
      <c r="G2229" s="1">
        <f t="shared" si="102"/>
        <v>45149</v>
      </c>
      <c r="H2229">
        <f t="shared" si="103"/>
        <v>2</v>
      </c>
      <c r="I2229">
        <f t="shared" si="104"/>
        <v>0</v>
      </c>
      <c r="J2229">
        <f>IF(Table1[[#This Row],[Active_months]]&gt;=1, 1, 0)</f>
        <v>1</v>
      </c>
    </row>
    <row r="2230" spans="1:10" x14ac:dyDescent="0.3">
      <c r="A2230">
        <v>217215106</v>
      </c>
      <c r="B2230" s="1">
        <v>45088</v>
      </c>
      <c r="D2230">
        <v>39</v>
      </c>
      <c r="E2230" t="s">
        <v>6</v>
      </c>
      <c r="F2230" t="s">
        <v>7</v>
      </c>
      <c r="G2230" s="1">
        <f t="shared" si="102"/>
        <v>45199</v>
      </c>
      <c r="H2230">
        <f t="shared" si="103"/>
        <v>3</v>
      </c>
      <c r="I2230">
        <f t="shared" si="104"/>
        <v>0</v>
      </c>
      <c r="J2230">
        <f>IF(Table1[[#This Row],[Active_months]]&gt;=1, 1, 0)</f>
        <v>1</v>
      </c>
    </row>
    <row r="2231" spans="1:10" x14ac:dyDescent="0.3">
      <c r="A2231">
        <v>129819604</v>
      </c>
      <c r="B2231" s="1">
        <v>45088</v>
      </c>
      <c r="C2231" s="1">
        <v>45125</v>
      </c>
      <c r="D2231">
        <v>39</v>
      </c>
      <c r="E2231" t="s">
        <v>6</v>
      </c>
      <c r="F2231" t="s">
        <v>7</v>
      </c>
      <c r="G2231" s="1">
        <f t="shared" si="102"/>
        <v>45125</v>
      </c>
      <c r="H2231">
        <f t="shared" si="103"/>
        <v>1</v>
      </c>
      <c r="I2231">
        <f t="shared" si="104"/>
        <v>0</v>
      </c>
      <c r="J2231">
        <f>IF(Table1[[#This Row],[Active_months]]&gt;=1, 1, 0)</f>
        <v>1</v>
      </c>
    </row>
    <row r="2232" spans="1:10" x14ac:dyDescent="0.3">
      <c r="A2232">
        <v>217208086</v>
      </c>
      <c r="B2232" s="1">
        <v>45088</v>
      </c>
      <c r="C2232" s="1">
        <v>45133</v>
      </c>
      <c r="D2232">
        <v>39</v>
      </c>
      <c r="E2232" t="s">
        <v>6</v>
      </c>
      <c r="F2232" t="s">
        <v>7</v>
      </c>
      <c r="G2232" s="1">
        <f t="shared" si="102"/>
        <v>45133</v>
      </c>
      <c r="H2232">
        <f t="shared" si="103"/>
        <v>1</v>
      </c>
      <c r="I2232">
        <f t="shared" si="104"/>
        <v>0</v>
      </c>
      <c r="J2232">
        <f>IF(Table1[[#This Row],[Active_months]]&gt;=1, 1, 0)</f>
        <v>1</v>
      </c>
    </row>
    <row r="2233" spans="1:10" x14ac:dyDescent="0.3">
      <c r="A2233">
        <v>215534470</v>
      </c>
      <c r="B2233" s="1">
        <v>45088</v>
      </c>
      <c r="C2233" s="1">
        <v>45125</v>
      </c>
      <c r="D2233">
        <v>39</v>
      </c>
      <c r="E2233" t="s">
        <v>6</v>
      </c>
      <c r="F2233" t="s">
        <v>7</v>
      </c>
      <c r="G2233" s="1">
        <f t="shared" si="102"/>
        <v>45125</v>
      </c>
      <c r="H2233">
        <f t="shared" si="103"/>
        <v>1</v>
      </c>
      <c r="I2233">
        <f t="shared" si="104"/>
        <v>0</v>
      </c>
      <c r="J2233">
        <f>IF(Table1[[#This Row],[Active_months]]&gt;=1, 1, 0)</f>
        <v>1</v>
      </c>
    </row>
    <row r="2234" spans="1:10" x14ac:dyDescent="0.3">
      <c r="A2234">
        <v>217277033</v>
      </c>
      <c r="B2234" s="1">
        <v>45089</v>
      </c>
      <c r="D2234">
        <v>39</v>
      </c>
      <c r="E2234" t="s">
        <v>6</v>
      </c>
      <c r="F2234" t="s">
        <v>7</v>
      </c>
      <c r="G2234" s="1">
        <f t="shared" si="102"/>
        <v>45199</v>
      </c>
      <c r="H2234">
        <f t="shared" si="103"/>
        <v>3</v>
      </c>
      <c r="I2234">
        <f t="shared" si="104"/>
        <v>0</v>
      </c>
      <c r="J2234">
        <f>IF(Table1[[#This Row],[Active_months]]&gt;=1, 1, 0)</f>
        <v>1</v>
      </c>
    </row>
    <row r="2235" spans="1:10" x14ac:dyDescent="0.3">
      <c r="A2235">
        <v>136199071</v>
      </c>
      <c r="B2235" s="1">
        <v>45089</v>
      </c>
      <c r="D2235">
        <v>39</v>
      </c>
      <c r="E2235" t="s">
        <v>6</v>
      </c>
      <c r="F2235" t="s">
        <v>7</v>
      </c>
      <c r="G2235" s="1">
        <f t="shared" si="102"/>
        <v>45199</v>
      </c>
      <c r="H2235">
        <f t="shared" si="103"/>
        <v>3</v>
      </c>
      <c r="I2235">
        <f t="shared" si="104"/>
        <v>0</v>
      </c>
      <c r="J2235">
        <f>IF(Table1[[#This Row],[Active_months]]&gt;=1, 1, 0)</f>
        <v>1</v>
      </c>
    </row>
    <row r="2236" spans="1:10" x14ac:dyDescent="0.3">
      <c r="A2236">
        <v>217102618</v>
      </c>
      <c r="B2236" s="1">
        <v>45089</v>
      </c>
      <c r="D2236">
        <v>39</v>
      </c>
      <c r="E2236" t="s">
        <v>6</v>
      </c>
      <c r="F2236" t="s">
        <v>7</v>
      </c>
      <c r="G2236" s="1">
        <f t="shared" si="102"/>
        <v>45199</v>
      </c>
      <c r="H2236">
        <f t="shared" si="103"/>
        <v>3</v>
      </c>
      <c r="I2236">
        <f t="shared" si="104"/>
        <v>0</v>
      </c>
      <c r="J2236">
        <f>IF(Table1[[#This Row],[Active_months]]&gt;=1, 1, 0)</f>
        <v>1</v>
      </c>
    </row>
    <row r="2237" spans="1:10" x14ac:dyDescent="0.3">
      <c r="A2237">
        <v>217252136</v>
      </c>
      <c r="B2237" s="1">
        <v>45089</v>
      </c>
      <c r="D2237">
        <v>39</v>
      </c>
      <c r="E2237" t="s">
        <v>6</v>
      </c>
      <c r="F2237" t="s">
        <v>7</v>
      </c>
      <c r="G2237" s="1">
        <f t="shared" si="102"/>
        <v>45199</v>
      </c>
      <c r="H2237">
        <f t="shared" si="103"/>
        <v>3</v>
      </c>
      <c r="I2237">
        <f t="shared" si="104"/>
        <v>0</v>
      </c>
      <c r="J2237">
        <f>IF(Table1[[#This Row],[Active_months]]&gt;=1, 1, 0)</f>
        <v>1</v>
      </c>
    </row>
    <row r="2238" spans="1:10" x14ac:dyDescent="0.3">
      <c r="A2238">
        <v>215856743</v>
      </c>
      <c r="B2238" s="1">
        <v>45089</v>
      </c>
      <c r="D2238">
        <v>39</v>
      </c>
      <c r="E2238" t="s">
        <v>6</v>
      </c>
      <c r="F2238" t="s">
        <v>7</v>
      </c>
      <c r="G2238" s="1">
        <f t="shared" si="102"/>
        <v>45199</v>
      </c>
      <c r="H2238">
        <f t="shared" si="103"/>
        <v>3</v>
      </c>
      <c r="I2238">
        <f t="shared" si="104"/>
        <v>0</v>
      </c>
      <c r="J2238">
        <f>IF(Table1[[#This Row],[Active_months]]&gt;=1, 1, 0)</f>
        <v>1</v>
      </c>
    </row>
    <row r="2239" spans="1:10" x14ac:dyDescent="0.3">
      <c r="A2239">
        <v>217260184</v>
      </c>
      <c r="B2239" s="1">
        <v>45089</v>
      </c>
      <c r="C2239" s="1">
        <v>45090</v>
      </c>
      <c r="D2239">
        <v>39</v>
      </c>
      <c r="E2239" t="s">
        <v>6</v>
      </c>
      <c r="F2239" t="s">
        <v>8</v>
      </c>
      <c r="G2239" s="1">
        <f t="shared" si="102"/>
        <v>45090</v>
      </c>
      <c r="H2239">
        <f t="shared" si="103"/>
        <v>0</v>
      </c>
      <c r="I2239">
        <f t="shared" si="104"/>
        <v>0</v>
      </c>
      <c r="J2239">
        <f>IF(Table1[[#This Row],[Active_months]]&gt;=1, 1, 0)</f>
        <v>0</v>
      </c>
    </row>
    <row r="2240" spans="1:10" x14ac:dyDescent="0.3">
      <c r="A2240">
        <v>140371292</v>
      </c>
      <c r="B2240" s="1">
        <v>45089</v>
      </c>
      <c r="C2240" s="1">
        <v>45117</v>
      </c>
      <c r="D2240">
        <v>39</v>
      </c>
      <c r="E2240" t="s">
        <v>6</v>
      </c>
      <c r="F2240" t="s">
        <v>7</v>
      </c>
      <c r="G2240" s="1">
        <f t="shared" si="102"/>
        <v>45117</v>
      </c>
      <c r="H2240">
        <f t="shared" si="103"/>
        <v>1</v>
      </c>
      <c r="I2240">
        <f t="shared" si="104"/>
        <v>0</v>
      </c>
      <c r="J2240">
        <f>IF(Table1[[#This Row],[Active_months]]&gt;=1, 1, 0)</f>
        <v>1</v>
      </c>
    </row>
    <row r="2241" spans="1:10" x14ac:dyDescent="0.3">
      <c r="A2241">
        <v>164903790</v>
      </c>
      <c r="B2241" s="1">
        <v>45089</v>
      </c>
      <c r="C2241" s="1">
        <v>45127</v>
      </c>
      <c r="D2241">
        <v>39</v>
      </c>
      <c r="E2241" t="s">
        <v>6</v>
      </c>
      <c r="F2241" t="s">
        <v>7</v>
      </c>
      <c r="G2241" s="1">
        <f t="shared" si="102"/>
        <v>45127</v>
      </c>
      <c r="H2241">
        <f t="shared" si="103"/>
        <v>1</v>
      </c>
      <c r="I2241">
        <f t="shared" si="104"/>
        <v>0</v>
      </c>
      <c r="J2241">
        <f>IF(Table1[[#This Row],[Active_months]]&gt;=1, 1, 0)</f>
        <v>1</v>
      </c>
    </row>
    <row r="2242" spans="1:10" x14ac:dyDescent="0.3">
      <c r="A2242">
        <v>217206158</v>
      </c>
      <c r="B2242" s="1">
        <v>45089</v>
      </c>
      <c r="C2242" s="1">
        <v>45149</v>
      </c>
      <c r="D2242">
        <v>39</v>
      </c>
      <c r="E2242" t="s">
        <v>6</v>
      </c>
      <c r="F2242" t="s">
        <v>7</v>
      </c>
      <c r="G2242" s="1">
        <f t="shared" si="102"/>
        <v>45149</v>
      </c>
      <c r="H2242">
        <f t="shared" si="103"/>
        <v>2</v>
      </c>
      <c r="I2242">
        <f t="shared" si="104"/>
        <v>0</v>
      </c>
      <c r="J2242">
        <f>IF(Table1[[#This Row],[Active_months]]&gt;=1, 1, 0)</f>
        <v>1</v>
      </c>
    </row>
    <row r="2243" spans="1:10" x14ac:dyDescent="0.3">
      <c r="A2243">
        <v>215180470</v>
      </c>
      <c r="B2243" s="1">
        <v>45089</v>
      </c>
      <c r="C2243" s="1">
        <v>45144</v>
      </c>
      <c r="D2243">
        <v>39</v>
      </c>
      <c r="E2243" t="s">
        <v>6</v>
      </c>
      <c r="F2243" t="s">
        <v>7</v>
      </c>
      <c r="G2243" s="1">
        <f t="shared" ref="G2243:G2306" si="105">IF(ISBLANK(C2243), DATE(2023,9,30), C2243)</f>
        <v>45144</v>
      </c>
      <c r="H2243">
        <f t="shared" ref="H2243:H2306" si="106">(YEAR(G2243)-YEAR(B2243))*12 + (MONTH(G2243)-MONTH(B2243))</f>
        <v>2</v>
      </c>
      <c r="I2243">
        <f t="shared" ref="I2243:I2306" si="107">IF(H2243 &gt;=5, 1, 0)</f>
        <v>0</v>
      </c>
      <c r="J2243">
        <f>IF(Table1[[#This Row],[Active_months]]&gt;=1, 1, 0)</f>
        <v>1</v>
      </c>
    </row>
    <row r="2244" spans="1:10" x14ac:dyDescent="0.3">
      <c r="A2244">
        <v>217246611</v>
      </c>
      <c r="B2244" s="1">
        <v>45089</v>
      </c>
      <c r="C2244" s="1">
        <v>45113</v>
      </c>
      <c r="D2244">
        <v>39</v>
      </c>
      <c r="E2244" t="s">
        <v>6</v>
      </c>
      <c r="F2244" t="s">
        <v>7</v>
      </c>
      <c r="G2244" s="1">
        <f t="shared" si="105"/>
        <v>45113</v>
      </c>
      <c r="H2244">
        <f t="shared" si="106"/>
        <v>1</v>
      </c>
      <c r="I2244">
        <f t="shared" si="107"/>
        <v>0</v>
      </c>
      <c r="J2244">
        <f>IF(Table1[[#This Row],[Active_months]]&gt;=1, 1, 0)</f>
        <v>1</v>
      </c>
    </row>
    <row r="2245" spans="1:10" x14ac:dyDescent="0.3">
      <c r="A2245">
        <v>217080066</v>
      </c>
      <c r="B2245" s="1">
        <v>45089</v>
      </c>
      <c r="C2245" s="1">
        <v>45119</v>
      </c>
      <c r="D2245">
        <v>39</v>
      </c>
      <c r="E2245" t="s">
        <v>6</v>
      </c>
      <c r="F2245" t="s">
        <v>7</v>
      </c>
      <c r="G2245" s="1">
        <f t="shared" si="105"/>
        <v>45119</v>
      </c>
      <c r="H2245">
        <f t="shared" si="106"/>
        <v>1</v>
      </c>
      <c r="I2245">
        <f t="shared" si="107"/>
        <v>0</v>
      </c>
      <c r="J2245">
        <f>IF(Table1[[#This Row],[Active_months]]&gt;=1, 1, 0)</f>
        <v>1</v>
      </c>
    </row>
    <row r="2246" spans="1:10" x14ac:dyDescent="0.3">
      <c r="A2246">
        <v>214510838</v>
      </c>
      <c r="B2246" s="1">
        <v>45090</v>
      </c>
      <c r="D2246">
        <v>39</v>
      </c>
      <c r="E2246" t="s">
        <v>6</v>
      </c>
      <c r="F2246" t="s">
        <v>7</v>
      </c>
      <c r="G2246" s="1">
        <f t="shared" si="105"/>
        <v>45199</v>
      </c>
      <c r="H2246">
        <f t="shared" si="106"/>
        <v>3</v>
      </c>
      <c r="I2246">
        <f t="shared" si="107"/>
        <v>0</v>
      </c>
      <c r="J2246">
        <f>IF(Table1[[#This Row],[Active_months]]&gt;=1, 1, 0)</f>
        <v>1</v>
      </c>
    </row>
    <row r="2247" spans="1:10" x14ac:dyDescent="0.3">
      <c r="A2247">
        <v>217241338</v>
      </c>
      <c r="B2247" s="1">
        <v>45090</v>
      </c>
      <c r="D2247">
        <v>39</v>
      </c>
      <c r="E2247" t="s">
        <v>6</v>
      </c>
      <c r="F2247" t="s">
        <v>7</v>
      </c>
      <c r="G2247" s="1">
        <f t="shared" si="105"/>
        <v>45199</v>
      </c>
      <c r="H2247">
        <f t="shared" si="106"/>
        <v>3</v>
      </c>
      <c r="I2247">
        <f t="shared" si="107"/>
        <v>0</v>
      </c>
      <c r="J2247">
        <f>IF(Table1[[#This Row],[Active_months]]&gt;=1, 1, 0)</f>
        <v>1</v>
      </c>
    </row>
    <row r="2248" spans="1:10" x14ac:dyDescent="0.3">
      <c r="A2248">
        <v>215447681</v>
      </c>
      <c r="B2248" s="1">
        <v>45090</v>
      </c>
      <c r="D2248">
        <v>39</v>
      </c>
      <c r="E2248" t="s">
        <v>6</v>
      </c>
      <c r="F2248" t="s">
        <v>7</v>
      </c>
      <c r="G2248" s="1">
        <f t="shared" si="105"/>
        <v>45199</v>
      </c>
      <c r="H2248">
        <f t="shared" si="106"/>
        <v>3</v>
      </c>
      <c r="I2248">
        <f t="shared" si="107"/>
        <v>0</v>
      </c>
      <c r="J2248">
        <f>IF(Table1[[#This Row],[Active_months]]&gt;=1, 1, 0)</f>
        <v>1</v>
      </c>
    </row>
    <row r="2249" spans="1:10" x14ac:dyDescent="0.3">
      <c r="A2249">
        <v>214746385</v>
      </c>
      <c r="B2249" s="1">
        <v>45090</v>
      </c>
      <c r="D2249">
        <v>39</v>
      </c>
      <c r="E2249" t="s">
        <v>6</v>
      </c>
      <c r="F2249" t="s">
        <v>7</v>
      </c>
      <c r="G2249" s="1">
        <f t="shared" si="105"/>
        <v>45199</v>
      </c>
      <c r="H2249">
        <f t="shared" si="106"/>
        <v>3</v>
      </c>
      <c r="I2249">
        <f t="shared" si="107"/>
        <v>0</v>
      </c>
      <c r="J2249">
        <f>IF(Table1[[#This Row],[Active_months]]&gt;=1, 1, 0)</f>
        <v>1</v>
      </c>
    </row>
    <row r="2250" spans="1:10" x14ac:dyDescent="0.3">
      <c r="A2250">
        <v>217279595</v>
      </c>
      <c r="B2250" s="1">
        <v>45090</v>
      </c>
      <c r="D2250">
        <v>39</v>
      </c>
      <c r="E2250" t="s">
        <v>6</v>
      </c>
      <c r="F2250" t="s">
        <v>7</v>
      </c>
      <c r="G2250" s="1">
        <f t="shared" si="105"/>
        <v>45199</v>
      </c>
      <c r="H2250">
        <f t="shared" si="106"/>
        <v>3</v>
      </c>
      <c r="I2250">
        <f t="shared" si="107"/>
        <v>0</v>
      </c>
      <c r="J2250">
        <f>IF(Table1[[#This Row],[Active_months]]&gt;=1, 1, 0)</f>
        <v>1</v>
      </c>
    </row>
    <row r="2251" spans="1:10" x14ac:dyDescent="0.3">
      <c r="A2251">
        <v>138725699</v>
      </c>
      <c r="B2251" s="1">
        <v>45090</v>
      </c>
      <c r="C2251" s="1">
        <v>45091</v>
      </c>
      <c r="D2251">
        <v>39</v>
      </c>
      <c r="E2251" t="s">
        <v>6</v>
      </c>
      <c r="F2251" t="s">
        <v>7</v>
      </c>
      <c r="G2251" s="1">
        <f t="shared" si="105"/>
        <v>45091</v>
      </c>
      <c r="H2251">
        <f t="shared" si="106"/>
        <v>0</v>
      </c>
      <c r="I2251">
        <f t="shared" si="107"/>
        <v>0</v>
      </c>
      <c r="J2251">
        <f>IF(Table1[[#This Row],[Active_months]]&gt;=1, 1, 0)</f>
        <v>0</v>
      </c>
    </row>
    <row r="2252" spans="1:10" x14ac:dyDescent="0.3">
      <c r="A2252">
        <v>199464176</v>
      </c>
      <c r="B2252" s="1">
        <v>45090</v>
      </c>
      <c r="C2252" s="1">
        <v>45138</v>
      </c>
      <c r="D2252">
        <v>39</v>
      </c>
      <c r="E2252" t="s">
        <v>6</v>
      </c>
      <c r="F2252" t="s">
        <v>7</v>
      </c>
      <c r="G2252" s="1">
        <f t="shared" si="105"/>
        <v>45138</v>
      </c>
      <c r="H2252">
        <f t="shared" si="106"/>
        <v>1</v>
      </c>
      <c r="I2252">
        <f t="shared" si="107"/>
        <v>0</v>
      </c>
      <c r="J2252">
        <f>IF(Table1[[#This Row],[Active_months]]&gt;=1, 1, 0)</f>
        <v>1</v>
      </c>
    </row>
    <row r="2253" spans="1:10" x14ac:dyDescent="0.3">
      <c r="A2253">
        <v>217269788</v>
      </c>
      <c r="B2253" s="1">
        <v>45090</v>
      </c>
      <c r="C2253" s="1">
        <v>45128</v>
      </c>
      <c r="D2253">
        <v>39</v>
      </c>
      <c r="E2253" t="s">
        <v>6</v>
      </c>
      <c r="F2253" t="s">
        <v>7</v>
      </c>
      <c r="G2253" s="1">
        <f t="shared" si="105"/>
        <v>45128</v>
      </c>
      <c r="H2253">
        <f t="shared" si="106"/>
        <v>1</v>
      </c>
      <c r="I2253">
        <f t="shared" si="107"/>
        <v>0</v>
      </c>
      <c r="J2253">
        <f>IF(Table1[[#This Row],[Active_months]]&gt;=1, 1, 0)</f>
        <v>1</v>
      </c>
    </row>
    <row r="2254" spans="1:10" x14ac:dyDescent="0.3">
      <c r="A2254">
        <v>217210206</v>
      </c>
      <c r="B2254" s="1">
        <v>45090</v>
      </c>
      <c r="C2254" s="1">
        <v>45112</v>
      </c>
      <c r="D2254">
        <v>39</v>
      </c>
      <c r="E2254" t="s">
        <v>6</v>
      </c>
      <c r="F2254" t="s">
        <v>7</v>
      </c>
      <c r="G2254" s="1">
        <f t="shared" si="105"/>
        <v>45112</v>
      </c>
      <c r="H2254">
        <f t="shared" si="106"/>
        <v>1</v>
      </c>
      <c r="I2254">
        <f t="shared" si="107"/>
        <v>0</v>
      </c>
      <c r="J2254">
        <f>IF(Table1[[#This Row],[Active_months]]&gt;=1, 1, 0)</f>
        <v>1</v>
      </c>
    </row>
    <row r="2255" spans="1:10" x14ac:dyDescent="0.3">
      <c r="A2255">
        <v>217276264</v>
      </c>
      <c r="B2255" s="1">
        <v>45091</v>
      </c>
      <c r="D2255">
        <v>39</v>
      </c>
      <c r="E2255" t="s">
        <v>6</v>
      </c>
      <c r="F2255" t="s">
        <v>7</v>
      </c>
      <c r="G2255" s="1">
        <f t="shared" si="105"/>
        <v>45199</v>
      </c>
      <c r="H2255">
        <f t="shared" si="106"/>
        <v>3</v>
      </c>
      <c r="I2255">
        <f t="shared" si="107"/>
        <v>0</v>
      </c>
      <c r="J2255">
        <f>IF(Table1[[#This Row],[Active_months]]&gt;=1, 1, 0)</f>
        <v>1</v>
      </c>
    </row>
    <row r="2256" spans="1:10" x14ac:dyDescent="0.3">
      <c r="A2256">
        <v>217242854</v>
      </c>
      <c r="B2256" s="1">
        <v>45091</v>
      </c>
      <c r="D2256">
        <v>39</v>
      </c>
      <c r="E2256" t="s">
        <v>6</v>
      </c>
      <c r="F2256" t="s">
        <v>7</v>
      </c>
      <c r="G2256" s="1">
        <f t="shared" si="105"/>
        <v>45199</v>
      </c>
      <c r="H2256">
        <f t="shared" si="106"/>
        <v>3</v>
      </c>
      <c r="I2256">
        <f t="shared" si="107"/>
        <v>0</v>
      </c>
      <c r="J2256">
        <f>IF(Table1[[#This Row],[Active_months]]&gt;=1, 1, 0)</f>
        <v>1</v>
      </c>
    </row>
    <row r="2257" spans="1:10" x14ac:dyDescent="0.3">
      <c r="A2257">
        <v>140062581</v>
      </c>
      <c r="B2257" s="1">
        <v>45091</v>
      </c>
      <c r="C2257" s="1">
        <v>45092</v>
      </c>
      <c r="D2257">
        <v>39</v>
      </c>
      <c r="E2257" t="s">
        <v>6</v>
      </c>
      <c r="F2257" t="s">
        <v>7</v>
      </c>
      <c r="G2257" s="1">
        <f t="shared" si="105"/>
        <v>45092</v>
      </c>
      <c r="H2257">
        <f t="shared" si="106"/>
        <v>0</v>
      </c>
      <c r="I2257">
        <f t="shared" si="107"/>
        <v>0</v>
      </c>
      <c r="J2257">
        <f>IF(Table1[[#This Row],[Active_months]]&gt;=1, 1, 0)</f>
        <v>0</v>
      </c>
    </row>
    <row r="2258" spans="1:10" x14ac:dyDescent="0.3">
      <c r="A2258">
        <v>217340338</v>
      </c>
      <c r="B2258" s="1">
        <v>45091</v>
      </c>
      <c r="C2258" s="1">
        <v>45091</v>
      </c>
      <c r="D2258">
        <v>39</v>
      </c>
      <c r="E2258" t="s">
        <v>6</v>
      </c>
      <c r="F2258" t="s">
        <v>8</v>
      </c>
      <c r="G2258" s="1">
        <f t="shared" si="105"/>
        <v>45091</v>
      </c>
      <c r="H2258">
        <f t="shared" si="106"/>
        <v>0</v>
      </c>
      <c r="I2258">
        <f t="shared" si="107"/>
        <v>0</v>
      </c>
      <c r="J2258">
        <f>IF(Table1[[#This Row],[Active_months]]&gt;=1, 1, 0)</f>
        <v>0</v>
      </c>
    </row>
    <row r="2259" spans="1:10" x14ac:dyDescent="0.3">
      <c r="A2259">
        <v>157435806</v>
      </c>
      <c r="B2259" s="1">
        <v>45091</v>
      </c>
      <c r="C2259" s="1">
        <v>45121</v>
      </c>
      <c r="D2259">
        <v>39</v>
      </c>
      <c r="E2259" t="s">
        <v>6</v>
      </c>
      <c r="F2259" t="s">
        <v>7</v>
      </c>
      <c r="G2259" s="1">
        <f t="shared" si="105"/>
        <v>45121</v>
      </c>
      <c r="H2259">
        <f t="shared" si="106"/>
        <v>1</v>
      </c>
      <c r="I2259">
        <f t="shared" si="107"/>
        <v>0</v>
      </c>
      <c r="J2259">
        <f>IF(Table1[[#This Row],[Active_months]]&gt;=1, 1, 0)</f>
        <v>1</v>
      </c>
    </row>
    <row r="2260" spans="1:10" x14ac:dyDescent="0.3">
      <c r="A2260">
        <v>217358299</v>
      </c>
      <c r="B2260" s="1">
        <v>45091</v>
      </c>
      <c r="C2260" s="1">
        <v>45149</v>
      </c>
      <c r="D2260">
        <v>39</v>
      </c>
      <c r="E2260" t="s">
        <v>6</v>
      </c>
      <c r="F2260" t="s">
        <v>7</v>
      </c>
      <c r="G2260" s="1">
        <f t="shared" si="105"/>
        <v>45149</v>
      </c>
      <c r="H2260">
        <f t="shared" si="106"/>
        <v>2</v>
      </c>
      <c r="I2260">
        <f t="shared" si="107"/>
        <v>0</v>
      </c>
      <c r="J2260">
        <f>IF(Table1[[#This Row],[Active_months]]&gt;=1, 1, 0)</f>
        <v>1</v>
      </c>
    </row>
    <row r="2261" spans="1:10" x14ac:dyDescent="0.3">
      <c r="A2261">
        <v>217330046</v>
      </c>
      <c r="B2261" s="1">
        <v>45091</v>
      </c>
      <c r="C2261" s="1">
        <v>45108</v>
      </c>
      <c r="D2261">
        <v>39</v>
      </c>
      <c r="E2261" t="s">
        <v>6</v>
      </c>
      <c r="F2261" t="s">
        <v>7</v>
      </c>
      <c r="G2261" s="1">
        <f t="shared" si="105"/>
        <v>45108</v>
      </c>
      <c r="H2261">
        <f t="shared" si="106"/>
        <v>1</v>
      </c>
      <c r="I2261">
        <f t="shared" si="107"/>
        <v>0</v>
      </c>
      <c r="J2261">
        <f>IF(Table1[[#This Row],[Active_months]]&gt;=1, 1, 0)</f>
        <v>1</v>
      </c>
    </row>
    <row r="2262" spans="1:10" x14ac:dyDescent="0.3">
      <c r="A2262">
        <v>216945894</v>
      </c>
      <c r="B2262" s="1">
        <v>45092</v>
      </c>
      <c r="D2262">
        <v>39</v>
      </c>
      <c r="E2262" t="s">
        <v>6</v>
      </c>
      <c r="F2262" t="s">
        <v>7</v>
      </c>
      <c r="G2262" s="1">
        <f t="shared" si="105"/>
        <v>45199</v>
      </c>
      <c r="H2262">
        <f t="shared" si="106"/>
        <v>3</v>
      </c>
      <c r="I2262">
        <f t="shared" si="107"/>
        <v>0</v>
      </c>
      <c r="J2262">
        <f>IF(Table1[[#This Row],[Active_months]]&gt;=1, 1, 0)</f>
        <v>1</v>
      </c>
    </row>
    <row r="2263" spans="1:10" x14ac:dyDescent="0.3">
      <c r="A2263">
        <v>150178354</v>
      </c>
      <c r="B2263" s="1">
        <v>45092</v>
      </c>
      <c r="D2263">
        <v>39</v>
      </c>
      <c r="E2263" t="s">
        <v>6</v>
      </c>
      <c r="F2263" t="s">
        <v>7</v>
      </c>
      <c r="G2263" s="1">
        <f t="shared" si="105"/>
        <v>45199</v>
      </c>
      <c r="H2263">
        <f t="shared" si="106"/>
        <v>3</v>
      </c>
      <c r="I2263">
        <f t="shared" si="107"/>
        <v>0</v>
      </c>
      <c r="J2263">
        <f>IF(Table1[[#This Row],[Active_months]]&gt;=1, 1, 0)</f>
        <v>1</v>
      </c>
    </row>
    <row r="2264" spans="1:10" x14ac:dyDescent="0.3">
      <c r="A2264">
        <v>153942818</v>
      </c>
      <c r="B2264" s="1">
        <v>45092</v>
      </c>
      <c r="D2264">
        <v>39</v>
      </c>
      <c r="E2264" t="s">
        <v>6</v>
      </c>
      <c r="F2264" t="s">
        <v>7</v>
      </c>
      <c r="G2264" s="1">
        <f t="shared" si="105"/>
        <v>45199</v>
      </c>
      <c r="H2264">
        <f t="shared" si="106"/>
        <v>3</v>
      </c>
      <c r="I2264">
        <f t="shared" si="107"/>
        <v>0</v>
      </c>
      <c r="J2264">
        <f>IF(Table1[[#This Row],[Active_months]]&gt;=1, 1, 0)</f>
        <v>1</v>
      </c>
    </row>
    <row r="2265" spans="1:10" x14ac:dyDescent="0.3">
      <c r="A2265">
        <v>150728848</v>
      </c>
      <c r="B2265" s="1">
        <v>45092</v>
      </c>
      <c r="D2265">
        <v>39</v>
      </c>
      <c r="E2265" t="s">
        <v>6</v>
      </c>
      <c r="F2265" t="s">
        <v>7</v>
      </c>
      <c r="G2265" s="1">
        <f t="shared" si="105"/>
        <v>45199</v>
      </c>
      <c r="H2265">
        <f t="shared" si="106"/>
        <v>3</v>
      </c>
      <c r="I2265">
        <f t="shared" si="107"/>
        <v>0</v>
      </c>
      <c r="J2265">
        <f>IF(Table1[[#This Row],[Active_months]]&gt;=1, 1, 0)</f>
        <v>1</v>
      </c>
    </row>
    <row r="2266" spans="1:10" x14ac:dyDescent="0.3">
      <c r="A2266">
        <v>138725699</v>
      </c>
      <c r="B2266" s="1">
        <v>45092</v>
      </c>
      <c r="D2266">
        <v>39</v>
      </c>
      <c r="E2266" t="s">
        <v>6</v>
      </c>
      <c r="F2266" t="s">
        <v>7</v>
      </c>
      <c r="G2266" s="1">
        <f t="shared" si="105"/>
        <v>45199</v>
      </c>
      <c r="H2266">
        <f t="shared" si="106"/>
        <v>3</v>
      </c>
      <c r="I2266">
        <f t="shared" si="107"/>
        <v>0</v>
      </c>
      <c r="J2266">
        <f>IF(Table1[[#This Row],[Active_months]]&gt;=1, 1, 0)</f>
        <v>1</v>
      </c>
    </row>
    <row r="2267" spans="1:10" x14ac:dyDescent="0.3">
      <c r="A2267">
        <v>217207926</v>
      </c>
      <c r="B2267" s="1">
        <v>45092</v>
      </c>
      <c r="D2267">
        <v>39</v>
      </c>
      <c r="E2267" t="s">
        <v>6</v>
      </c>
      <c r="F2267" t="s">
        <v>7</v>
      </c>
      <c r="G2267" s="1">
        <f t="shared" si="105"/>
        <v>45199</v>
      </c>
      <c r="H2267">
        <f t="shared" si="106"/>
        <v>3</v>
      </c>
      <c r="I2267">
        <f t="shared" si="107"/>
        <v>0</v>
      </c>
      <c r="J2267">
        <f>IF(Table1[[#This Row],[Active_months]]&gt;=1, 1, 0)</f>
        <v>1</v>
      </c>
    </row>
    <row r="2268" spans="1:10" x14ac:dyDescent="0.3">
      <c r="A2268">
        <v>217370233</v>
      </c>
      <c r="B2268" s="1">
        <v>45092</v>
      </c>
      <c r="D2268">
        <v>39</v>
      </c>
      <c r="E2268" t="s">
        <v>6</v>
      </c>
      <c r="F2268" t="s">
        <v>7</v>
      </c>
      <c r="G2268" s="1">
        <f t="shared" si="105"/>
        <v>45199</v>
      </c>
      <c r="H2268">
        <f t="shared" si="106"/>
        <v>3</v>
      </c>
      <c r="I2268">
        <f t="shared" si="107"/>
        <v>0</v>
      </c>
      <c r="J2268">
        <f>IF(Table1[[#This Row],[Active_months]]&gt;=1, 1, 0)</f>
        <v>1</v>
      </c>
    </row>
    <row r="2269" spans="1:10" x14ac:dyDescent="0.3">
      <c r="A2269">
        <v>205464540</v>
      </c>
      <c r="B2269" s="1">
        <v>45092</v>
      </c>
      <c r="C2269" s="1">
        <v>45129</v>
      </c>
      <c r="D2269">
        <v>39</v>
      </c>
      <c r="E2269" t="s">
        <v>6</v>
      </c>
      <c r="F2269" t="s">
        <v>7</v>
      </c>
      <c r="G2269" s="1">
        <f t="shared" si="105"/>
        <v>45129</v>
      </c>
      <c r="H2269">
        <f t="shared" si="106"/>
        <v>1</v>
      </c>
      <c r="I2269">
        <f t="shared" si="107"/>
        <v>0</v>
      </c>
      <c r="J2269">
        <f>IF(Table1[[#This Row],[Active_months]]&gt;=1, 1, 0)</f>
        <v>1</v>
      </c>
    </row>
    <row r="2270" spans="1:10" x14ac:dyDescent="0.3">
      <c r="A2270">
        <v>167403892</v>
      </c>
      <c r="B2270" s="1">
        <v>45092</v>
      </c>
      <c r="C2270" s="1">
        <v>45160</v>
      </c>
      <c r="D2270">
        <v>39</v>
      </c>
      <c r="E2270" t="s">
        <v>6</v>
      </c>
      <c r="F2270" t="s">
        <v>7</v>
      </c>
      <c r="G2270" s="1">
        <f t="shared" si="105"/>
        <v>45160</v>
      </c>
      <c r="H2270">
        <f t="shared" si="106"/>
        <v>2</v>
      </c>
      <c r="I2270">
        <f t="shared" si="107"/>
        <v>0</v>
      </c>
      <c r="J2270">
        <f>IF(Table1[[#This Row],[Active_months]]&gt;=1, 1, 0)</f>
        <v>1</v>
      </c>
    </row>
    <row r="2271" spans="1:10" x14ac:dyDescent="0.3">
      <c r="A2271">
        <v>217326821</v>
      </c>
      <c r="B2271" s="1">
        <v>45092</v>
      </c>
      <c r="C2271" s="1">
        <v>45160</v>
      </c>
      <c r="D2271">
        <v>39</v>
      </c>
      <c r="E2271" t="s">
        <v>6</v>
      </c>
      <c r="F2271" t="s">
        <v>7</v>
      </c>
      <c r="G2271" s="1">
        <f t="shared" si="105"/>
        <v>45160</v>
      </c>
      <c r="H2271">
        <f t="shared" si="106"/>
        <v>2</v>
      </c>
      <c r="I2271">
        <f t="shared" si="107"/>
        <v>0</v>
      </c>
      <c r="J2271">
        <f>IF(Table1[[#This Row],[Active_months]]&gt;=1, 1, 0)</f>
        <v>1</v>
      </c>
    </row>
    <row r="2272" spans="1:10" x14ac:dyDescent="0.3">
      <c r="A2272">
        <v>214918906</v>
      </c>
      <c r="B2272" s="1">
        <v>45092</v>
      </c>
      <c r="C2272" s="1">
        <v>45129</v>
      </c>
      <c r="D2272">
        <v>39</v>
      </c>
      <c r="E2272" t="s">
        <v>6</v>
      </c>
      <c r="F2272" t="s">
        <v>7</v>
      </c>
      <c r="G2272" s="1">
        <f t="shared" si="105"/>
        <v>45129</v>
      </c>
      <c r="H2272">
        <f t="shared" si="106"/>
        <v>1</v>
      </c>
      <c r="I2272">
        <f t="shared" si="107"/>
        <v>0</v>
      </c>
      <c r="J2272">
        <f>IF(Table1[[#This Row],[Active_months]]&gt;=1, 1, 0)</f>
        <v>1</v>
      </c>
    </row>
    <row r="2273" spans="1:10" x14ac:dyDescent="0.3">
      <c r="A2273">
        <v>216983668</v>
      </c>
      <c r="B2273" s="1">
        <v>45092</v>
      </c>
      <c r="C2273" s="1">
        <v>45122</v>
      </c>
      <c r="D2273">
        <v>39</v>
      </c>
      <c r="E2273" t="s">
        <v>6</v>
      </c>
      <c r="F2273" t="s">
        <v>7</v>
      </c>
      <c r="G2273" s="1">
        <f t="shared" si="105"/>
        <v>45122</v>
      </c>
      <c r="H2273">
        <f t="shared" si="106"/>
        <v>1</v>
      </c>
      <c r="I2273">
        <f t="shared" si="107"/>
        <v>0</v>
      </c>
      <c r="J2273">
        <f>IF(Table1[[#This Row],[Active_months]]&gt;=1, 1, 0)</f>
        <v>1</v>
      </c>
    </row>
    <row r="2274" spans="1:10" x14ac:dyDescent="0.3">
      <c r="A2274">
        <v>217454204</v>
      </c>
      <c r="B2274" s="1">
        <v>45093</v>
      </c>
      <c r="D2274">
        <v>39</v>
      </c>
      <c r="E2274" t="s">
        <v>6</v>
      </c>
      <c r="F2274" t="s">
        <v>7</v>
      </c>
      <c r="G2274" s="1">
        <f t="shared" si="105"/>
        <v>45199</v>
      </c>
      <c r="H2274">
        <f t="shared" si="106"/>
        <v>3</v>
      </c>
      <c r="I2274">
        <f t="shared" si="107"/>
        <v>0</v>
      </c>
      <c r="J2274">
        <f>IF(Table1[[#This Row],[Active_months]]&gt;=1, 1, 0)</f>
        <v>1</v>
      </c>
    </row>
    <row r="2275" spans="1:10" x14ac:dyDescent="0.3">
      <c r="A2275">
        <v>206049284</v>
      </c>
      <c r="B2275" s="1">
        <v>45093</v>
      </c>
      <c r="D2275">
        <v>39</v>
      </c>
      <c r="E2275" t="s">
        <v>6</v>
      </c>
      <c r="F2275" t="s">
        <v>7</v>
      </c>
      <c r="G2275" s="1">
        <f t="shared" si="105"/>
        <v>45199</v>
      </c>
      <c r="H2275">
        <f t="shared" si="106"/>
        <v>3</v>
      </c>
      <c r="I2275">
        <f t="shared" si="107"/>
        <v>0</v>
      </c>
      <c r="J2275">
        <f>IF(Table1[[#This Row],[Active_months]]&gt;=1, 1, 0)</f>
        <v>1</v>
      </c>
    </row>
    <row r="2276" spans="1:10" x14ac:dyDescent="0.3">
      <c r="A2276">
        <v>132852439</v>
      </c>
      <c r="B2276" s="1">
        <v>45093</v>
      </c>
      <c r="D2276">
        <v>39</v>
      </c>
      <c r="E2276" t="s">
        <v>6</v>
      </c>
      <c r="F2276" t="s">
        <v>7</v>
      </c>
      <c r="G2276" s="1">
        <f t="shared" si="105"/>
        <v>45199</v>
      </c>
      <c r="H2276">
        <f t="shared" si="106"/>
        <v>3</v>
      </c>
      <c r="I2276">
        <f t="shared" si="107"/>
        <v>0</v>
      </c>
      <c r="J2276">
        <f>IF(Table1[[#This Row],[Active_months]]&gt;=1, 1, 0)</f>
        <v>1</v>
      </c>
    </row>
    <row r="2277" spans="1:10" x14ac:dyDescent="0.3">
      <c r="A2277">
        <v>217233198</v>
      </c>
      <c r="B2277" s="1">
        <v>45093</v>
      </c>
      <c r="D2277">
        <v>39</v>
      </c>
      <c r="E2277" t="s">
        <v>6</v>
      </c>
      <c r="F2277" t="s">
        <v>7</v>
      </c>
      <c r="G2277" s="1">
        <f t="shared" si="105"/>
        <v>45199</v>
      </c>
      <c r="H2277">
        <f t="shared" si="106"/>
        <v>3</v>
      </c>
      <c r="I2277">
        <f t="shared" si="107"/>
        <v>0</v>
      </c>
      <c r="J2277">
        <f>IF(Table1[[#This Row],[Active_months]]&gt;=1, 1, 0)</f>
        <v>1</v>
      </c>
    </row>
    <row r="2278" spans="1:10" x14ac:dyDescent="0.3">
      <c r="A2278">
        <v>188197564</v>
      </c>
      <c r="B2278" s="1">
        <v>45093</v>
      </c>
      <c r="C2278" s="1">
        <v>45094</v>
      </c>
      <c r="D2278">
        <v>39</v>
      </c>
      <c r="E2278" t="s">
        <v>6</v>
      </c>
      <c r="F2278" t="s">
        <v>7</v>
      </c>
      <c r="G2278" s="1">
        <f t="shared" si="105"/>
        <v>45094</v>
      </c>
      <c r="H2278">
        <f t="shared" si="106"/>
        <v>0</v>
      </c>
      <c r="I2278">
        <f t="shared" si="107"/>
        <v>0</v>
      </c>
      <c r="J2278">
        <f>IF(Table1[[#This Row],[Active_months]]&gt;=1, 1, 0)</f>
        <v>0</v>
      </c>
    </row>
    <row r="2279" spans="1:10" x14ac:dyDescent="0.3">
      <c r="A2279">
        <v>146952862</v>
      </c>
      <c r="B2279" s="1">
        <v>45093</v>
      </c>
      <c r="C2279" s="1">
        <v>45119</v>
      </c>
      <c r="D2279">
        <v>39</v>
      </c>
      <c r="E2279" t="s">
        <v>6</v>
      </c>
      <c r="F2279" t="s">
        <v>7</v>
      </c>
      <c r="G2279" s="1">
        <f t="shared" si="105"/>
        <v>45119</v>
      </c>
      <c r="H2279">
        <f t="shared" si="106"/>
        <v>1</v>
      </c>
      <c r="I2279">
        <f t="shared" si="107"/>
        <v>0</v>
      </c>
      <c r="J2279">
        <f>IF(Table1[[#This Row],[Active_months]]&gt;=1, 1, 0)</f>
        <v>1</v>
      </c>
    </row>
    <row r="2280" spans="1:10" x14ac:dyDescent="0.3">
      <c r="A2280">
        <v>152846561</v>
      </c>
      <c r="B2280" s="1">
        <v>45093</v>
      </c>
      <c r="C2280" s="1">
        <v>45130</v>
      </c>
      <c r="D2280">
        <v>39</v>
      </c>
      <c r="E2280" t="s">
        <v>6</v>
      </c>
      <c r="F2280" t="s">
        <v>7</v>
      </c>
      <c r="G2280" s="1">
        <f t="shared" si="105"/>
        <v>45130</v>
      </c>
      <c r="H2280">
        <f t="shared" si="106"/>
        <v>1</v>
      </c>
      <c r="I2280">
        <f t="shared" si="107"/>
        <v>0</v>
      </c>
      <c r="J2280">
        <f>IF(Table1[[#This Row],[Active_months]]&gt;=1, 1, 0)</f>
        <v>1</v>
      </c>
    </row>
    <row r="2281" spans="1:10" x14ac:dyDescent="0.3">
      <c r="A2281">
        <v>132867770</v>
      </c>
      <c r="B2281" s="1">
        <v>45093</v>
      </c>
      <c r="C2281" s="1">
        <v>45131</v>
      </c>
      <c r="D2281">
        <v>39</v>
      </c>
      <c r="E2281" t="s">
        <v>6</v>
      </c>
      <c r="F2281" t="s">
        <v>7</v>
      </c>
      <c r="G2281" s="1">
        <f t="shared" si="105"/>
        <v>45131</v>
      </c>
      <c r="H2281">
        <f t="shared" si="106"/>
        <v>1</v>
      </c>
      <c r="I2281">
        <f t="shared" si="107"/>
        <v>0</v>
      </c>
      <c r="J2281">
        <f>IF(Table1[[#This Row],[Active_months]]&gt;=1, 1, 0)</f>
        <v>1</v>
      </c>
    </row>
    <row r="2282" spans="1:10" x14ac:dyDescent="0.3">
      <c r="A2282">
        <v>206370330</v>
      </c>
      <c r="B2282" s="1">
        <v>45093</v>
      </c>
      <c r="C2282" s="1">
        <v>45153</v>
      </c>
      <c r="D2282">
        <v>39</v>
      </c>
      <c r="E2282" t="s">
        <v>6</v>
      </c>
      <c r="F2282" t="s">
        <v>7</v>
      </c>
      <c r="G2282" s="1">
        <f t="shared" si="105"/>
        <v>45153</v>
      </c>
      <c r="H2282">
        <f t="shared" si="106"/>
        <v>2</v>
      </c>
      <c r="I2282">
        <f t="shared" si="107"/>
        <v>0</v>
      </c>
      <c r="J2282">
        <f>IF(Table1[[#This Row],[Active_months]]&gt;=1, 1, 0)</f>
        <v>1</v>
      </c>
    </row>
    <row r="2283" spans="1:10" x14ac:dyDescent="0.3">
      <c r="A2283">
        <v>217438230</v>
      </c>
      <c r="B2283" s="1">
        <v>45093</v>
      </c>
      <c r="C2283" s="1">
        <v>45120</v>
      </c>
      <c r="D2283">
        <v>39</v>
      </c>
      <c r="E2283" t="s">
        <v>6</v>
      </c>
      <c r="F2283" t="s">
        <v>7</v>
      </c>
      <c r="G2283" s="1">
        <f t="shared" si="105"/>
        <v>45120</v>
      </c>
      <c r="H2283">
        <f t="shared" si="106"/>
        <v>1</v>
      </c>
      <c r="I2283">
        <f t="shared" si="107"/>
        <v>0</v>
      </c>
      <c r="J2283">
        <f>IF(Table1[[#This Row],[Active_months]]&gt;=1, 1, 0)</f>
        <v>1</v>
      </c>
    </row>
    <row r="2284" spans="1:10" x14ac:dyDescent="0.3">
      <c r="A2284">
        <v>217426939</v>
      </c>
      <c r="B2284" s="1">
        <v>45093</v>
      </c>
      <c r="C2284" s="1">
        <v>45123</v>
      </c>
      <c r="D2284">
        <v>39</v>
      </c>
      <c r="E2284" t="s">
        <v>6</v>
      </c>
      <c r="F2284" t="s">
        <v>7</v>
      </c>
      <c r="G2284" s="1">
        <f t="shared" si="105"/>
        <v>45123</v>
      </c>
      <c r="H2284">
        <f t="shared" si="106"/>
        <v>1</v>
      </c>
      <c r="I2284">
        <f t="shared" si="107"/>
        <v>0</v>
      </c>
      <c r="J2284">
        <f>IF(Table1[[#This Row],[Active_months]]&gt;=1, 1, 0)</f>
        <v>1</v>
      </c>
    </row>
    <row r="2285" spans="1:10" x14ac:dyDescent="0.3">
      <c r="A2285">
        <v>205785520</v>
      </c>
      <c r="B2285" s="1">
        <v>45094</v>
      </c>
      <c r="D2285">
        <v>39</v>
      </c>
      <c r="E2285" t="s">
        <v>6</v>
      </c>
      <c r="F2285" t="s">
        <v>7</v>
      </c>
      <c r="G2285" s="1">
        <f t="shared" si="105"/>
        <v>45199</v>
      </c>
      <c r="H2285">
        <f t="shared" si="106"/>
        <v>3</v>
      </c>
      <c r="I2285">
        <f t="shared" si="107"/>
        <v>0</v>
      </c>
      <c r="J2285">
        <f>IF(Table1[[#This Row],[Active_months]]&gt;=1, 1, 0)</f>
        <v>1</v>
      </c>
    </row>
    <row r="2286" spans="1:10" x14ac:dyDescent="0.3">
      <c r="A2286">
        <v>154284527</v>
      </c>
      <c r="B2286" s="1">
        <v>45094</v>
      </c>
      <c r="C2286" s="1">
        <v>45131</v>
      </c>
      <c r="D2286">
        <v>39</v>
      </c>
      <c r="E2286" t="s">
        <v>6</v>
      </c>
      <c r="F2286" t="s">
        <v>7</v>
      </c>
      <c r="G2286" s="1">
        <f t="shared" si="105"/>
        <v>45131</v>
      </c>
      <c r="H2286">
        <f t="shared" si="106"/>
        <v>1</v>
      </c>
      <c r="I2286">
        <f t="shared" si="107"/>
        <v>0</v>
      </c>
      <c r="J2286">
        <f>IF(Table1[[#This Row],[Active_months]]&gt;=1, 1, 0)</f>
        <v>1</v>
      </c>
    </row>
    <row r="2287" spans="1:10" x14ac:dyDescent="0.3">
      <c r="A2287">
        <v>214105912</v>
      </c>
      <c r="B2287" s="1">
        <v>45094</v>
      </c>
      <c r="C2287" s="1">
        <v>45131</v>
      </c>
      <c r="D2287">
        <v>39</v>
      </c>
      <c r="E2287" t="s">
        <v>6</v>
      </c>
      <c r="F2287" t="s">
        <v>7</v>
      </c>
      <c r="G2287" s="1">
        <f t="shared" si="105"/>
        <v>45131</v>
      </c>
      <c r="H2287">
        <f t="shared" si="106"/>
        <v>1</v>
      </c>
      <c r="I2287">
        <f t="shared" si="107"/>
        <v>0</v>
      </c>
      <c r="J2287">
        <f>IF(Table1[[#This Row],[Active_months]]&gt;=1, 1, 0)</f>
        <v>1</v>
      </c>
    </row>
    <row r="2288" spans="1:10" x14ac:dyDescent="0.3">
      <c r="A2288">
        <v>200909190</v>
      </c>
      <c r="B2288" s="1">
        <v>45094</v>
      </c>
      <c r="C2288" s="1">
        <v>45162</v>
      </c>
      <c r="D2288">
        <v>39</v>
      </c>
      <c r="E2288" t="s">
        <v>6</v>
      </c>
      <c r="F2288" t="s">
        <v>7</v>
      </c>
      <c r="G2288" s="1">
        <f t="shared" si="105"/>
        <v>45162</v>
      </c>
      <c r="H2288">
        <f t="shared" si="106"/>
        <v>2</v>
      </c>
      <c r="I2288">
        <f t="shared" si="107"/>
        <v>0</v>
      </c>
      <c r="J2288">
        <f>IF(Table1[[#This Row],[Active_months]]&gt;=1, 1, 0)</f>
        <v>1</v>
      </c>
    </row>
    <row r="2289" spans="1:10" x14ac:dyDescent="0.3">
      <c r="A2289">
        <v>151633468</v>
      </c>
      <c r="B2289" s="1">
        <v>45094</v>
      </c>
      <c r="C2289" s="1">
        <v>45139</v>
      </c>
      <c r="D2289">
        <v>39</v>
      </c>
      <c r="E2289" t="s">
        <v>6</v>
      </c>
      <c r="F2289" t="s">
        <v>7</v>
      </c>
      <c r="G2289" s="1">
        <f t="shared" si="105"/>
        <v>45139</v>
      </c>
      <c r="H2289">
        <f t="shared" si="106"/>
        <v>2</v>
      </c>
      <c r="I2289">
        <f t="shared" si="107"/>
        <v>0</v>
      </c>
      <c r="J2289">
        <f>IF(Table1[[#This Row],[Active_months]]&gt;=1, 1, 0)</f>
        <v>1</v>
      </c>
    </row>
    <row r="2290" spans="1:10" x14ac:dyDescent="0.3">
      <c r="A2290">
        <v>207010976</v>
      </c>
      <c r="B2290" s="1">
        <v>45094</v>
      </c>
      <c r="C2290" s="1">
        <v>45162</v>
      </c>
      <c r="D2290">
        <v>39</v>
      </c>
      <c r="E2290" t="s">
        <v>6</v>
      </c>
      <c r="F2290" t="s">
        <v>7</v>
      </c>
      <c r="G2290" s="1">
        <f t="shared" si="105"/>
        <v>45162</v>
      </c>
      <c r="H2290">
        <f t="shared" si="106"/>
        <v>2</v>
      </c>
      <c r="I2290">
        <f t="shared" si="107"/>
        <v>0</v>
      </c>
      <c r="J2290">
        <f>IF(Table1[[#This Row],[Active_months]]&gt;=1, 1, 0)</f>
        <v>1</v>
      </c>
    </row>
    <row r="2291" spans="1:10" x14ac:dyDescent="0.3">
      <c r="A2291">
        <v>217487776</v>
      </c>
      <c r="B2291" s="1">
        <v>45094</v>
      </c>
      <c r="C2291" s="1">
        <v>45127</v>
      </c>
      <c r="D2291">
        <v>39</v>
      </c>
      <c r="E2291" t="s">
        <v>6</v>
      </c>
      <c r="F2291" t="s">
        <v>7</v>
      </c>
      <c r="G2291" s="1">
        <f t="shared" si="105"/>
        <v>45127</v>
      </c>
      <c r="H2291">
        <f t="shared" si="106"/>
        <v>1</v>
      </c>
      <c r="I2291">
        <f t="shared" si="107"/>
        <v>0</v>
      </c>
      <c r="J2291">
        <f>IF(Table1[[#This Row],[Active_months]]&gt;=1, 1, 0)</f>
        <v>1</v>
      </c>
    </row>
    <row r="2292" spans="1:10" x14ac:dyDescent="0.3">
      <c r="A2292">
        <v>217484551</v>
      </c>
      <c r="B2292" s="1">
        <v>45094</v>
      </c>
      <c r="C2292" s="1">
        <v>45131</v>
      </c>
      <c r="D2292">
        <v>39</v>
      </c>
      <c r="E2292" t="s">
        <v>6</v>
      </c>
      <c r="F2292" t="s">
        <v>7</v>
      </c>
      <c r="G2292" s="1">
        <f t="shared" si="105"/>
        <v>45131</v>
      </c>
      <c r="H2292">
        <f t="shared" si="106"/>
        <v>1</v>
      </c>
      <c r="I2292">
        <f t="shared" si="107"/>
        <v>0</v>
      </c>
      <c r="J2292">
        <f>IF(Table1[[#This Row],[Active_months]]&gt;=1, 1, 0)</f>
        <v>1</v>
      </c>
    </row>
    <row r="2293" spans="1:10" x14ac:dyDescent="0.3">
      <c r="A2293">
        <v>217498202</v>
      </c>
      <c r="B2293" s="1">
        <v>45095</v>
      </c>
      <c r="D2293">
        <v>39</v>
      </c>
      <c r="E2293" t="s">
        <v>6</v>
      </c>
      <c r="F2293" t="s">
        <v>7</v>
      </c>
      <c r="G2293" s="1">
        <f t="shared" si="105"/>
        <v>45199</v>
      </c>
      <c r="H2293">
        <f t="shared" si="106"/>
        <v>3</v>
      </c>
      <c r="I2293">
        <f t="shared" si="107"/>
        <v>0</v>
      </c>
      <c r="J2293">
        <f>IF(Table1[[#This Row],[Active_months]]&gt;=1, 1, 0)</f>
        <v>1</v>
      </c>
    </row>
    <row r="2294" spans="1:10" x14ac:dyDescent="0.3">
      <c r="A2294">
        <v>217234603</v>
      </c>
      <c r="B2294" s="1">
        <v>45095</v>
      </c>
      <c r="D2294">
        <v>39</v>
      </c>
      <c r="E2294" t="s">
        <v>6</v>
      </c>
      <c r="F2294" t="s">
        <v>7</v>
      </c>
      <c r="G2294" s="1">
        <f t="shared" si="105"/>
        <v>45199</v>
      </c>
      <c r="H2294">
        <f t="shared" si="106"/>
        <v>3</v>
      </c>
      <c r="I2294">
        <f t="shared" si="107"/>
        <v>0</v>
      </c>
      <c r="J2294">
        <f>IF(Table1[[#This Row],[Active_months]]&gt;=1, 1, 0)</f>
        <v>1</v>
      </c>
    </row>
    <row r="2295" spans="1:10" x14ac:dyDescent="0.3">
      <c r="A2295">
        <v>217264148</v>
      </c>
      <c r="B2295" s="1">
        <v>45095</v>
      </c>
      <c r="D2295">
        <v>39</v>
      </c>
      <c r="E2295" t="s">
        <v>6</v>
      </c>
      <c r="F2295" t="s">
        <v>7</v>
      </c>
      <c r="G2295" s="1">
        <f t="shared" si="105"/>
        <v>45199</v>
      </c>
      <c r="H2295">
        <f t="shared" si="106"/>
        <v>3</v>
      </c>
      <c r="I2295">
        <f t="shared" si="107"/>
        <v>0</v>
      </c>
      <c r="J2295">
        <f>IF(Table1[[#This Row],[Active_months]]&gt;=1, 1, 0)</f>
        <v>1</v>
      </c>
    </row>
    <row r="2296" spans="1:10" x14ac:dyDescent="0.3">
      <c r="A2296">
        <v>217513366</v>
      </c>
      <c r="B2296" s="1">
        <v>45095</v>
      </c>
      <c r="D2296">
        <v>39</v>
      </c>
      <c r="E2296" t="s">
        <v>6</v>
      </c>
      <c r="F2296" t="s">
        <v>7</v>
      </c>
      <c r="G2296" s="1">
        <f t="shared" si="105"/>
        <v>45199</v>
      </c>
      <c r="H2296">
        <f t="shared" si="106"/>
        <v>3</v>
      </c>
      <c r="I2296">
        <f t="shared" si="107"/>
        <v>0</v>
      </c>
      <c r="J2296">
        <f>IF(Table1[[#This Row],[Active_months]]&gt;=1, 1, 0)</f>
        <v>1</v>
      </c>
    </row>
    <row r="2297" spans="1:10" x14ac:dyDescent="0.3">
      <c r="A2297">
        <v>217503737</v>
      </c>
      <c r="B2297" s="1">
        <v>45095</v>
      </c>
      <c r="D2297">
        <v>39</v>
      </c>
      <c r="E2297" t="s">
        <v>6</v>
      </c>
      <c r="F2297" t="s">
        <v>7</v>
      </c>
      <c r="G2297" s="1">
        <f t="shared" si="105"/>
        <v>45199</v>
      </c>
      <c r="H2297">
        <f t="shared" si="106"/>
        <v>3</v>
      </c>
      <c r="I2297">
        <f t="shared" si="107"/>
        <v>0</v>
      </c>
      <c r="J2297">
        <f>IF(Table1[[#This Row],[Active_months]]&gt;=1, 1, 0)</f>
        <v>1</v>
      </c>
    </row>
    <row r="2298" spans="1:10" x14ac:dyDescent="0.3">
      <c r="A2298">
        <v>151540809</v>
      </c>
      <c r="B2298" s="1">
        <v>45095</v>
      </c>
      <c r="D2298">
        <v>39</v>
      </c>
      <c r="E2298" t="s">
        <v>6</v>
      </c>
      <c r="F2298" t="s">
        <v>7</v>
      </c>
      <c r="G2298" s="1">
        <f t="shared" si="105"/>
        <v>45199</v>
      </c>
      <c r="H2298">
        <f t="shared" si="106"/>
        <v>3</v>
      </c>
      <c r="I2298">
        <f t="shared" si="107"/>
        <v>0</v>
      </c>
      <c r="J2298">
        <f>IF(Table1[[#This Row],[Active_months]]&gt;=1, 1, 0)</f>
        <v>1</v>
      </c>
    </row>
    <row r="2299" spans="1:10" x14ac:dyDescent="0.3">
      <c r="A2299">
        <v>217526421</v>
      </c>
      <c r="B2299" s="1">
        <v>45095</v>
      </c>
      <c r="C2299" s="1">
        <v>45164</v>
      </c>
      <c r="D2299">
        <v>39</v>
      </c>
      <c r="E2299" t="s">
        <v>6</v>
      </c>
      <c r="F2299" t="s">
        <v>7</v>
      </c>
      <c r="G2299" s="1">
        <f t="shared" si="105"/>
        <v>45164</v>
      </c>
      <c r="H2299">
        <f t="shared" si="106"/>
        <v>2</v>
      </c>
      <c r="I2299">
        <f t="shared" si="107"/>
        <v>0</v>
      </c>
      <c r="J2299">
        <f>IF(Table1[[#This Row],[Active_months]]&gt;=1, 1, 0)</f>
        <v>1</v>
      </c>
    </row>
    <row r="2300" spans="1:10" x14ac:dyDescent="0.3">
      <c r="A2300">
        <v>217418580</v>
      </c>
      <c r="B2300" s="1">
        <v>45095</v>
      </c>
      <c r="C2300" s="1">
        <v>45121</v>
      </c>
      <c r="D2300">
        <v>39</v>
      </c>
      <c r="E2300" t="s">
        <v>6</v>
      </c>
      <c r="F2300" t="s">
        <v>7</v>
      </c>
      <c r="G2300" s="1">
        <f t="shared" si="105"/>
        <v>45121</v>
      </c>
      <c r="H2300">
        <f t="shared" si="106"/>
        <v>1</v>
      </c>
      <c r="I2300">
        <f t="shared" si="107"/>
        <v>0</v>
      </c>
      <c r="J2300">
        <f>IF(Table1[[#This Row],[Active_months]]&gt;=1, 1, 0)</f>
        <v>1</v>
      </c>
    </row>
    <row r="2301" spans="1:10" x14ac:dyDescent="0.3">
      <c r="A2301">
        <v>217426015</v>
      </c>
      <c r="B2301" s="1">
        <v>45096</v>
      </c>
      <c r="D2301">
        <v>39</v>
      </c>
      <c r="E2301" t="s">
        <v>6</v>
      </c>
      <c r="F2301" t="s">
        <v>7</v>
      </c>
      <c r="G2301" s="1">
        <f t="shared" si="105"/>
        <v>45199</v>
      </c>
      <c r="H2301">
        <f t="shared" si="106"/>
        <v>3</v>
      </c>
      <c r="I2301">
        <f t="shared" si="107"/>
        <v>0</v>
      </c>
      <c r="J2301">
        <f>IF(Table1[[#This Row],[Active_months]]&gt;=1, 1, 0)</f>
        <v>1</v>
      </c>
    </row>
    <row r="2302" spans="1:10" x14ac:dyDescent="0.3">
      <c r="A2302">
        <v>217557584</v>
      </c>
      <c r="B2302" s="1">
        <v>45096</v>
      </c>
      <c r="D2302">
        <v>39</v>
      </c>
      <c r="E2302" t="s">
        <v>6</v>
      </c>
      <c r="F2302" t="s">
        <v>7</v>
      </c>
      <c r="G2302" s="1">
        <f t="shared" si="105"/>
        <v>45199</v>
      </c>
      <c r="H2302">
        <f t="shared" si="106"/>
        <v>3</v>
      </c>
      <c r="I2302">
        <f t="shared" si="107"/>
        <v>0</v>
      </c>
      <c r="J2302">
        <f>IF(Table1[[#This Row],[Active_months]]&gt;=1, 1, 0)</f>
        <v>1</v>
      </c>
    </row>
    <row r="2303" spans="1:10" x14ac:dyDescent="0.3">
      <c r="A2303">
        <v>217406489</v>
      </c>
      <c r="B2303" s="1">
        <v>45096</v>
      </c>
      <c r="D2303">
        <v>39</v>
      </c>
      <c r="E2303" t="s">
        <v>6</v>
      </c>
      <c r="F2303" t="s">
        <v>7</v>
      </c>
      <c r="G2303" s="1">
        <f t="shared" si="105"/>
        <v>45199</v>
      </c>
      <c r="H2303">
        <f t="shared" si="106"/>
        <v>3</v>
      </c>
      <c r="I2303">
        <f t="shared" si="107"/>
        <v>0</v>
      </c>
      <c r="J2303">
        <f>IF(Table1[[#This Row],[Active_months]]&gt;=1, 1, 0)</f>
        <v>1</v>
      </c>
    </row>
    <row r="2304" spans="1:10" x14ac:dyDescent="0.3">
      <c r="A2304">
        <v>217536534</v>
      </c>
      <c r="B2304" s="1">
        <v>45096</v>
      </c>
      <c r="D2304">
        <v>39</v>
      </c>
      <c r="E2304" t="s">
        <v>6</v>
      </c>
      <c r="F2304" t="s">
        <v>7</v>
      </c>
      <c r="G2304" s="1">
        <f t="shared" si="105"/>
        <v>45199</v>
      </c>
      <c r="H2304">
        <f t="shared" si="106"/>
        <v>3</v>
      </c>
      <c r="I2304">
        <f t="shared" si="107"/>
        <v>0</v>
      </c>
      <c r="J2304">
        <f>IF(Table1[[#This Row],[Active_months]]&gt;=1, 1, 0)</f>
        <v>1</v>
      </c>
    </row>
    <row r="2305" spans="1:10" x14ac:dyDescent="0.3">
      <c r="A2305">
        <v>217557082</v>
      </c>
      <c r="B2305" s="1">
        <v>45096</v>
      </c>
      <c r="D2305">
        <v>39</v>
      </c>
      <c r="E2305" t="s">
        <v>6</v>
      </c>
      <c r="F2305" t="s">
        <v>7</v>
      </c>
      <c r="G2305" s="1">
        <f t="shared" si="105"/>
        <v>45199</v>
      </c>
      <c r="H2305">
        <f t="shared" si="106"/>
        <v>3</v>
      </c>
      <c r="I2305">
        <f t="shared" si="107"/>
        <v>0</v>
      </c>
      <c r="J2305">
        <f>IF(Table1[[#This Row],[Active_months]]&gt;=1, 1, 0)</f>
        <v>1</v>
      </c>
    </row>
    <row r="2306" spans="1:10" x14ac:dyDescent="0.3">
      <c r="A2306">
        <v>176024207</v>
      </c>
      <c r="B2306" s="1">
        <v>45096</v>
      </c>
      <c r="C2306" s="1">
        <v>45145</v>
      </c>
      <c r="D2306">
        <v>39</v>
      </c>
      <c r="E2306" t="s">
        <v>6</v>
      </c>
      <c r="F2306" t="s">
        <v>7</v>
      </c>
      <c r="G2306" s="1">
        <f t="shared" si="105"/>
        <v>45145</v>
      </c>
      <c r="H2306">
        <f t="shared" si="106"/>
        <v>2</v>
      </c>
      <c r="I2306">
        <f t="shared" si="107"/>
        <v>0</v>
      </c>
      <c r="J2306">
        <f>IF(Table1[[#This Row],[Active_months]]&gt;=1, 1, 0)</f>
        <v>1</v>
      </c>
    </row>
    <row r="2307" spans="1:10" x14ac:dyDescent="0.3">
      <c r="A2307">
        <v>160598122</v>
      </c>
      <c r="B2307" s="1">
        <v>45096</v>
      </c>
      <c r="C2307" s="1">
        <v>45133</v>
      </c>
      <c r="D2307">
        <v>39</v>
      </c>
      <c r="E2307" t="s">
        <v>6</v>
      </c>
      <c r="F2307" t="s">
        <v>7</v>
      </c>
      <c r="G2307" s="1">
        <f t="shared" ref="G2307:G2370" si="108">IF(ISBLANK(C2307), DATE(2023,9,30), C2307)</f>
        <v>45133</v>
      </c>
      <c r="H2307">
        <f t="shared" ref="H2307:H2370" si="109">(YEAR(G2307)-YEAR(B2307))*12 + (MONTH(G2307)-MONTH(B2307))</f>
        <v>1</v>
      </c>
      <c r="I2307">
        <f t="shared" ref="I2307:I2370" si="110">IF(H2307 &gt;=5, 1, 0)</f>
        <v>0</v>
      </c>
      <c r="J2307">
        <f>IF(Table1[[#This Row],[Active_months]]&gt;=1, 1, 0)</f>
        <v>1</v>
      </c>
    </row>
    <row r="2308" spans="1:10" x14ac:dyDescent="0.3">
      <c r="A2308">
        <v>217378430</v>
      </c>
      <c r="B2308" s="1">
        <v>45096</v>
      </c>
      <c r="C2308" s="1">
        <v>45144</v>
      </c>
      <c r="D2308">
        <v>39</v>
      </c>
      <c r="E2308" t="s">
        <v>6</v>
      </c>
      <c r="F2308" t="s">
        <v>7</v>
      </c>
      <c r="G2308" s="1">
        <f t="shared" si="108"/>
        <v>45144</v>
      </c>
      <c r="H2308">
        <f t="shared" si="109"/>
        <v>2</v>
      </c>
      <c r="I2308">
        <f t="shared" si="110"/>
        <v>0</v>
      </c>
      <c r="J2308">
        <f>IF(Table1[[#This Row],[Active_months]]&gt;=1, 1, 0)</f>
        <v>1</v>
      </c>
    </row>
    <row r="2309" spans="1:10" x14ac:dyDescent="0.3">
      <c r="A2309">
        <v>193680187</v>
      </c>
      <c r="B2309" s="1">
        <v>45096</v>
      </c>
      <c r="C2309" s="1">
        <v>45097</v>
      </c>
      <c r="D2309">
        <v>39</v>
      </c>
      <c r="E2309" t="s">
        <v>6</v>
      </c>
      <c r="F2309" t="s">
        <v>7</v>
      </c>
      <c r="G2309" s="1">
        <f t="shared" si="108"/>
        <v>45097</v>
      </c>
      <c r="H2309">
        <f t="shared" si="109"/>
        <v>0</v>
      </c>
      <c r="I2309">
        <f t="shared" si="110"/>
        <v>0</v>
      </c>
      <c r="J2309">
        <f>IF(Table1[[#This Row],[Active_months]]&gt;=1, 1, 0)</f>
        <v>0</v>
      </c>
    </row>
    <row r="2310" spans="1:10" x14ac:dyDescent="0.3">
      <c r="A2310">
        <v>180424442</v>
      </c>
      <c r="B2310" s="1">
        <v>45096</v>
      </c>
      <c r="C2310" s="1">
        <v>45133</v>
      </c>
      <c r="D2310">
        <v>39</v>
      </c>
      <c r="E2310" t="s">
        <v>6</v>
      </c>
      <c r="F2310" t="s">
        <v>7</v>
      </c>
      <c r="G2310" s="1">
        <f t="shared" si="108"/>
        <v>45133</v>
      </c>
      <c r="H2310">
        <f t="shared" si="109"/>
        <v>1</v>
      </c>
      <c r="I2310">
        <f t="shared" si="110"/>
        <v>0</v>
      </c>
      <c r="J2310">
        <f>IF(Table1[[#This Row],[Active_months]]&gt;=1, 1, 0)</f>
        <v>1</v>
      </c>
    </row>
    <row r="2311" spans="1:10" x14ac:dyDescent="0.3">
      <c r="A2311">
        <v>217612796</v>
      </c>
      <c r="B2311" s="1">
        <v>45097</v>
      </c>
      <c r="D2311">
        <v>39</v>
      </c>
      <c r="E2311" t="s">
        <v>6</v>
      </c>
      <c r="F2311" t="s">
        <v>7</v>
      </c>
      <c r="G2311" s="1">
        <f t="shared" si="108"/>
        <v>45199</v>
      </c>
      <c r="H2311">
        <f t="shared" si="109"/>
        <v>3</v>
      </c>
      <c r="I2311">
        <f t="shared" si="110"/>
        <v>0</v>
      </c>
      <c r="J2311">
        <f>IF(Table1[[#This Row],[Active_months]]&gt;=1, 1, 0)</f>
        <v>1</v>
      </c>
    </row>
    <row r="2312" spans="1:10" x14ac:dyDescent="0.3">
      <c r="A2312">
        <v>217601263</v>
      </c>
      <c r="B2312" s="1">
        <v>45097</v>
      </c>
      <c r="D2312">
        <v>39</v>
      </c>
      <c r="E2312" t="s">
        <v>6</v>
      </c>
      <c r="F2312" t="s">
        <v>7</v>
      </c>
      <c r="G2312" s="1">
        <f t="shared" si="108"/>
        <v>45199</v>
      </c>
      <c r="H2312">
        <f t="shared" si="109"/>
        <v>3</v>
      </c>
      <c r="I2312">
        <f t="shared" si="110"/>
        <v>0</v>
      </c>
      <c r="J2312">
        <f>IF(Table1[[#This Row],[Active_months]]&gt;=1, 1, 0)</f>
        <v>1</v>
      </c>
    </row>
    <row r="2313" spans="1:10" x14ac:dyDescent="0.3">
      <c r="A2313">
        <v>217594148</v>
      </c>
      <c r="B2313" s="1">
        <v>45097</v>
      </c>
      <c r="D2313">
        <v>39</v>
      </c>
      <c r="E2313" t="s">
        <v>6</v>
      </c>
      <c r="F2313" t="s">
        <v>7</v>
      </c>
      <c r="G2313" s="1">
        <f t="shared" si="108"/>
        <v>45199</v>
      </c>
      <c r="H2313">
        <f t="shared" si="109"/>
        <v>3</v>
      </c>
      <c r="I2313">
        <f t="shared" si="110"/>
        <v>0</v>
      </c>
      <c r="J2313">
        <f>IF(Table1[[#This Row],[Active_months]]&gt;=1, 1, 0)</f>
        <v>1</v>
      </c>
    </row>
    <row r="2314" spans="1:10" x14ac:dyDescent="0.3">
      <c r="A2314">
        <v>217598396</v>
      </c>
      <c r="B2314" s="1">
        <v>45097</v>
      </c>
      <c r="D2314">
        <v>39</v>
      </c>
      <c r="E2314" t="s">
        <v>6</v>
      </c>
      <c r="F2314" t="s">
        <v>7</v>
      </c>
      <c r="G2314" s="1">
        <f t="shared" si="108"/>
        <v>45199</v>
      </c>
      <c r="H2314">
        <f t="shared" si="109"/>
        <v>3</v>
      </c>
      <c r="I2314">
        <f t="shared" si="110"/>
        <v>0</v>
      </c>
      <c r="J2314">
        <f>IF(Table1[[#This Row],[Active_months]]&gt;=1, 1, 0)</f>
        <v>1</v>
      </c>
    </row>
    <row r="2315" spans="1:10" x14ac:dyDescent="0.3">
      <c r="A2315">
        <v>206647130</v>
      </c>
      <c r="B2315" s="1">
        <v>45097</v>
      </c>
      <c r="D2315">
        <v>39</v>
      </c>
      <c r="E2315" t="s">
        <v>6</v>
      </c>
      <c r="F2315" t="s">
        <v>7</v>
      </c>
      <c r="G2315" s="1">
        <f t="shared" si="108"/>
        <v>45199</v>
      </c>
      <c r="H2315">
        <f t="shared" si="109"/>
        <v>3</v>
      </c>
      <c r="I2315">
        <f t="shared" si="110"/>
        <v>0</v>
      </c>
      <c r="J2315">
        <f>IF(Table1[[#This Row],[Active_months]]&gt;=1, 1, 0)</f>
        <v>1</v>
      </c>
    </row>
    <row r="2316" spans="1:10" x14ac:dyDescent="0.3">
      <c r="A2316">
        <v>207099222</v>
      </c>
      <c r="B2316" s="1">
        <v>45097</v>
      </c>
      <c r="D2316">
        <v>39</v>
      </c>
      <c r="E2316" t="s">
        <v>6</v>
      </c>
      <c r="F2316" t="s">
        <v>7</v>
      </c>
      <c r="G2316" s="1">
        <f t="shared" si="108"/>
        <v>45199</v>
      </c>
      <c r="H2316">
        <f t="shared" si="109"/>
        <v>3</v>
      </c>
      <c r="I2316">
        <f t="shared" si="110"/>
        <v>0</v>
      </c>
      <c r="J2316">
        <f>IF(Table1[[#This Row],[Active_months]]&gt;=1, 1, 0)</f>
        <v>1</v>
      </c>
    </row>
    <row r="2317" spans="1:10" x14ac:dyDescent="0.3">
      <c r="A2317">
        <v>207079318</v>
      </c>
      <c r="B2317" s="1">
        <v>45097</v>
      </c>
      <c r="D2317">
        <v>39</v>
      </c>
      <c r="E2317" t="s">
        <v>6</v>
      </c>
      <c r="F2317" t="s">
        <v>7</v>
      </c>
      <c r="G2317" s="1">
        <f t="shared" si="108"/>
        <v>45199</v>
      </c>
      <c r="H2317">
        <f t="shared" si="109"/>
        <v>3</v>
      </c>
      <c r="I2317">
        <f t="shared" si="110"/>
        <v>0</v>
      </c>
      <c r="J2317">
        <f>IF(Table1[[#This Row],[Active_months]]&gt;=1, 1, 0)</f>
        <v>1</v>
      </c>
    </row>
    <row r="2318" spans="1:10" x14ac:dyDescent="0.3">
      <c r="A2318">
        <v>217580362</v>
      </c>
      <c r="B2318" s="1">
        <v>45097</v>
      </c>
      <c r="D2318">
        <v>39</v>
      </c>
      <c r="E2318" t="s">
        <v>6</v>
      </c>
      <c r="F2318" t="s">
        <v>7</v>
      </c>
      <c r="G2318" s="1">
        <f t="shared" si="108"/>
        <v>45199</v>
      </c>
      <c r="H2318">
        <f t="shared" si="109"/>
        <v>3</v>
      </c>
      <c r="I2318">
        <f t="shared" si="110"/>
        <v>0</v>
      </c>
      <c r="J2318">
        <f>IF(Table1[[#This Row],[Active_months]]&gt;=1, 1, 0)</f>
        <v>1</v>
      </c>
    </row>
    <row r="2319" spans="1:10" x14ac:dyDescent="0.3">
      <c r="A2319">
        <v>217438678</v>
      </c>
      <c r="B2319" s="1">
        <v>45097</v>
      </c>
      <c r="D2319">
        <v>39</v>
      </c>
      <c r="E2319" t="s">
        <v>6</v>
      </c>
      <c r="F2319" t="s">
        <v>7</v>
      </c>
      <c r="G2319" s="1">
        <f t="shared" si="108"/>
        <v>45199</v>
      </c>
      <c r="H2319">
        <f t="shared" si="109"/>
        <v>3</v>
      </c>
      <c r="I2319">
        <f t="shared" si="110"/>
        <v>0</v>
      </c>
      <c r="J2319">
        <f>IF(Table1[[#This Row],[Active_months]]&gt;=1, 1, 0)</f>
        <v>1</v>
      </c>
    </row>
    <row r="2320" spans="1:10" x14ac:dyDescent="0.3">
      <c r="A2320">
        <v>215963364</v>
      </c>
      <c r="B2320" s="1">
        <v>45097</v>
      </c>
      <c r="C2320" s="1">
        <v>45098</v>
      </c>
      <c r="D2320">
        <v>39</v>
      </c>
      <c r="E2320" t="s">
        <v>6</v>
      </c>
      <c r="F2320" t="s">
        <v>7</v>
      </c>
      <c r="G2320" s="1">
        <f t="shared" si="108"/>
        <v>45098</v>
      </c>
      <c r="H2320">
        <f t="shared" si="109"/>
        <v>0</v>
      </c>
      <c r="I2320">
        <f t="shared" si="110"/>
        <v>0</v>
      </c>
      <c r="J2320">
        <f>IF(Table1[[#This Row],[Active_months]]&gt;=1, 1, 0)</f>
        <v>0</v>
      </c>
    </row>
    <row r="2321" spans="1:10" x14ac:dyDescent="0.3">
      <c r="A2321">
        <v>153876204</v>
      </c>
      <c r="B2321" s="1">
        <v>45097</v>
      </c>
      <c r="C2321" s="1">
        <v>45130</v>
      </c>
      <c r="D2321">
        <v>39</v>
      </c>
      <c r="E2321" t="s">
        <v>6</v>
      </c>
      <c r="F2321" t="s">
        <v>7</v>
      </c>
      <c r="G2321" s="1">
        <f t="shared" si="108"/>
        <v>45130</v>
      </c>
      <c r="H2321">
        <f t="shared" si="109"/>
        <v>1</v>
      </c>
      <c r="I2321">
        <f t="shared" si="110"/>
        <v>0</v>
      </c>
      <c r="J2321">
        <f>IF(Table1[[#This Row],[Active_months]]&gt;=1, 1, 0)</f>
        <v>1</v>
      </c>
    </row>
    <row r="2322" spans="1:10" x14ac:dyDescent="0.3">
      <c r="A2322">
        <v>153828803</v>
      </c>
      <c r="B2322" s="1">
        <v>45097</v>
      </c>
      <c r="C2322" s="1">
        <v>45099</v>
      </c>
      <c r="D2322">
        <v>39</v>
      </c>
      <c r="E2322" t="s">
        <v>6</v>
      </c>
      <c r="F2322" t="s">
        <v>7</v>
      </c>
      <c r="G2322" s="1">
        <f t="shared" si="108"/>
        <v>45099</v>
      </c>
      <c r="H2322">
        <f t="shared" si="109"/>
        <v>0</v>
      </c>
      <c r="I2322">
        <f t="shared" si="110"/>
        <v>0</v>
      </c>
      <c r="J2322">
        <f>IF(Table1[[#This Row],[Active_months]]&gt;=1, 1, 0)</f>
        <v>0</v>
      </c>
    </row>
    <row r="2323" spans="1:10" x14ac:dyDescent="0.3">
      <c r="A2323">
        <v>217595865</v>
      </c>
      <c r="B2323" s="1">
        <v>45097</v>
      </c>
      <c r="C2323" s="1">
        <v>45134</v>
      </c>
      <c r="D2323">
        <v>39</v>
      </c>
      <c r="E2323" t="s">
        <v>6</v>
      </c>
      <c r="F2323" t="s">
        <v>7</v>
      </c>
      <c r="G2323" s="1">
        <f t="shared" si="108"/>
        <v>45134</v>
      </c>
      <c r="H2323">
        <f t="shared" si="109"/>
        <v>1</v>
      </c>
      <c r="I2323">
        <f t="shared" si="110"/>
        <v>0</v>
      </c>
      <c r="J2323">
        <f>IF(Table1[[#This Row],[Active_months]]&gt;=1, 1, 0)</f>
        <v>1</v>
      </c>
    </row>
    <row r="2324" spans="1:10" x14ac:dyDescent="0.3">
      <c r="A2324">
        <v>216158153</v>
      </c>
      <c r="B2324" s="1">
        <v>45097</v>
      </c>
      <c r="C2324" s="1">
        <v>45131</v>
      </c>
      <c r="D2324">
        <v>39</v>
      </c>
      <c r="E2324" t="s">
        <v>6</v>
      </c>
      <c r="F2324" t="s">
        <v>7</v>
      </c>
      <c r="G2324" s="1">
        <f t="shared" si="108"/>
        <v>45131</v>
      </c>
      <c r="H2324">
        <f t="shared" si="109"/>
        <v>1</v>
      </c>
      <c r="I2324">
        <f t="shared" si="110"/>
        <v>0</v>
      </c>
      <c r="J2324">
        <f>IF(Table1[[#This Row],[Active_months]]&gt;=1, 1, 0)</f>
        <v>1</v>
      </c>
    </row>
    <row r="2325" spans="1:10" x14ac:dyDescent="0.3">
      <c r="A2325">
        <v>217548173</v>
      </c>
      <c r="B2325" s="1">
        <v>45097</v>
      </c>
      <c r="C2325" s="1">
        <v>45126</v>
      </c>
      <c r="D2325">
        <v>39</v>
      </c>
      <c r="E2325" t="s">
        <v>6</v>
      </c>
      <c r="F2325" t="s">
        <v>7</v>
      </c>
      <c r="G2325" s="1">
        <f t="shared" si="108"/>
        <v>45126</v>
      </c>
      <c r="H2325">
        <f t="shared" si="109"/>
        <v>1</v>
      </c>
      <c r="I2325">
        <f t="shared" si="110"/>
        <v>0</v>
      </c>
      <c r="J2325">
        <f>IF(Table1[[#This Row],[Active_months]]&gt;=1, 1, 0)</f>
        <v>1</v>
      </c>
    </row>
    <row r="2326" spans="1:10" x14ac:dyDescent="0.3">
      <c r="A2326">
        <v>217533118</v>
      </c>
      <c r="B2326" s="1">
        <v>45098</v>
      </c>
      <c r="D2326">
        <v>39</v>
      </c>
      <c r="E2326" t="s">
        <v>6</v>
      </c>
      <c r="F2326" t="s">
        <v>7</v>
      </c>
      <c r="G2326" s="1">
        <f t="shared" si="108"/>
        <v>45199</v>
      </c>
      <c r="H2326">
        <f t="shared" si="109"/>
        <v>3</v>
      </c>
      <c r="I2326">
        <f t="shared" si="110"/>
        <v>0</v>
      </c>
      <c r="J2326">
        <f>IF(Table1[[#This Row],[Active_months]]&gt;=1, 1, 0)</f>
        <v>1</v>
      </c>
    </row>
    <row r="2327" spans="1:10" x14ac:dyDescent="0.3">
      <c r="A2327">
        <v>205128906</v>
      </c>
      <c r="B2327" s="1">
        <v>45098</v>
      </c>
      <c r="D2327">
        <v>39</v>
      </c>
      <c r="E2327" t="s">
        <v>6</v>
      </c>
      <c r="F2327" t="s">
        <v>7</v>
      </c>
      <c r="G2327" s="1">
        <f t="shared" si="108"/>
        <v>45199</v>
      </c>
      <c r="H2327">
        <f t="shared" si="109"/>
        <v>3</v>
      </c>
      <c r="I2327">
        <f t="shared" si="110"/>
        <v>0</v>
      </c>
      <c r="J2327">
        <f>IF(Table1[[#This Row],[Active_months]]&gt;=1, 1, 0)</f>
        <v>1</v>
      </c>
    </row>
    <row r="2328" spans="1:10" x14ac:dyDescent="0.3">
      <c r="A2328">
        <v>205812132</v>
      </c>
      <c r="B2328" s="1">
        <v>45098</v>
      </c>
      <c r="D2328">
        <v>39</v>
      </c>
      <c r="E2328" t="s">
        <v>6</v>
      </c>
      <c r="F2328" t="s">
        <v>7</v>
      </c>
      <c r="G2328" s="1">
        <f t="shared" si="108"/>
        <v>45199</v>
      </c>
      <c r="H2328">
        <f t="shared" si="109"/>
        <v>3</v>
      </c>
      <c r="I2328">
        <f t="shared" si="110"/>
        <v>0</v>
      </c>
      <c r="J2328">
        <f>IF(Table1[[#This Row],[Active_months]]&gt;=1, 1, 0)</f>
        <v>1</v>
      </c>
    </row>
    <row r="2329" spans="1:10" x14ac:dyDescent="0.3">
      <c r="A2329">
        <v>216907554</v>
      </c>
      <c r="B2329" s="1">
        <v>45098</v>
      </c>
      <c r="D2329">
        <v>39</v>
      </c>
      <c r="E2329" t="s">
        <v>6</v>
      </c>
      <c r="F2329" t="s">
        <v>7</v>
      </c>
      <c r="G2329" s="1">
        <f t="shared" si="108"/>
        <v>45199</v>
      </c>
      <c r="H2329">
        <f t="shared" si="109"/>
        <v>3</v>
      </c>
      <c r="I2329">
        <f t="shared" si="110"/>
        <v>0</v>
      </c>
      <c r="J2329">
        <f>IF(Table1[[#This Row],[Active_months]]&gt;=1, 1, 0)</f>
        <v>1</v>
      </c>
    </row>
    <row r="2330" spans="1:10" x14ac:dyDescent="0.3">
      <c r="A2330">
        <v>215113542</v>
      </c>
      <c r="B2330" s="1">
        <v>45098</v>
      </c>
      <c r="D2330">
        <v>39</v>
      </c>
      <c r="E2330" t="s">
        <v>6</v>
      </c>
      <c r="F2330" t="s">
        <v>7</v>
      </c>
      <c r="G2330" s="1">
        <f t="shared" si="108"/>
        <v>45199</v>
      </c>
      <c r="H2330">
        <f t="shared" si="109"/>
        <v>3</v>
      </c>
      <c r="I2330">
        <f t="shared" si="110"/>
        <v>0</v>
      </c>
      <c r="J2330">
        <f>IF(Table1[[#This Row],[Active_months]]&gt;=1, 1, 0)</f>
        <v>1</v>
      </c>
    </row>
    <row r="2331" spans="1:10" x14ac:dyDescent="0.3">
      <c r="A2331">
        <v>204772797</v>
      </c>
      <c r="B2331" s="1">
        <v>45098</v>
      </c>
      <c r="D2331">
        <v>39</v>
      </c>
      <c r="E2331" t="s">
        <v>6</v>
      </c>
      <c r="F2331" t="s">
        <v>7</v>
      </c>
      <c r="G2331" s="1">
        <f t="shared" si="108"/>
        <v>45199</v>
      </c>
      <c r="H2331">
        <f t="shared" si="109"/>
        <v>3</v>
      </c>
      <c r="I2331">
        <f t="shared" si="110"/>
        <v>0</v>
      </c>
      <c r="J2331">
        <f>IF(Table1[[#This Row],[Active_months]]&gt;=1, 1, 0)</f>
        <v>1</v>
      </c>
    </row>
    <row r="2332" spans="1:10" x14ac:dyDescent="0.3">
      <c r="A2332">
        <v>217627630</v>
      </c>
      <c r="B2332" s="1">
        <v>45098</v>
      </c>
      <c r="D2332">
        <v>39</v>
      </c>
      <c r="E2332" t="s">
        <v>6</v>
      </c>
      <c r="F2332" t="s">
        <v>7</v>
      </c>
      <c r="G2332" s="1">
        <f t="shared" si="108"/>
        <v>45199</v>
      </c>
      <c r="H2332">
        <f t="shared" si="109"/>
        <v>3</v>
      </c>
      <c r="I2332">
        <f t="shared" si="110"/>
        <v>0</v>
      </c>
      <c r="J2332">
        <f>IF(Table1[[#This Row],[Active_months]]&gt;=1, 1, 0)</f>
        <v>1</v>
      </c>
    </row>
    <row r="2333" spans="1:10" x14ac:dyDescent="0.3">
      <c r="A2333">
        <v>217635272</v>
      </c>
      <c r="B2333" s="1">
        <v>45098</v>
      </c>
      <c r="D2333">
        <v>39</v>
      </c>
      <c r="E2333" t="s">
        <v>6</v>
      </c>
      <c r="F2333" t="s">
        <v>7</v>
      </c>
      <c r="G2333" s="1">
        <f t="shared" si="108"/>
        <v>45199</v>
      </c>
      <c r="H2333">
        <f t="shared" si="109"/>
        <v>3</v>
      </c>
      <c r="I2333">
        <f t="shared" si="110"/>
        <v>0</v>
      </c>
      <c r="J2333">
        <f>IF(Table1[[#This Row],[Active_months]]&gt;=1, 1, 0)</f>
        <v>1</v>
      </c>
    </row>
    <row r="2334" spans="1:10" x14ac:dyDescent="0.3">
      <c r="A2334">
        <v>217543308</v>
      </c>
      <c r="B2334" s="1">
        <v>45098</v>
      </c>
      <c r="C2334" s="1">
        <v>45099</v>
      </c>
      <c r="D2334">
        <v>39</v>
      </c>
      <c r="E2334" t="s">
        <v>6</v>
      </c>
      <c r="F2334" t="s">
        <v>7</v>
      </c>
      <c r="G2334" s="1">
        <f t="shared" si="108"/>
        <v>45099</v>
      </c>
      <c r="H2334">
        <f t="shared" si="109"/>
        <v>0</v>
      </c>
      <c r="I2334">
        <f t="shared" si="110"/>
        <v>0</v>
      </c>
      <c r="J2334">
        <f>IF(Table1[[#This Row],[Active_months]]&gt;=1, 1, 0)</f>
        <v>0</v>
      </c>
    </row>
    <row r="2335" spans="1:10" x14ac:dyDescent="0.3">
      <c r="A2335">
        <v>217626870</v>
      </c>
      <c r="B2335" s="1">
        <v>45098</v>
      </c>
      <c r="C2335" s="1">
        <v>45099</v>
      </c>
      <c r="D2335">
        <v>39</v>
      </c>
      <c r="E2335" t="s">
        <v>6</v>
      </c>
      <c r="F2335" t="s">
        <v>8</v>
      </c>
      <c r="G2335" s="1">
        <f t="shared" si="108"/>
        <v>45099</v>
      </c>
      <c r="H2335">
        <f t="shared" si="109"/>
        <v>0</v>
      </c>
      <c r="I2335">
        <f t="shared" si="110"/>
        <v>0</v>
      </c>
      <c r="J2335">
        <f>IF(Table1[[#This Row],[Active_months]]&gt;=1, 1, 0)</f>
        <v>0</v>
      </c>
    </row>
    <row r="2336" spans="1:10" x14ac:dyDescent="0.3">
      <c r="A2336">
        <v>217246912</v>
      </c>
      <c r="B2336" s="1">
        <v>45098</v>
      </c>
      <c r="C2336" s="1">
        <v>45099</v>
      </c>
      <c r="D2336">
        <v>39</v>
      </c>
      <c r="E2336" t="s">
        <v>6</v>
      </c>
      <c r="F2336" t="s">
        <v>8</v>
      </c>
      <c r="G2336" s="1">
        <f t="shared" si="108"/>
        <v>45099</v>
      </c>
      <c r="H2336">
        <f t="shared" si="109"/>
        <v>0</v>
      </c>
      <c r="I2336">
        <f t="shared" si="110"/>
        <v>0</v>
      </c>
      <c r="J2336">
        <f>IF(Table1[[#This Row],[Active_months]]&gt;=1, 1, 0)</f>
        <v>0</v>
      </c>
    </row>
    <row r="2337" spans="1:10" x14ac:dyDescent="0.3">
      <c r="A2337">
        <v>217223132</v>
      </c>
      <c r="B2337" s="1">
        <v>45098</v>
      </c>
      <c r="C2337" s="1">
        <v>45156</v>
      </c>
      <c r="D2337">
        <v>39</v>
      </c>
      <c r="E2337" t="s">
        <v>6</v>
      </c>
      <c r="F2337" t="s">
        <v>7</v>
      </c>
      <c r="G2337" s="1">
        <f t="shared" si="108"/>
        <v>45156</v>
      </c>
      <c r="H2337">
        <f t="shared" si="109"/>
        <v>2</v>
      </c>
      <c r="I2337">
        <f t="shared" si="110"/>
        <v>0</v>
      </c>
      <c r="J2337">
        <f>IF(Table1[[#This Row],[Active_months]]&gt;=1, 1, 0)</f>
        <v>1</v>
      </c>
    </row>
    <row r="2338" spans="1:10" x14ac:dyDescent="0.3">
      <c r="A2338">
        <v>217650160</v>
      </c>
      <c r="B2338" s="1">
        <v>45098</v>
      </c>
      <c r="C2338" s="1">
        <v>45148</v>
      </c>
      <c r="D2338">
        <v>39</v>
      </c>
      <c r="E2338" t="s">
        <v>6</v>
      </c>
      <c r="F2338" t="s">
        <v>7</v>
      </c>
      <c r="G2338" s="1">
        <f t="shared" si="108"/>
        <v>45148</v>
      </c>
      <c r="H2338">
        <f t="shared" si="109"/>
        <v>2</v>
      </c>
      <c r="I2338">
        <f t="shared" si="110"/>
        <v>0</v>
      </c>
      <c r="J2338">
        <f>IF(Table1[[#This Row],[Active_months]]&gt;=1, 1, 0)</f>
        <v>1</v>
      </c>
    </row>
    <row r="2339" spans="1:10" x14ac:dyDescent="0.3">
      <c r="A2339">
        <v>149856123</v>
      </c>
      <c r="B2339" s="1">
        <v>45098</v>
      </c>
      <c r="C2339" s="1">
        <v>45124</v>
      </c>
      <c r="D2339">
        <v>39</v>
      </c>
      <c r="E2339" t="s">
        <v>6</v>
      </c>
      <c r="F2339" t="s">
        <v>7</v>
      </c>
      <c r="G2339" s="1">
        <f t="shared" si="108"/>
        <v>45124</v>
      </c>
      <c r="H2339">
        <f t="shared" si="109"/>
        <v>1</v>
      </c>
      <c r="I2339">
        <f t="shared" si="110"/>
        <v>0</v>
      </c>
      <c r="J2339">
        <f>IF(Table1[[#This Row],[Active_months]]&gt;=1, 1, 0)</f>
        <v>1</v>
      </c>
    </row>
    <row r="2340" spans="1:10" x14ac:dyDescent="0.3">
      <c r="A2340">
        <v>217657148</v>
      </c>
      <c r="B2340" s="1">
        <v>45098</v>
      </c>
      <c r="C2340" s="1">
        <v>45107</v>
      </c>
      <c r="D2340">
        <v>39</v>
      </c>
      <c r="E2340" t="s">
        <v>6</v>
      </c>
      <c r="F2340" t="s">
        <v>7</v>
      </c>
      <c r="G2340" s="1">
        <f t="shared" si="108"/>
        <v>45107</v>
      </c>
      <c r="H2340">
        <f t="shared" si="109"/>
        <v>0</v>
      </c>
      <c r="I2340">
        <f t="shared" si="110"/>
        <v>0</v>
      </c>
      <c r="J2340">
        <f>IF(Table1[[#This Row],[Active_months]]&gt;=1, 1, 0)</f>
        <v>0</v>
      </c>
    </row>
    <row r="2341" spans="1:10" x14ac:dyDescent="0.3">
      <c r="A2341">
        <v>217386658</v>
      </c>
      <c r="B2341" s="1">
        <v>45098</v>
      </c>
      <c r="C2341" s="1">
        <v>45132</v>
      </c>
      <c r="D2341">
        <v>39</v>
      </c>
      <c r="E2341" t="s">
        <v>6</v>
      </c>
      <c r="F2341" t="s">
        <v>7</v>
      </c>
      <c r="G2341" s="1">
        <f t="shared" si="108"/>
        <v>45132</v>
      </c>
      <c r="H2341">
        <f t="shared" si="109"/>
        <v>1</v>
      </c>
      <c r="I2341">
        <f t="shared" si="110"/>
        <v>0</v>
      </c>
      <c r="J2341">
        <f>IF(Table1[[#This Row],[Active_months]]&gt;=1, 1, 0)</f>
        <v>1</v>
      </c>
    </row>
    <row r="2342" spans="1:10" x14ac:dyDescent="0.3">
      <c r="A2342">
        <v>202563999</v>
      </c>
      <c r="B2342" s="1">
        <v>45099</v>
      </c>
      <c r="D2342">
        <v>39</v>
      </c>
      <c r="E2342" t="s">
        <v>6</v>
      </c>
      <c r="F2342" t="s">
        <v>7</v>
      </c>
      <c r="G2342" s="1">
        <f t="shared" si="108"/>
        <v>45199</v>
      </c>
      <c r="H2342">
        <f t="shared" si="109"/>
        <v>3</v>
      </c>
      <c r="I2342">
        <f t="shared" si="110"/>
        <v>0</v>
      </c>
      <c r="J2342">
        <f>IF(Table1[[#This Row],[Active_months]]&gt;=1, 1, 0)</f>
        <v>1</v>
      </c>
    </row>
    <row r="2343" spans="1:10" x14ac:dyDescent="0.3">
      <c r="A2343">
        <v>137195650</v>
      </c>
      <c r="B2343" s="1">
        <v>45099</v>
      </c>
      <c r="D2343">
        <v>39</v>
      </c>
      <c r="E2343" t="s">
        <v>6</v>
      </c>
      <c r="F2343" t="s">
        <v>7</v>
      </c>
      <c r="G2343" s="1">
        <f t="shared" si="108"/>
        <v>45199</v>
      </c>
      <c r="H2343">
        <f t="shared" si="109"/>
        <v>3</v>
      </c>
      <c r="I2343">
        <f t="shared" si="110"/>
        <v>0</v>
      </c>
      <c r="J2343">
        <f>IF(Table1[[#This Row],[Active_months]]&gt;=1, 1, 0)</f>
        <v>1</v>
      </c>
    </row>
    <row r="2344" spans="1:10" x14ac:dyDescent="0.3">
      <c r="A2344">
        <v>138372112</v>
      </c>
      <c r="B2344" s="1">
        <v>45099</v>
      </c>
      <c r="D2344">
        <v>39</v>
      </c>
      <c r="E2344" t="s">
        <v>6</v>
      </c>
      <c r="F2344" t="s">
        <v>7</v>
      </c>
      <c r="G2344" s="1">
        <f t="shared" si="108"/>
        <v>45199</v>
      </c>
      <c r="H2344">
        <f t="shared" si="109"/>
        <v>3</v>
      </c>
      <c r="I2344">
        <f t="shared" si="110"/>
        <v>0</v>
      </c>
      <c r="J2344">
        <f>IF(Table1[[#This Row],[Active_months]]&gt;=1, 1, 0)</f>
        <v>1</v>
      </c>
    </row>
    <row r="2345" spans="1:10" x14ac:dyDescent="0.3">
      <c r="A2345">
        <v>217692419</v>
      </c>
      <c r="B2345" s="1">
        <v>45099</v>
      </c>
      <c r="D2345">
        <v>39</v>
      </c>
      <c r="E2345" t="s">
        <v>6</v>
      </c>
      <c r="F2345" t="s">
        <v>7</v>
      </c>
      <c r="G2345" s="1">
        <f t="shared" si="108"/>
        <v>45199</v>
      </c>
      <c r="H2345">
        <f t="shared" si="109"/>
        <v>3</v>
      </c>
      <c r="I2345">
        <f t="shared" si="110"/>
        <v>0</v>
      </c>
      <c r="J2345">
        <f>IF(Table1[[#This Row],[Active_months]]&gt;=1, 1, 0)</f>
        <v>1</v>
      </c>
    </row>
    <row r="2346" spans="1:10" x14ac:dyDescent="0.3">
      <c r="A2346">
        <v>217610905</v>
      </c>
      <c r="B2346" s="1">
        <v>45099</v>
      </c>
      <c r="D2346">
        <v>39</v>
      </c>
      <c r="E2346" t="s">
        <v>6</v>
      </c>
      <c r="F2346" t="s">
        <v>7</v>
      </c>
      <c r="G2346" s="1">
        <f t="shared" si="108"/>
        <v>45199</v>
      </c>
      <c r="H2346">
        <f t="shared" si="109"/>
        <v>3</v>
      </c>
      <c r="I2346">
        <f t="shared" si="110"/>
        <v>0</v>
      </c>
      <c r="J2346">
        <f>IF(Table1[[#This Row],[Active_months]]&gt;=1, 1, 0)</f>
        <v>1</v>
      </c>
    </row>
    <row r="2347" spans="1:10" x14ac:dyDescent="0.3">
      <c r="A2347">
        <v>217618558</v>
      </c>
      <c r="B2347" s="1">
        <v>45099</v>
      </c>
      <c r="D2347">
        <v>39</v>
      </c>
      <c r="E2347" t="s">
        <v>6</v>
      </c>
      <c r="F2347" t="s">
        <v>7</v>
      </c>
      <c r="G2347" s="1">
        <f t="shared" si="108"/>
        <v>45199</v>
      </c>
      <c r="H2347">
        <f t="shared" si="109"/>
        <v>3</v>
      </c>
      <c r="I2347">
        <f t="shared" si="110"/>
        <v>0</v>
      </c>
      <c r="J2347">
        <f>IF(Table1[[#This Row],[Active_months]]&gt;=1, 1, 0)</f>
        <v>1</v>
      </c>
    </row>
    <row r="2348" spans="1:10" x14ac:dyDescent="0.3">
      <c r="A2348">
        <v>190490555</v>
      </c>
      <c r="B2348" s="1">
        <v>45099</v>
      </c>
      <c r="D2348">
        <v>39</v>
      </c>
      <c r="E2348" t="s">
        <v>6</v>
      </c>
      <c r="F2348" t="s">
        <v>7</v>
      </c>
      <c r="G2348" s="1">
        <f t="shared" si="108"/>
        <v>45199</v>
      </c>
      <c r="H2348">
        <f t="shared" si="109"/>
        <v>3</v>
      </c>
      <c r="I2348">
        <f t="shared" si="110"/>
        <v>0</v>
      </c>
      <c r="J2348">
        <f>IF(Table1[[#This Row],[Active_months]]&gt;=1, 1, 0)</f>
        <v>1</v>
      </c>
    </row>
    <row r="2349" spans="1:10" x14ac:dyDescent="0.3">
      <c r="A2349">
        <v>122169020</v>
      </c>
      <c r="B2349" s="1">
        <v>45099</v>
      </c>
      <c r="C2349" s="1">
        <v>45100</v>
      </c>
      <c r="D2349">
        <v>39</v>
      </c>
      <c r="E2349" t="s">
        <v>6</v>
      </c>
      <c r="F2349" t="s">
        <v>7</v>
      </c>
      <c r="G2349" s="1">
        <f t="shared" si="108"/>
        <v>45100</v>
      </c>
      <c r="H2349">
        <f t="shared" si="109"/>
        <v>0</v>
      </c>
      <c r="I2349">
        <f t="shared" si="110"/>
        <v>0</v>
      </c>
      <c r="J2349">
        <f>IF(Table1[[#This Row],[Active_months]]&gt;=1, 1, 0)</f>
        <v>0</v>
      </c>
    </row>
    <row r="2350" spans="1:10" x14ac:dyDescent="0.3">
      <c r="A2350">
        <v>217628239</v>
      </c>
      <c r="B2350" s="1">
        <v>45099</v>
      </c>
      <c r="C2350" s="1">
        <v>45100</v>
      </c>
      <c r="D2350">
        <v>39</v>
      </c>
      <c r="E2350" t="s">
        <v>6</v>
      </c>
      <c r="F2350" t="s">
        <v>8</v>
      </c>
      <c r="G2350" s="1">
        <f t="shared" si="108"/>
        <v>45100</v>
      </c>
      <c r="H2350">
        <f t="shared" si="109"/>
        <v>0</v>
      </c>
      <c r="I2350">
        <f t="shared" si="110"/>
        <v>0</v>
      </c>
      <c r="J2350">
        <f>IF(Table1[[#This Row],[Active_months]]&gt;=1, 1, 0)</f>
        <v>0</v>
      </c>
    </row>
    <row r="2351" spans="1:10" x14ac:dyDescent="0.3">
      <c r="A2351">
        <v>148062219</v>
      </c>
      <c r="B2351" s="1">
        <v>45099</v>
      </c>
      <c r="C2351" s="1">
        <v>45126</v>
      </c>
      <c r="D2351">
        <v>39</v>
      </c>
      <c r="E2351" t="s">
        <v>6</v>
      </c>
      <c r="F2351" t="s">
        <v>7</v>
      </c>
      <c r="G2351" s="1">
        <f t="shared" si="108"/>
        <v>45126</v>
      </c>
      <c r="H2351">
        <f t="shared" si="109"/>
        <v>1</v>
      </c>
      <c r="I2351">
        <f t="shared" si="110"/>
        <v>0</v>
      </c>
      <c r="J2351">
        <f>IF(Table1[[#This Row],[Active_months]]&gt;=1, 1, 0)</f>
        <v>1</v>
      </c>
    </row>
    <row r="2352" spans="1:10" x14ac:dyDescent="0.3">
      <c r="A2352">
        <v>131505988</v>
      </c>
      <c r="B2352" s="1">
        <v>45099</v>
      </c>
      <c r="C2352" s="1">
        <v>45113</v>
      </c>
      <c r="D2352">
        <v>39</v>
      </c>
      <c r="E2352" t="s">
        <v>6</v>
      </c>
      <c r="F2352" t="s">
        <v>7</v>
      </c>
      <c r="G2352" s="1">
        <f t="shared" si="108"/>
        <v>45113</v>
      </c>
      <c r="H2352">
        <f t="shared" si="109"/>
        <v>1</v>
      </c>
      <c r="I2352">
        <f t="shared" si="110"/>
        <v>0</v>
      </c>
      <c r="J2352">
        <f>IF(Table1[[#This Row],[Active_months]]&gt;=1, 1, 0)</f>
        <v>1</v>
      </c>
    </row>
    <row r="2353" spans="1:10" x14ac:dyDescent="0.3">
      <c r="A2353">
        <v>215489398</v>
      </c>
      <c r="B2353" s="1">
        <v>45099</v>
      </c>
      <c r="C2353" s="1">
        <v>45099</v>
      </c>
      <c r="D2353">
        <v>39</v>
      </c>
      <c r="E2353" t="s">
        <v>6</v>
      </c>
      <c r="F2353" t="s">
        <v>7</v>
      </c>
      <c r="G2353" s="1">
        <f t="shared" si="108"/>
        <v>45099</v>
      </c>
      <c r="H2353">
        <f t="shared" si="109"/>
        <v>0</v>
      </c>
      <c r="I2353">
        <f t="shared" si="110"/>
        <v>0</v>
      </c>
      <c r="J2353">
        <f>IF(Table1[[#This Row],[Active_months]]&gt;=1, 1, 0)</f>
        <v>0</v>
      </c>
    </row>
    <row r="2354" spans="1:10" x14ac:dyDescent="0.3">
      <c r="A2354">
        <v>195285936</v>
      </c>
      <c r="B2354" s="1">
        <v>45099</v>
      </c>
      <c r="C2354" s="1">
        <v>45156</v>
      </c>
      <c r="D2354">
        <v>39</v>
      </c>
      <c r="E2354" t="s">
        <v>6</v>
      </c>
      <c r="F2354" t="s">
        <v>7</v>
      </c>
      <c r="G2354" s="1">
        <f t="shared" si="108"/>
        <v>45156</v>
      </c>
      <c r="H2354">
        <f t="shared" si="109"/>
        <v>2</v>
      </c>
      <c r="I2354">
        <f t="shared" si="110"/>
        <v>0</v>
      </c>
      <c r="J2354">
        <f>IF(Table1[[#This Row],[Active_months]]&gt;=1, 1, 0)</f>
        <v>1</v>
      </c>
    </row>
    <row r="2355" spans="1:10" x14ac:dyDescent="0.3">
      <c r="A2355">
        <v>217725764</v>
      </c>
      <c r="B2355" s="1">
        <v>45099</v>
      </c>
      <c r="C2355" s="1">
        <v>45104</v>
      </c>
      <c r="D2355">
        <v>39</v>
      </c>
      <c r="E2355" t="s">
        <v>6</v>
      </c>
      <c r="F2355" t="s">
        <v>7</v>
      </c>
      <c r="G2355" s="1">
        <f t="shared" si="108"/>
        <v>45104</v>
      </c>
      <c r="H2355">
        <f t="shared" si="109"/>
        <v>0</v>
      </c>
      <c r="I2355">
        <f t="shared" si="110"/>
        <v>0</v>
      </c>
      <c r="J2355">
        <f>IF(Table1[[#This Row],[Active_months]]&gt;=1, 1, 0)</f>
        <v>0</v>
      </c>
    </row>
    <row r="2356" spans="1:10" x14ac:dyDescent="0.3">
      <c r="A2356">
        <v>217730944</v>
      </c>
      <c r="B2356" s="1">
        <v>45099</v>
      </c>
      <c r="C2356" s="1">
        <v>45113</v>
      </c>
      <c r="D2356">
        <v>39</v>
      </c>
      <c r="E2356" t="s">
        <v>6</v>
      </c>
      <c r="F2356" t="s">
        <v>7</v>
      </c>
      <c r="G2356" s="1">
        <f t="shared" si="108"/>
        <v>45113</v>
      </c>
      <c r="H2356">
        <f t="shared" si="109"/>
        <v>1</v>
      </c>
      <c r="I2356">
        <f t="shared" si="110"/>
        <v>0</v>
      </c>
      <c r="J2356">
        <f>IF(Table1[[#This Row],[Active_months]]&gt;=1, 1, 0)</f>
        <v>1</v>
      </c>
    </row>
    <row r="2357" spans="1:10" x14ac:dyDescent="0.3">
      <c r="A2357">
        <v>205548571</v>
      </c>
      <c r="B2357" s="1">
        <v>45100</v>
      </c>
      <c r="D2357">
        <v>39</v>
      </c>
      <c r="E2357" t="s">
        <v>6</v>
      </c>
      <c r="F2357" t="s">
        <v>7</v>
      </c>
      <c r="G2357" s="1">
        <f t="shared" si="108"/>
        <v>45199</v>
      </c>
      <c r="H2357">
        <f t="shared" si="109"/>
        <v>3</v>
      </c>
      <c r="I2357">
        <f t="shared" si="110"/>
        <v>0</v>
      </c>
      <c r="J2357">
        <f>IF(Table1[[#This Row],[Active_months]]&gt;=1, 1, 0)</f>
        <v>1</v>
      </c>
    </row>
    <row r="2358" spans="1:10" x14ac:dyDescent="0.3">
      <c r="A2358">
        <v>188085249</v>
      </c>
      <c r="B2358" s="1">
        <v>45100</v>
      </c>
      <c r="D2358">
        <v>39</v>
      </c>
      <c r="E2358" t="s">
        <v>6</v>
      </c>
      <c r="F2358" t="s">
        <v>7</v>
      </c>
      <c r="G2358" s="1">
        <f t="shared" si="108"/>
        <v>45199</v>
      </c>
      <c r="H2358">
        <f t="shared" si="109"/>
        <v>3</v>
      </c>
      <c r="I2358">
        <f t="shared" si="110"/>
        <v>0</v>
      </c>
      <c r="J2358">
        <f>IF(Table1[[#This Row],[Active_months]]&gt;=1, 1, 0)</f>
        <v>1</v>
      </c>
    </row>
    <row r="2359" spans="1:10" x14ac:dyDescent="0.3">
      <c r="A2359">
        <v>206697535</v>
      </c>
      <c r="B2359" s="1">
        <v>45100</v>
      </c>
      <c r="D2359">
        <v>39</v>
      </c>
      <c r="E2359" t="s">
        <v>6</v>
      </c>
      <c r="F2359" t="s">
        <v>7</v>
      </c>
      <c r="G2359" s="1">
        <f t="shared" si="108"/>
        <v>45199</v>
      </c>
      <c r="H2359">
        <f t="shared" si="109"/>
        <v>3</v>
      </c>
      <c r="I2359">
        <f t="shared" si="110"/>
        <v>0</v>
      </c>
      <c r="J2359">
        <f>IF(Table1[[#This Row],[Active_months]]&gt;=1, 1, 0)</f>
        <v>1</v>
      </c>
    </row>
    <row r="2360" spans="1:10" x14ac:dyDescent="0.3">
      <c r="A2360">
        <v>152705871</v>
      </c>
      <c r="B2360" s="1">
        <v>45100</v>
      </c>
      <c r="D2360">
        <v>39</v>
      </c>
      <c r="E2360" t="s">
        <v>6</v>
      </c>
      <c r="F2360" t="s">
        <v>7</v>
      </c>
      <c r="G2360" s="1">
        <f t="shared" si="108"/>
        <v>45199</v>
      </c>
      <c r="H2360">
        <f t="shared" si="109"/>
        <v>3</v>
      </c>
      <c r="I2360">
        <f t="shared" si="110"/>
        <v>0</v>
      </c>
      <c r="J2360">
        <f>IF(Table1[[#This Row],[Active_months]]&gt;=1, 1, 0)</f>
        <v>1</v>
      </c>
    </row>
    <row r="2361" spans="1:10" x14ac:dyDescent="0.3">
      <c r="A2361">
        <v>216139584</v>
      </c>
      <c r="B2361" s="1">
        <v>45100</v>
      </c>
      <c r="D2361">
        <v>39</v>
      </c>
      <c r="E2361" t="s">
        <v>6</v>
      </c>
      <c r="F2361" t="s">
        <v>7</v>
      </c>
      <c r="G2361" s="1">
        <f t="shared" si="108"/>
        <v>45199</v>
      </c>
      <c r="H2361">
        <f t="shared" si="109"/>
        <v>3</v>
      </c>
      <c r="I2361">
        <f t="shared" si="110"/>
        <v>0</v>
      </c>
      <c r="J2361">
        <f>IF(Table1[[#This Row],[Active_months]]&gt;=1, 1, 0)</f>
        <v>1</v>
      </c>
    </row>
    <row r="2362" spans="1:10" x14ac:dyDescent="0.3">
      <c r="A2362">
        <v>127716285</v>
      </c>
      <c r="B2362" s="1">
        <v>45100</v>
      </c>
      <c r="D2362">
        <v>39</v>
      </c>
      <c r="E2362" t="s">
        <v>6</v>
      </c>
      <c r="F2362" t="s">
        <v>7</v>
      </c>
      <c r="G2362" s="1">
        <f t="shared" si="108"/>
        <v>45199</v>
      </c>
      <c r="H2362">
        <f t="shared" si="109"/>
        <v>3</v>
      </c>
      <c r="I2362">
        <f t="shared" si="110"/>
        <v>0</v>
      </c>
      <c r="J2362">
        <f>IF(Table1[[#This Row],[Active_months]]&gt;=1, 1, 0)</f>
        <v>1</v>
      </c>
    </row>
    <row r="2363" spans="1:10" x14ac:dyDescent="0.3">
      <c r="A2363">
        <v>138535334</v>
      </c>
      <c r="B2363" s="1">
        <v>45100</v>
      </c>
      <c r="C2363" s="1">
        <v>45161</v>
      </c>
      <c r="D2363">
        <v>39</v>
      </c>
      <c r="E2363" t="s">
        <v>6</v>
      </c>
      <c r="F2363" t="s">
        <v>7</v>
      </c>
      <c r="G2363" s="1">
        <f t="shared" si="108"/>
        <v>45161</v>
      </c>
      <c r="H2363">
        <f t="shared" si="109"/>
        <v>2</v>
      </c>
      <c r="I2363">
        <f t="shared" si="110"/>
        <v>0</v>
      </c>
      <c r="J2363">
        <f>IF(Table1[[#This Row],[Active_months]]&gt;=1, 1, 0)</f>
        <v>1</v>
      </c>
    </row>
    <row r="2364" spans="1:10" x14ac:dyDescent="0.3">
      <c r="A2364">
        <v>205869717</v>
      </c>
      <c r="B2364" s="1">
        <v>45100</v>
      </c>
      <c r="C2364" s="1">
        <v>45168</v>
      </c>
      <c r="D2364">
        <v>39</v>
      </c>
      <c r="E2364" t="s">
        <v>6</v>
      </c>
      <c r="F2364" t="s">
        <v>7</v>
      </c>
      <c r="G2364" s="1">
        <f t="shared" si="108"/>
        <v>45168</v>
      </c>
      <c r="H2364">
        <f t="shared" si="109"/>
        <v>2</v>
      </c>
      <c r="I2364">
        <f t="shared" si="110"/>
        <v>0</v>
      </c>
      <c r="J2364">
        <f>IF(Table1[[#This Row],[Active_months]]&gt;=1, 1, 0)</f>
        <v>1</v>
      </c>
    </row>
    <row r="2365" spans="1:10" x14ac:dyDescent="0.3">
      <c r="A2365">
        <v>204985013</v>
      </c>
      <c r="B2365" s="1">
        <v>45100</v>
      </c>
      <c r="C2365" s="1">
        <v>45150</v>
      </c>
      <c r="D2365">
        <v>39</v>
      </c>
      <c r="E2365" t="s">
        <v>6</v>
      </c>
      <c r="F2365" t="s">
        <v>7</v>
      </c>
      <c r="G2365" s="1">
        <f t="shared" si="108"/>
        <v>45150</v>
      </c>
      <c r="H2365">
        <f t="shared" si="109"/>
        <v>2</v>
      </c>
      <c r="I2365">
        <f t="shared" si="110"/>
        <v>0</v>
      </c>
      <c r="J2365">
        <f>IF(Table1[[#This Row],[Active_months]]&gt;=1, 1, 0)</f>
        <v>1</v>
      </c>
    </row>
    <row r="2366" spans="1:10" x14ac:dyDescent="0.3">
      <c r="A2366">
        <v>217763600</v>
      </c>
      <c r="B2366" s="1">
        <v>45101</v>
      </c>
      <c r="D2366">
        <v>39</v>
      </c>
      <c r="E2366" t="s">
        <v>6</v>
      </c>
      <c r="F2366" t="s">
        <v>7</v>
      </c>
      <c r="G2366" s="1">
        <f t="shared" si="108"/>
        <v>45199</v>
      </c>
      <c r="H2366">
        <f t="shared" si="109"/>
        <v>3</v>
      </c>
      <c r="I2366">
        <f t="shared" si="110"/>
        <v>0</v>
      </c>
      <c r="J2366">
        <f>IF(Table1[[#This Row],[Active_months]]&gt;=1, 1, 0)</f>
        <v>1</v>
      </c>
    </row>
    <row r="2367" spans="1:10" x14ac:dyDescent="0.3">
      <c r="A2367">
        <v>217808731</v>
      </c>
      <c r="B2367" s="1">
        <v>45101</v>
      </c>
      <c r="C2367" s="1">
        <v>45102</v>
      </c>
      <c r="D2367">
        <v>39</v>
      </c>
      <c r="E2367" t="s">
        <v>6</v>
      </c>
      <c r="F2367" t="s">
        <v>8</v>
      </c>
      <c r="G2367" s="1">
        <f t="shared" si="108"/>
        <v>45102</v>
      </c>
      <c r="H2367">
        <f t="shared" si="109"/>
        <v>0</v>
      </c>
      <c r="I2367">
        <f t="shared" si="110"/>
        <v>0</v>
      </c>
      <c r="J2367">
        <f>IF(Table1[[#This Row],[Active_months]]&gt;=1, 1, 0)</f>
        <v>0</v>
      </c>
    </row>
    <row r="2368" spans="1:10" x14ac:dyDescent="0.3">
      <c r="A2368">
        <v>217822232</v>
      </c>
      <c r="B2368" s="1">
        <v>45101</v>
      </c>
      <c r="C2368" s="1">
        <v>45143</v>
      </c>
      <c r="D2368">
        <v>39</v>
      </c>
      <c r="E2368" t="s">
        <v>6</v>
      </c>
      <c r="F2368" t="s">
        <v>7</v>
      </c>
      <c r="G2368" s="1">
        <f t="shared" si="108"/>
        <v>45143</v>
      </c>
      <c r="H2368">
        <f t="shared" si="109"/>
        <v>2</v>
      </c>
      <c r="I2368">
        <f t="shared" si="110"/>
        <v>0</v>
      </c>
      <c r="J2368">
        <f>IF(Table1[[#This Row],[Active_months]]&gt;=1, 1, 0)</f>
        <v>1</v>
      </c>
    </row>
    <row r="2369" spans="1:10" x14ac:dyDescent="0.3">
      <c r="A2369">
        <v>217718093</v>
      </c>
      <c r="B2369" s="1">
        <v>45102</v>
      </c>
      <c r="D2369">
        <v>39</v>
      </c>
      <c r="E2369" t="s">
        <v>6</v>
      </c>
      <c r="F2369" t="s">
        <v>7</v>
      </c>
      <c r="G2369" s="1">
        <f t="shared" si="108"/>
        <v>45199</v>
      </c>
      <c r="H2369">
        <f t="shared" si="109"/>
        <v>3</v>
      </c>
      <c r="I2369">
        <f t="shared" si="110"/>
        <v>0</v>
      </c>
      <c r="J2369">
        <f>IF(Table1[[#This Row],[Active_months]]&gt;=1, 1, 0)</f>
        <v>1</v>
      </c>
    </row>
    <row r="2370" spans="1:10" x14ac:dyDescent="0.3">
      <c r="A2370">
        <v>217555660</v>
      </c>
      <c r="B2370" s="1">
        <v>45102</v>
      </c>
      <c r="D2370">
        <v>39</v>
      </c>
      <c r="E2370" t="s">
        <v>6</v>
      </c>
      <c r="F2370" t="s">
        <v>7</v>
      </c>
      <c r="G2370" s="1">
        <f t="shared" si="108"/>
        <v>45199</v>
      </c>
      <c r="H2370">
        <f t="shared" si="109"/>
        <v>3</v>
      </c>
      <c r="I2370">
        <f t="shared" si="110"/>
        <v>0</v>
      </c>
      <c r="J2370">
        <f>IF(Table1[[#This Row],[Active_months]]&gt;=1, 1, 0)</f>
        <v>1</v>
      </c>
    </row>
    <row r="2371" spans="1:10" x14ac:dyDescent="0.3">
      <c r="A2371">
        <v>154535908</v>
      </c>
      <c r="B2371" s="1">
        <v>45102</v>
      </c>
      <c r="D2371">
        <v>39</v>
      </c>
      <c r="E2371" t="s">
        <v>6</v>
      </c>
      <c r="F2371" t="s">
        <v>7</v>
      </c>
      <c r="G2371" s="1">
        <f t="shared" ref="G2371:G2434" si="111">IF(ISBLANK(C2371), DATE(2023,9,30), C2371)</f>
        <v>45199</v>
      </c>
      <c r="H2371">
        <f t="shared" ref="H2371:H2434" si="112">(YEAR(G2371)-YEAR(B2371))*12 + (MONTH(G2371)-MONTH(B2371))</f>
        <v>3</v>
      </c>
      <c r="I2371">
        <f t="shared" ref="I2371:I2434" si="113">IF(H2371 &gt;=5, 1, 0)</f>
        <v>0</v>
      </c>
      <c r="J2371">
        <f>IF(Table1[[#This Row],[Active_months]]&gt;=1, 1, 0)</f>
        <v>1</v>
      </c>
    </row>
    <row r="2372" spans="1:10" x14ac:dyDescent="0.3">
      <c r="A2372">
        <v>217554744</v>
      </c>
      <c r="B2372" s="1">
        <v>45102</v>
      </c>
      <c r="C2372" s="1">
        <v>45139</v>
      </c>
      <c r="D2372">
        <v>39</v>
      </c>
      <c r="E2372" t="s">
        <v>6</v>
      </c>
      <c r="F2372" t="s">
        <v>7</v>
      </c>
      <c r="G2372" s="1">
        <f t="shared" si="111"/>
        <v>45139</v>
      </c>
      <c r="H2372">
        <f t="shared" si="112"/>
        <v>2</v>
      </c>
      <c r="I2372">
        <f t="shared" si="113"/>
        <v>0</v>
      </c>
      <c r="J2372">
        <f>IF(Table1[[#This Row],[Active_months]]&gt;=1, 1, 0)</f>
        <v>1</v>
      </c>
    </row>
    <row r="2373" spans="1:10" x14ac:dyDescent="0.3">
      <c r="A2373">
        <v>217877324</v>
      </c>
      <c r="B2373" s="1">
        <v>45102</v>
      </c>
      <c r="C2373" s="1">
        <v>45102</v>
      </c>
      <c r="D2373">
        <v>39</v>
      </c>
      <c r="E2373" t="s">
        <v>6</v>
      </c>
      <c r="F2373" t="s">
        <v>7</v>
      </c>
      <c r="G2373" s="1">
        <f t="shared" si="111"/>
        <v>45102</v>
      </c>
      <c r="H2373">
        <f t="shared" si="112"/>
        <v>0</v>
      </c>
      <c r="I2373">
        <f t="shared" si="113"/>
        <v>0</v>
      </c>
      <c r="J2373">
        <f>IF(Table1[[#This Row],[Active_months]]&gt;=1, 1, 0)</f>
        <v>0</v>
      </c>
    </row>
    <row r="2374" spans="1:10" x14ac:dyDescent="0.3">
      <c r="A2374">
        <v>147765298</v>
      </c>
      <c r="B2374" s="1">
        <v>45103</v>
      </c>
      <c r="D2374">
        <v>39</v>
      </c>
      <c r="E2374" t="s">
        <v>6</v>
      </c>
      <c r="F2374" t="s">
        <v>7</v>
      </c>
      <c r="G2374" s="1">
        <f t="shared" si="111"/>
        <v>45199</v>
      </c>
      <c r="H2374">
        <f t="shared" si="112"/>
        <v>3</v>
      </c>
      <c r="I2374">
        <f t="shared" si="113"/>
        <v>0</v>
      </c>
      <c r="J2374">
        <f>IF(Table1[[#This Row],[Active_months]]&gt;=1, 1, 0)</f>
        <v>1</v>
      </c>
    </row>
    <row r="2375" spans="1:10" x14ac:dyDescent="0.3">
      <c r="A2375">
        <v>217901196</v>
      </c>
      <c r="B2375" s="1">
        <v>45103</v>
      </c>
      <c r="D2375">
        <v>39</v>
      </c>
      <c r="E2375" t="s">
        <v>6</v>
      </c>
      <c r="F2375" t="s">
        <v>7</v>
      </c>
      <c r="G2375" s="1">
        <f t="shared" si="111"/>
        <v>45199</v>
      </c>
      <c r="H2375">
        <f t="shared" si="112"/>
        <v>3</v>
      </c>
      <c r="I2375">
        <f t="shared" si="113"/>
        <v>0</v>
      </c>
      <c r="J2375">
        <f>IF(Table1[[#This Row],[Active_months]]&gt;=1, 1, 0)</f>
        <v>1</v>
      </c>
    </row>
    <row r="2376" spans="1:10" x14ac:dyDescent="0.3">
      <c r="A2376">
        <v>217266939</v>
      </c>
      <c r="B2376" s="1">
        <v>45103</v>
      </c>
      <c r="D2376">
        <v>39</v>
      </c>
      <c r="E2376" t="s">
        <v>6</v>
      </c>
      <c r="F2376" t="s">
        <v>7</v>
      </c>
      <c r="G2376" s="1">
        <f t="shared" si="111"/>
        <v>45199</v>
      </c>
      <c r="H2376">
        <f t="shared" si="112"/>
        <v>3</v>
      </c>
      <c r="I2376">
        <f t="shared" si="113"/>
        <v>0</v>
      </c>
      <c r="J2376">
        <f>IF(Table1[[#This Row],[Active_months]]&gt;=1, 1, 0)</f>
        <v>1</v>
      </c>
    </row>
    <row r="2377" spans="1:10" x14ac:dyDescent="0.3">
      <c r="A2377">
        <v>204908076</v>
      </c>
      <c r="B2377" s="1">
        <v>45103</v>
      </c>
      <c r="D2377">
        <v>39</v>
      </c>
      <c r="E2377" t="s">
        <v>6</v>
      </c>
      <c r="F2377" t="s">
        <v>7</v>
      </c>
      <c r="G2377" s="1">
        <f t="shared" si="111"/>
        <v>45199</v>
      </c>
      <c r="H2377">
        <f t="shared" si="112"/>
        <v>3</v>
      </c>
      <c r="I2377">
        <f t="shared" si="113"/>
        <v>0</v>
      </c>
      <c r="J2377">
        <f>IF(Table1[[#This Row],[Active_months]]&gt;=1, 1, 0)</f>
        <v>1</v>
      </c>
    </row>
    <row r="2378" spans="1:10" x14ac:dyDescent="0.3">
      <c r="A2378">
        <v>217698784</v>
      </c>
      <c r="B2378" s="1">
        <v>45103</v>
      </c>
      <c r="D2378">
        <v>39</v>
      </c>
      <c r="E2378" t="s">
        <v>6</v>
      </c>
      <c r="F2378" t="s">
        <v>7</v>
      </c>
      <c r="G2378" s="1">
        <f t="shared" si="111"/>
        <v>45199</v>
      </c>
      <c r="H2378">
        <f t="shared" si="112"/>
        <v>3</v>
      </c>
      <c r="I2378">
        <f t="shared" si="113"/>
        <v>0</v>
      </c>
      <c r="J2378">
        <f>IF(Table1[[#This Row],[Active_months]]&gt;=1, 1, 0)</f>
        <v>1</v>
      </c>
    </row>
    <row r="2379" spans="1:10" x14ac:dyDescent="0.3">
      <c r="A2379">
        <v>217909024</v>
      </c>
      <c r="B2379" s="1">
        <v>45103</v>
      </c>
      <c r="D2379">
        <v>39</v>
      </c>
      <c r="E2379" t="s">
        <v>6</v>
      </c>
      <c r="F2379" t="s">
        <v>7</v>
      </c>
      <c r="G2379" s="1">
        <f t="shared" si="111"/>
        <v>45199</v>
      </c>
      <c r="H2379">
        <f t="shared" si="112"/>
        <v>3</v>
      </c>
      <c r="I2379">
        <f t="shared" si="113"/>
        <v>0</v>
      </c>
      <c r="J2379">
        <f>IF(Table1[[#This Row],[Active_months]]&gt;=1, 1, 0)</f>
        <v>1</v>
      </c>
    </row>
    <row r="2380" spans="1:10" x14ac:dyDescent="0.3">
      <c r="A2380">
        <v>201498671</v>
      </c>
      <c r="B2380" s="1">
        <v>45103</v>
      </c>
      <c r="D2380">
        <v>39</v>
      </c>
      <c r="E2380" t="s">
        <v>6</v>
      </c>
      <c r="F2380" t="s">
        <v>7</v>
      </c>
      <c r="G2380" s="1">
        <f t="shared" si="111"/>
        <v>45199</v>
      </c>
      <c r="H2380">
        <f t="shared" si="112"/>
        <v>3</v>
      </c>
      <c r="I2380">
        <f t="shared" si="113"/>
        <v>0</v>
      </c>
      <c r="J2380">
        <f>IF(Table1[[#This Row],[Active_months]]&gt;=1, 1, 0)</f>
        <v>1</v>
      </c>
    </row>
    <row r="2381" spans="1:10" x14ac:dyDescent="0.3">
      <c r="A2381">
        <v>217902650</v>
      </c>
      <c r="B2381" s="1">
        <v>45103</v>
      </c>
      <c r="D2381">
        <v>39</v>
      </c>
      <c r="E2381" t="s">
        <v>6</v>
      </c>
      <c r="F2381" t="s">
        <v>7</v>
      </c>
      <c r="G2381" s="1">
        <f t="shared" si="111"/>
        <v>45199</v>
      </c>
      <c r="H2381">
        <f t="shared" si="112"/>
        <v>3</v>
      </c>
      <c r="I2381">
        <f t="shared" si="113"/>
        <v>0</v>
      </c>
      <c r="J2381">
        <f>IF(Table1[[#This Row],[Active_months]]&gt;=1, 1, 0)</f>
        <v>1</v>
      </c>
    </row>
    <row r="2382" spans="1:10" x14ac:dyDescent="0.3">
      <c r="A2382">
        <v>217896282</v>
      </c>
      <c r="B2382" s="1">
        <v>45103</v>
      </c>
      <c r="D2382">
        <v>39</v>
      </c>
      <c r="E2382" t="s">
        <v>6</v>
      </c>
      <c r="F2382" t="s">
        <v>7</v>
      </c>
      <c r="G2382" s="1">
        <f t="shared" si="111"/>
        <v>45199</v>
      </c>
      <c r="H2382">
        <f t="shared" si="112"/>
        <v>3</v>
      </c>
      <c r="I2382">
        <f t="shared" si="113"/>
        <v>0</v>
      </c>
      <c r="J2382">
        <f>IF(Table1[[#This Row],[Active_months]]&gt;=1, 1, 0)</f>
        <v>1</v>
      </c>
    </row>
    <row r="2383" spans="1:10" x14ac:dyDescent="0.3">
      <c r="A2383">
        <v>217337901</v>
      </c>
      <c r="B2383" s="1">
        <v>45103</v>
      </c>
      <c r="D2383">
        <v>39</v>
      </c>
      <c r="E2383" t="s">
        <v>6</v>
      </c>
      <c r="F2383" t="s">
        <v>7</v>
      </c>
      <c r="G2383" s="1">
        <f t="shared" si="111"/>
        <v>45199</v>
      </c>
      <c r="H2383">
        <f t="shared" si="112"/>
        <v>3</v>
      </c>
      <c r="I2383">
        <f t="shared" si="113"/>
        <v>0</v>
      </c>
      <c r="J2383">
        <f>IF(Table1[[#This Row],[Active_months]]&gt;=1, 1, 0)</f>
        <v>1</v>
      </c>
    </row>
    <row r="2384" spans="1:10" x14ac:dyDescent="0.3">
      <c r="A2384">
        <v>217477535</v>
      </c>
      <c r="B2384" s="1">
        <v>45103</v>
      </c>
      <c r="D2384">
        <v>39</v>
      </c>
      <c r="E2384" t="s">
        <v>6</v>
      </c>
      <c r="F2384" t="s">
        <v>7</v>
      </c>
      <c r="G2384" s="1">
        <f t="shared" si="111"/>
        <v>45199</v>
      </c>
      <c r="H2384">
        <f t="shared" si="112"/>
        <v>3</v>
      </c>
      <c r="I2384">
        <f t="shared" si="113"/>
        <v>0</v>
      </c>
      <c r="J2384">
        <f>IF(Table1[[#This Row],[Active_months]]&gt;=1, 1, 0)</f>
        <v>1</v>
      </c>
    </row>
    <row r="2385" spans="1:10" x14ac:dyDescent="0.3">
      <c r="A2385">
        <v>217885621</v>
      </c>
      <c r="B2385" s="1">
        <v>45103</v>
      </c>
      <c r="D2385">
        <v>39</v>
      </c>
      <c r="E2385" t="s">
        <v>6</v>
      </c>
      <c r="F2385" t="s">
        <v>7</v>
      </c>
      <c r="G2385" s="1">
        <f t="shared" si="111"/>
        <v>45199</v>
      </c>
      <c r="H2385">
        <f t="shared" si="112"/>
        <v>3</v>
      </c>
      <c r="I2385">
        <f t="shared" si="113"/>
        <v>0</v>
      </c>
      <c r="J2385">
        <f>IF(Table1[[#This Row],[Active_months]]&gt;=1, 1, 0)</f>
        <v>1</v>
      </c>
    </row>
    <row r="2386" spans="1:10" x14ac:dyDescent="0.3">
      <c r="A2386">
        <v>217714764</v>
      </c>
      <c r="B2386" s="1">
        <v>45103</v>
      </c>
      <c r="D2386">
        <v>39</v>
      </c>
      <c r="E2386" t="s">
        <v>6</v>
      </c>
      <c r="F2386" t="s">
        <v>7</v>
      </c>
      <c r="G2386" s="1">
        <f t="shared" si="111"/>
        <v>45199</v>
      </c>
      <c r="H2386">
        <f t="shared" si="112"/>
        <v>3</v>
      </c>
      <c r="I2386">
        <f t="shared" si="113"/>
        <v>0</v>
      </c>
      <c r="J2386">
        <f>IF(Table1[[#This Row],[Active_months]]&gt;=1, 1, 0)</f>
        <v>1</v>
      </c>
    </row>
    <row r="2387" spans="1:10" x14ac:dyDescent="0.3">
      <c r="A2387">
        <v>217335548</v>
      </c>
      <c r="B2387" s="1">
        <v>45103</v>
      </c>
      <c r="C2387" s="1">
        <v>45175</v>
      </c>
      <c r="D2387">
        <v>39</v>
      </c>
      <c r="E2387" t="s">
        <v>6</v>
      </c>
      <c r="F2387" t="s">
        <v>7</v>
      </c>
      <c r="G2387" s="1">
        <f t="shared" si="111"/>
        <v>45175</v>
      </c>
      <c r="H2387">
        <f t="shared" si="112"/>
        <v>3</v>
      </c>
      <c r="I2387">
        <f t="shared" si="113"/>
        <v>0</v>
      </c>
      <c r="J2387">
        <f>IF(Table1[[#This Row],[Active_months]]&gt;=1, 1, 0)</f>
        <v>1</v>
      </c>
    </row>
    <row r="2388" spans="1:10" x14ac:dyDescent="0.3">
      <c r="A2388">
        <v>129747676</v>
      </c>
      <c r="B2388" s="1">
        <v>45103</v>
      </c>
      <c r="C2388" s="1">
        <v>45104</v>
      </c>
      <c r="D2388">
        <v>39</v>
      </c>
      <c r="E2388" t="s">
        <v>6</v>
      </c>
      <c r="F2388" t="s">
        <v>7</v>
      </c>
      <c r="G2388" s="1">
        <f t="shared" si="111"/>
        <v>45104</v>
      </c>
      <c r="H2388">
        <f t="shared" si="112"/>
        <v>0</v>
      </c>
      <c r="I2388">
        <f t="shared" si="113"/>
        <v>0</v>
      </c>
      <c r="J2388">
        <f>IF(Table1[[#This Row],[Active_months]]&gt;=1, 1, 0)</f>
        <v>0</v>
      </c>
    </row>
    <row r="2389" spans="1:10" x14ac:dyDescent="0.3">
      <c r="A2389">
        <v>217846698</v>
      </c>
      <c r="B2389" s="1">
        <v>45103</v>
      </c>
      <c r="C2389" s="1">
        <v>45104</v>
      </c>
      <c r="D2389">
        <v>39</v>
      </c>
      <c r="E2389" t="s">
        <v>6</v>
      </c>
      <c r="F2389" t="s">
        <v>8</v>
      </c>
      <c r="G2389" s="1">
        <f t="shared" si="111"/>
        <v>45104</v>
      </c>
      <c r="H2389">
        <f t="shared" si="112"/>
        <v>0</v>
      </c>
      <c r="I2389">
        <f t="shared" si="113"/>
        <v>0</v>
      </c>
      <c r="J2389">
        <f>IF(Table1[[#This Row],[Active_months]]&gt;=1, 1, 0)</f>
        <v>0</v>
      </c>
    </row>
    <row r="2390" spans="1:10" x14ac:dyDescent="0.3">
      <c r="A2390">
        <v>217965791</v>
      </c>
      <c r="B2390" s="1">
        <v>45104</v>
      </c>
      <c r="D2390">
        <v>39</v>
      </c>
      <c r="E2390" t="s">
        <v>6</v>
      </c>
      <c r="F2390" t="s">
        <v>7</v>
      </c>
      <c r="G2390" s="1">
        <f t="shared" si="111"/>
        <v>45199</v>
      </c>
      <c r="H2390">
        <f t="shared" si="112"/>
        <v>3</v>
      </c>
      <c r="I2390">
        <f t="shared" si="113"/>
        <v>0</v>
      </c>
      <c r="J2390">
        <f>IF(Table1[[#This Row],[Active_months]]&gt;=1, 1, 0)</f>
        <v>1</v>
      </c>
    </row>
    <row r="2391" spans="1:10" x14ac:dyDescent="0.3">
      <c r="A2391">
        <v>217851124</v>
      </c>
      <c r="B2391" s="1">
        <v>45104</v>
      </c>
      <c r="D2391">
        <v>39</v>
      </c>
      <c r="E2391" t="s">
        <v>6</v>
      </c>
      <c r="F2391" t="s">
        <v>7</v>
      </c>
      <c r="G2391" s="1">
        <f t="shared" si="111"/>
        <v>45199</v>
      </c>
      <c r="H2391">
        <f t="shared" si="112"/>
        <v>3</v>
      </c>
      <c r="I2391">
        <f t="shared" si="113"/>
        <v>0</v>
      </c>
      <c r="J2391">
        <f>IF(Table1[[#This Row],[Active_months]]&gt;=1, 1, 0)</f>
        <v>1</v>
      </c>
    </row>
    <row r="2392" spans="1:10" x14ac:dyDescent="0.3">
      <c r="A2392">
        <v>217861903</v>
      </c>
      <c r="B2392" s="1">
        <v>45104</v>
      </c>
      <c r="D2392">
        <v>39</v>
      </c>
      <c r="E2392" t="s">
        <v>6</v>
      </c>
      <c r="F2392" t="s">
        <v>7</v>
      </c>
      <c r="G2392" s="1">
        <f t="shared" si="111"/>
        <v>45199</v>
      </c>
      <c r="H2392">
        <f t="shared" si="112"/>
        <v>3</v>
      </c>
      <c r="I2392">
        <f t="shared" si="113"/>
        <v>0</v>
      </c>
      <c r="J2392">
        <f>IF(Table1[[#This Row],[Active_months]]&gt;=1, 1, 0)</f>
        <v>1</v>
      </c>
    </row>
    <row r="2393" spans="1:10" x14ac:dyDescent="0.3">
      <c r="A2393">
        <v>217660423</v>
      </c>
      <c r="B2393" s="1">
        <v>45104</v>
      </c>
      <c r="D2393">
        <v>39</v>
      </c>
      <c r="E2393" t="s">
        <v>6</v>
      </c>
      <c r="F2393" t="s">
        <v>7</v>
      </c>
      <c r="G2393" s="1">
        <f t="shared" si="111"/>
        <v>45199</v>
      </c>
      <c r="H2393">
        <f t="shared" si="112"/>
        <v>3</v>
      </c>
      <c r="I2393">
        <f t="shared" si="113"/>
        <v>0</v>
      </c>
      <c r="J2393">
        <f>IF(Table1[[#This Row],[Active_months]]&gt;=1, 1, 0)</f>
        <v>1</v>
      </c>
    </row>
    <row r="2394" spans="1:10" x14ac:dyDescent="0.3">
      <c r="A2394">
        <v>217814342</v>
      </c>
      <c r="B2394" s="1">
        <v>45104</v>
      </c>
      <c r="D2394">
        <v>39</v>
      </c>
      <c r="E2394" t="s">
        <v>6</v>
      </c>
      <c r="F2394" t="s">
        <v>7</v>
      </c>
      <c r="G2394" s="1">
        <f t="shared" si="111"/>
        <v>45199</v>
      </c>
      <c r="H2394">
        <f t="shared" si="112"/>
        <v>3</v>
      </c>
      <c r="I2394">
        <f t="shared" si="113"/>
        <v>0</v>
      </c>
      <c r="J2394">
        <f>IF(Table1[[#This Row],[Active_months]]&gt;=1, 1, 0)</f>
        <v>1</v>
      </c>
    </row>
    <row r="2395" spans="1:10" x14ac:dyDescent="0.3">
      <c r="A2395">
        <v>157548765</v>
      </c>
      <c r="B2395" s="1">
        <v>45104</v>
      </c>
      <c r="C2395" s="1">
        <v>45105</v>
      </c>
      <c r="D2395">
        <v>39</v>
      </c>
      <c r="E2395" t="s">
        <v>6</v>
      </c>
      <c r="F2395" t="s">
        <v>8</v>
      </c>
      <c r="G2395" s="1">
        <f t="shared" si="111"/>
        <v>45105</v>
      </c>
      <c r="H2395">
        <f t="shared" si="112"/>
        <v>0</v>
      </c>
      <c r="I2395">
        <f t="shared" si="113"/>
        <v>0</v>
      </c>
      <c r="J2395">
        <f>IF(Table1[[#This Row],[Active_months]]&gt;=1, 1, 0)</f>
        <v>0</v>
      </c>
    </row>
    <row r="2396" spans="1:10" x14ac:dyDescent="0.3">
      <c r="A2396">
        <v>217934288</v>
      </c>
      <c r="B2396" s="1">
        <v>45104</v>
      </c>
      <c r="C2396" s="1">
        <v>45105</v>
      </c>
      <c r="D2396">
        <v>39</v>
      </c>
      <c r="E2396" t="s">
        <v>6</v>
      </c>
      <c r="F2396" t="s">
        <v>8</v>
      </c>
      <c r="G2396" s="1">
        <f t="shared" si="111"/>
        <v>45105</v>
      </c>
      <c r="H2396">
        <f t="shared" si="112"/>
        <v>0</v>
      </c>
      <c r="I2396">
        <f t="shared" si="113"/>
        <v>0</v>
      </c>
      <c r="J2396">
        <f>IF(Table1[[#This Row],[Active_months]]&gt;=1, 1, 0)</f>
        <v>0</v>
      </c>
    </row>
    <row r="2397" spans="1:10" x14ac:dyDescent="0.3">
      <c r="A2397">
        <v>217855786</v>
      </c>
      <c r="B2397" s="1">
        <v>45104</v>
      </c>
      <c r="C2397" s="1">
        <v>45105</v>
      </c>
      <c r="D2397">
        <v>39</v>
      </c>
      <c r="E2397" t="s">
        <v>6</v>
      </c>
      <c r="F2397" t="s">
        <v>8</v>
      </c>
      <c r="G2397" s="1">
        <f t="shared" si="111"/>
        <v>45105</v>
      </c>
      <c r="H2397">
        <f t="shared" si="112"/>
        <v>0</v>
      </c>
      <c r="I2397">
        <f t="shared" si="113"/>
        <v>0</v>
      </c>
      <c r="J2397">
        <f>IF(Table1[[#This Row],[Active_months]]&gt;=1, 1, 0)</f>
        <v>0</v>
      </c>
    </row>
    <row r="2398" spans="1:10" x14ac:dyDescent="0.3">
      <c r="A2398">
        <v>131753677</v>
      </c>
      <c r="B2398" s="1">
        <v>45104</v>
      </c>
      <c r="C2398" s="1">
        <v>45153</v>
      </c>
      <c r="D2398">
        <v>39</v>
      </c>
      <c r="E2398" t="s">
        <v>6</v>
      </c>
      <c r="F2398" t="s">
        <v>7</v>
      </c>
      <c r="G2398" s="1">
        <f t="shared" si="111"/>
        <v>45153</v>
      </c>
      <c r="H2398">
        <f t="shared" si="112"/>
        <v>2</v>
      </c>
      <c r="I2398">
        <f t="shared" si="113"/>
        <v>0</v>
      </c>
      <c r="J2398">
        <f>IF(Table1[[#This Row],[Active_months]]&gt;=1, 1, 0)</f>
        <v>1</v>
      </c>
    </row>
    <row r="2399" spans="1:10" x14ac:dyDescent="0.3">
      <c r="A2399">
        <v>215963364</v>
      </c>
      <c r="B2399" s="1">
        <v>45104</v>
      </c>
      <c r="C2399" s="1">
        <v>45172</v>
      </c>
      <c r="D2399">
        <v>39</v>
      </c>
      <c r="E2399" t="s">
        <v>6</v>
      </c>
      <c r="F2399" t="s">
        <v>7</v>
      </c>
      <c r="G2399" s="1">
        <f t="shared" si="111"/>
        <v>45172</v>
      </c>
      <c r="H2399">
        <f t="shared" si="112"/>
        <v>3</v>
      </c>
      <c r="I2399">
        <f t="shared" si="113"/>
        <v>0</v>
      </c>
      <c r="J2399">
        <f>IF(Table1[[#This Row],[Active_months]]&gt;=1, 1, 0)</f>
        <v>1</v>
      </c>
    </row>
    <row r="2400" spans="1:10" x14ac:dyDescent="0.3">
      <c r="A2400">
        <v>217971206</v>
      </c>
      <c r="B2400" s="1">
        <v>45104</v>
      </c>
      <c r="C2400" s="1">
        <v>45125</v>
      </c>
      <c r="D2400">
        <v>39</v>
      </c>
      <c r="E2400" t="s">
        <v>6</v>
      </c>
      <c r="F2400" t="s">
        <v>7</v>
      </c>
      <c r="G2400" s="1">
        <f t="shared" si="111"/>
        <v>45125</v>
      </c>
      <c r="H2400">
        <f t="shared" si="112"/>
        <v>1</v>
      </c>
      <c r="I2400">
        <f t="shared" si="113"/>
        <v>0</v>
      </c>
      <c r="J2400">
        <f>IF(Table1[[#This Row],[Active_months]]&gt;=1, 1, 0)</f>
        <v>1</v>
      </c>
    </row>
    <row r="2401" spans="1:10" x14ac:dyDescent="0.3">
      <c r="A2401">
        <v>217943053</v>
      </c>
      <c r="B2401" s="1">
        <v>45104</v>
      </c>
      <c r="C2401" s="1">
        <v>45124</v>
      </c>
      <c r="D2401">
        <v>39</v>
      </c>
      <c r="E2401" t="s">
        <v>6</v>
      </c>
      <c r="F2401" t="s">
        <v>7</v>
      </c>
      <c r="G2401" s="1">
        <f t="shared" si="111"/>
        <v>45124</v>
      </c>
      <c r="H2401">
        <f t="shared" si="112"/>
        <v>1</v>
      </c>
      <c r="I2401">
        <f t="shared" si="113"/>
        <v>0</v>
      </c>
      <c r="J2401">
        <f>IF(Table1[[#This Row],[Active_months]]&gt;=1, 1, 0)</f>
        <v>1</v>
      </c>
    </row>
    <row r="2402" spans="1:10" x14ac:dyDescent="0.3">
      <c r="A2402">
        <v>218004764</v>
      </c>
      <c r="B2402" s="1">
        <v>45105</v>
      </c>
      <c r="D2402">
        <v>39</v>
      </c>
      <c r="E2402" t="s">
        <v>6</v>
      </c>
      <c r="F2402" t="s">
        <v>7</v>
      </c>
      <c r="G2402" s="1">
        <f t="shared" si="111"/>
        <v>45199</v>
      </c>
      <c r="H2402">
        <f t="shared" si="112"/>
        <v>3</v>
      </c>
      <c r="I2402">
        <f t="shared" si="113"/>
        <v>0</v>
      </c>
      <c r="J2402">
        <f>IF(Table1[[#This Row],[Active_months]]&gt;=1, 1, 0)</f>
        <v>1</v>
      </c>
    </row>
    <row r="2403" spans="1:10" x14ac:dyDescent="0.3">
      <c r="A2403">
        <v>217768772</v>
      </c>
      <c r="B2403" s="1">
        <v>45105</v>
      </c>
      <c r="D2403">
        <v>39</v>
      </c>
      <c r="E2403" t="s">
        <v>6</v>
      </c>
      <c r="F2403" t="s">
        <v>7</v>
      </c>
      <c r="G2403" s="1">
        <f t="shared" si="111"/>
        <v>45199</v>
      </c>
      <c r="H2403">
        <f t="shared" si="112"/>
        <v>3</v>
      </c>
      <c r="I2403">
        <f t="shared" si="113"/>
        <v>0</v>
      </c>
      <c r="J2403">
        <f>IF(Table1[[#This Row],[Active_months]]&gt;=1, 1, 0)</f>
        <v>1</v>
      </c>
    </row>
    <row r="2404" spans="1:10" x14ac:dyDescent="0.3">
      <c r="A2404">
        <v>216775344</v>
      </c>
      <c r="B2404" s="1">
        <v>45105</v>
      </c>
      <c r="D2404">
        <v>39</v>
      </c>
      <c r="E2404" t="s">
        <v>6</v>
      </c>
      <c r="F2404" t="s">
        <v>7</v>
      </c>
      <c r="G2404" s="1">
        <f t="shared" si="111"/>
        <v>45199</v>
      </c>
      <c r="H2404">
        <f t="shared" si="112"/>
        <v>3</v>
      </c>
      <c r="I2404">
        <f t="shared" si="113"/>
        <v>0</v>
      </c>
      <c r="J2404">
        <f>IF(Table1[[#This Row],[Active_months]]&gt;=1, 1, 0)</f>
        <v>1</v>
      </c>
    </row>
    <row r="2405" spans="1:10" x14ac:dyDescent="0.3">
      <c r="A2405">
        <v>135364787</v>
      </c>
      <c r="B2405" s="1">
        <v>45105</v>
      </c>
      <c r="D2405">
        <v>39</v>
      </c>
      <c r="E2405" t="s">
        <v>6</v>
      </c>
      <c r="F2405" t="s">
        <v>7</v>
      </c>
      <c r="G2405" s="1">
        <f t="shared" si="111"/>
        <v>45199</v>
      </c>
      <c r="H2405">
        <f t="shared" si="112"/>
        <v>3</v>
      </c>
      <c r="I2405">
        <f t="shared" si="113"/>
        <v>0</v>
      </c>
      <c r="J2405">
        <f>IF(Table1[[#This Row],[Active_months]]&gt;=1, 1, 0)</f>
        <v>1</v>
      </c>
    </row>
    <row r="2406" spans="1:10" x14ac:dyDescent="0.3">
      <c r="A2406">
        <v>148107179</v>
      </c>
      <c r="B2406" s="1">
        <v>45105</v>
      </c>
      <c r="C2406" s="1">
        <v>45142</v>
      </c>
      <c r="D2406">
        <v>39</v>
      </c>
      <c r="E2406" t="s">
        <v>6</v>
      </c>
      <c r="F2406" t="s">
        <v>7</v>
      </c>
      <c r="G2406" s="1">
        <f t="shared" si="111"/>
        <v>45142</v>
      </c>
      <c r="H2406">
        <f t="shared" si="112"/>
        <v>2</v>
      </c>
      <c r="I2406">
        <f t="shared" si="113"/>
        <v>0</v>
      </c>
      <c r="J2406">
        <f>IF(Table1[[#This Row],[Active_months]]&gt;=1, 1, 0)</f>
        <v>1</v>
      </c>
    </row>
    <row r="2407" spans="1:10" x14ac:dyDescent="0.3">
      <c r="A2407">
        <v>215904194</v>
      </c>
      <c r="B2407" s="1">
        <v>45105</v>
      </c>
      <c r="C2407" s="1">
        <v>45129</v>
      </c>
      <c r="D2407">
        <v>39</v>
      </c>
      <c r="E2407" t="s">
        <v>6</v>
      </c>
      <c r="F2407" t="s">
        <v>7</v>
      </c>
      <c r="G2407" s="1">
        <f t="shared" si="111"/>
        <v>45129</v>
      </c>
      <c r="H2407">
        <f t="shared" si="112"/>
        <v>1</v>
      </c>
      <c r="I2407">
        <f t="shared" si="113"/>
        <v>0</v>
      </c>
      <c r="J2407">
        <f>IF(Table1[[#This Row],[Active_months]]&gt;=1, 1, 0)</f>
        <v>1</v>
      </c>
    </row>
    <row r="2408" spans="1:10" x14ac:dyDescent="0.3">
      <c r="A2408">
        <v>217988577</v>
      </c>
      <c r="B2408" s="1">
        <v>45105</v>
      </c>
      <c r="C2408" s="1">
        <v>45133</v>
      </c>
      <c r="D2408">
        <v>39</v>
      </c>
      <c r="E2408" t="s">
        <v>6</v>
      </c>
      <c r="F2408" t="s">
        <v>7</v>
      </c>
      <c r="G2408" s="1">
        <f t="shared" si="111"/>
        <v>45133</v>
      </c>
      <c r="H2408">
        <f t="shared" si="112"/>
        <v>1</v>
      </c>
      <c r="I2408">
        <f t="shared" si="113"/>
        <v>0</v>
      </c>
      <c r="J2408">
        <f>IF(Table1[[#This Row],[Active_months]]&gt;=1, 1, 0)</f>
        <v>1</v>
      </c>
    </row>
    <row r="2409" spans="1:10" x14ac:dyDescent="0.3">
      <c r="A2409">
        <v>146124679</v>
      </c>
      <c r="B2409" s="1">
        <v>45105</v>
      </c>
      <c r="C2409" s="1">
        <v>45135</v>
      </c>
      <c r="D2409">
        <v>39</v>
      </c>
      <c r="E2409" t="s">
        <v>6</v>
      </c>
      <c r="F2409" t="s">
        <v>7</v>
      </c>
      <c r="G2409" s="1">
        <f t="shared" si="111"/>
        <v>45135</v>
      </c>
      <c r="H2409">
        <f t="shared" si="112"/>
        <v>1</v>
      </c>
      <c r="I2409">
        <f t="shared" si="113"/>
        <v>0</v>
      </c>
      <c r="J2409">
        <f>IF(Table1[[#This Row],[Active_months]]&gt;=1, 1, 0)</f>
        <v>1</v>
      </c>
    </row>
    <row r="2410" spans="1:10" x14ac:dyDescent="0.3">
      <c r="A2410">
        <v>217819772</v>
      </c>
      <c r="B2410" s="1">
        <v>45106</v>
      </c>
      <c r="D2410">
        <v>39</v>
      </c>
      <c r="E2410" t="s">
        <v>6</v>
      </c>
      <c r="F2410" t="s">
        <v>7</v>
      </c>
      <c r="G2410" s="1">
        <f t="shared" si="111"/>
        <v>45199</v>
      </c>
      <c r="H2410">
        <f t="shared" si="112"/>
        <v>3</v>
      </c>
      <c r="I2410">
        <f t="shared" si="113"/>
        <v>0</v>
      </c>
      <c r="J2410">
        <f>IF(Table1[[#This Row],[Active_months]]&gt;=1, 1, 0)</f>
        <v>1</v>
      </c>
    </row>
    <row r="2411" spans="1:10" x14ac:dyDescent="0.3">
      <c r="A2411">
        <v>217996629</v>
      </c>
      <c r="B2411" s="1">
        <v>45106</v>
      </c>
      <c r="D2411">
        <v>39</v>
      </c>
      <c r="E2411" t="s">
        <v>6</v>
      </c>
      <c r="F2411" t="s">
        <v>7</v>
      </c>
      <c r="G2411" s="1">
        <f t="shared" si="111"/>
        <v>45199</v>
      </c>
      <c r="H2411">
        <f t="shared" si="112"/>
        <v>3</v>
      </c>
      <c r="I2411">
        <f t="shared" si="113"/>
        <v>0</v>
      </c>
      <c r="J2411">
        <f>IF(Table1[[#This Row],[Active_months]]&gt;=1, 1, 0)</f>
        <v>1</v>
      </c>
    </row>
    <row r="2412" spans="1:10" x14ac:dyDescent="0.3">
      <c r="A2412">
        <v>152621756</v>
      </c>
      <c r="B2412" s="1">
        <v>45106</v>
      </c>
      <c r="D2412">
        <v>39</v>
      </c>
      <c r="E2412" t="s">
        <v>6</v>
      </c>
      <c r="F2412" t="s">
        <v>7</v>
      </c>
      <c r="G2412" s="1">
        <f t="shared" si="111"/>
        <v>45199</v>
      </c>
      <c r="H2412">
        <f t="shared" si="112"/>
        <v>3</v>
      </c>
      <c r="I2412">
        <f t="shared" si="113"/>
        <v>0</v>
      </c>
      <c r="J2412">
        <f>IF(Table1[[#This Row],[Active_months]]&gt;=1, 1, 0)</f>
        <v>1</v>
      </c>
    </row>
    <row r="2413" spans="1:10" x14ac:dyDescent="0.3">
      <c r="A2413">
        <v>218006807</v>
      </c>
      <c r="B2413" s="1">
        <v>45106</v>
      </c>
      <c r="D2413">
        <v>39</v>
      </c>
      <c r="E2413" t="s">
        <v>6</v>
      </c>
      <c r="F2413" t="s">
        <v>7</v>
      </c>
      <c r="G2413" s="1">
        <f t="shared" si="111"/>
        <v>45199</v>
      </c>
      <c r="H2413">
        <f t="shared" si="112"/>
        <v>3</v>
      </c>
      <c r="I2413">
        <f t="shared" si="113"/>
        <v>0</v>
      </c>
      <c r="J2413">
        <f>IF(Table1[[#This Row],[Active_months]]&gt;=1, 1, 0)</f>
        <v>1</v>
      </c>
    </row>
    <row r="2414" spans="1:10" x14ac:dyDescent="0.3">
      <c r="A2414">
        <v>218045202</v>
      </c>
      <c r="B2414" s="1">
        <v>45106</v>
      </c>
      <c r="C2414" s="1">
        <v>45167</v>
      </c>
      <c r="D2414">
        <v>39</v>
      </c>
      <c r="E2414" t="s">
        <v>6</v>
      </c>
      <c r="F2414" t="s">
        <v>7</v>
      </c>
      <c r="G2414" s="1">
        <f t="shared" si="111"/>
        <v>45167</v>
      </c>
      <c r="H2414">
        <f t="shared" si="112"/>
        <v>2</v>
      </c>
      <c r="I2414">
        <f t="shared" si="113"/>
        <v>0</v>
      </c>
      <c r="J2414">
        <f>IF(Table1[[#This Row],[Active_months]]&gt;=1, 1, 0)</f>
        <v>1</v>
      </c>
    </row>
    <row r="2415" spans="1:10" x14ac:dyDescent="0.3">
      <c r="A2415">
        <v>122215146</v>
      </c>
      <c r="B2415" s="1">
        <v>45106</v>
      </c>
      <c r="C2415" s="1">
        <v>45151</v>
      </c>
      <c r="D2415">
        <v>39</v>
      </c>
      <c r="E2415" t="s">
        <v>6</v>
      </c>
      <c r="F2415" t="s">
        <v>7</v>
      </c>
      <c r="G2415" s="1">
        <f t="shared" si="111"/>
        <v>45151</v>
      </c>
      <c r="H2415">
        <f t="shared" si="112"/>
        <v>2</v>
      </c>
      <c r="I2415">
        <f t="shared" si="113"/>
        <v>0</v>
      </c>
      <c r="J2415">
        <f>IF(Table1[[#This Row],[Active_months]]&gt;=1, 1, 0)</f>
        <v>1</v>
      </c>
    </row>
    <row r="2416" spans="1:10" x14ac:dyDescent="0.3">
      <c r="A2416">
        <v>218003864</v>
      </c>
      <c r="B2416" s="1">
        <v>45106</v>
      </c>
      <c r="C2416" s="1">
        <v>45135</v>
      </c>
      <c r="D2416">
        <v>39</v>
      </c>
      <c r="E2416" t="s">
        <v>6</v>
      </c>
      <c r="F2416" t="s">
        <v>7</v>
      </c>
      <c r="G2416" s="1">
        <f t="shared" si="111"/>
        <v>45135</v>
      </c>
      <c r="H2416">
        <f t="shared" si="112"/>
        <v>1</v>
      </c>
      <c r="I2416">
        <f t="shared" si="113"/>
        <v>0</v>
      </c>
      <c r="J2416">
        <f>IF(Table1[[#This Row],[Active_months]]&gt;=1, 1, 0)</f>
        <v>1</v>
      </c>
    </row>
    <row r="2417" spans="1:10" x14ac:dyDescent="0.3">
      <c r="A2417">
        <v>218088770</v>
      </c>
      <c r="B2417" s="1">
        <v>45107</v>
      </c>
      <c r="D2417">
        <v>39</v>
      </c>
      <c r="E2417" t="s">
        <v>6</v>
      </c>
      <c r="F2417" t="s">
        <v>7</v>
      </c>
      <c r="G2417" s="1">
        <f t="shared" si="111"/>
        <v>45199</v>
      </c>
      <c r="H2417">
        <f t="shared" si="112"/>
        <v>3</v>
      </c>
      <c r="I2417">
        <f t="shared" si="113"/>
        <v>0</v>
      </c>
      <c r="J2417">
        <f>IF(Table1[[#This Row],[Active_months]]&gt;=1, 1, 0)</f>
        <v>1</v>
      </c>
    </row>
    <row r="2418" spans="1:10" x14ac:dyDescent="0.3">
      <c r="A2418">
        <v>217856893</v>
      </c>
      <c r="B2418" s="1">
        <v>45107</v>
      </c>
      <c r="D2418">
        <v>39</v>
      </c>
      <c r="E2418" t="s">
        <v>6</v>
      </c>
      <c r="F2418" t="s">
        <v>7</v>
      </c>
      <c r="G2418" s="1">
        <f t="shared" si="111"/>
        <v>45199</v>
      </c>
      <c r="H2418">
        <f t="shared" si="112"/>
        <v>3</v>
      </c>
      <c r="I2418">
        <f t="shared" si="113"/>
        <v>0</v>
      </c>
      <c r="J2418">
        <f>IF(Table1[[#This Row],[Active_months]]&gt;=1, 1, 0)</f>
        <v>1</v>
      </c>
    </row>
    <row r="2419" spans="1:10" x14ac:dyDescent="0.3">
      <c r="A2419">
        <v>156054912</v>
      </c>
      <c r="B2419" s="1">
        <v>45107</v>
      </c>
      <c r="D2419">
        <v>39</v>
      </c>
      <c r="E2419" t="s">
        <v>6</v>
      </c>
      <c r="F2419" t="s">
        <v>7</v>
      </c>
      <c r="G2419" s="1">
        <f t="shared" si="111"/>
        <v>45199</v>
      </c>
      <c r="H2419">
        <f t="shared" si="112"/>
        <v>3</v>
      </c>
      <c r="I2419">
        <f t="shared" si="113"/>
        <v>0</v>
      </c>
      <c r="J2419">
        <f>IF(Table1[[#This Row],[Active_months]]&gt;=1, 1, 0)</f>
        <v>1</v>
      </c>
    </row>
    <row r="2420" spans="1:10" x14ac:dyDescent="0.3">
      <c r="A2420">
        <v>218059054</v>
      </c>
      <c r="B2420" s="1">
        <v>45107</v>
      </c>
      <c r="D2420">
        <v>39</v>
      </c>
      <c r="E2420" t="s">
        <v>6</v>
      </c>
      <c r="F2420" t="s">
        <v>7</v>
      </c>
      <c r="G2420" s="1">
        <f t="shared" si="111"/>
        <v>45199</v>
      </c>
      <c r="H2420">
        <f t="shared" si="112"/>
        <v>3</v>
      </c>
      <c r="I2420">
        <f t="shared" si="113"/>
        <v>0</v>
      </c>
      <c r="J2420">
        <f>IF(Table1[[#This Row],[Active_months]]&gt;=1, 1, 0)</f>
        <v>1</v>
      </c>
    </row>
    <row r="2421" spans="1:10" x14ac:dyDescent="0.3">
      <c r="A2421">
        <v>218074245</v>
      </c>
      <c r="B2421" s="1">
        <v>45107</v>
      </c>
      <c r="D2421">
        <v>39</v>
      </c>
      <c r="E2421" t="s">
        <v>6</v>
      </c>
      <c r="F2421" t="s">
        <v>7</v>
      </c>
      <c r="G2421" s="1">
        <f t="shared" si="111"/>
        <v>45199</v>
      </c>
      <c r="H2421">
        <f t="shared" si="112"/>
        <v>3</v>
      </c>
      <c r="I2421">
        <f t="shared" si="113"/>
        <v>0</v>
      </c>
      <c r="J2421">
        <f>IF(Table1[[#This Row],[Active_months]]&gt;=1, 1, 0)</f>
        <v>1</v>
      </c>
    </row>
    <row r="2422" spans="1:10" x14ac:dyDescent="0.3">
      <c r="A2422">
        <v>204774586</v>
      </c>
      <c r="B2422" s="1">
        <v>45107</v>
      </c>
      <c r="D2422">
        <v>39</v>
      </c>
      <c r="E2422" t="s">
        <v>6</v>
      </c>
      <c r="F2422" t="s">
        <v>7</v>
      </c>
      <c r="G2422" s="1">
        <f t="shared" si="111"/>
        <v>45199</v>
      </c>
      <c r="H2422">
        <f t="shared" si="112"/>
        <v>3</v>
      </c>
      <c r="I2422">
        <f t="shared" si="113"/>
        <v>0</v>
      </c>
      <c r="J2422">
        <f>IF(Table1[[#This Row],[Active_months]]&gt;=1, 1, 0)</f>
        <v>1</v>
      </c>
    </row>
    <row r="2423" spans="1:10" x14ac:dyDescent="0.3">
      <c r="A2423">
        <v>215941440</v>
      </c>
      <c r="B2423" s="1">
        <v>45107</v>
      </c>
      <c r="D2423">
        <v>39</v>
      </c>
      <c r="E2423" t="s">
        <v>6</v>
      </c>
      <c r="F2423" t="s">
        <v>7</v>
      </c>
      <c r="G2423" s="1">
        <f t="shared" si="111"/>
        <v>45199</v>
      </c>
      <c r="H2423">
        <f t="shared" si="112"/>
        <v>3</v>
      </c>
      <c r="I2423">
        <f t="shared" si="113"/>
        <v>0</v>
      </c>
      <c r="J2423">
        <f>IF(Table1[[#This Row],[Active_months]]&gt;=1, 1, 0)</f>
        <v>1</v>
      </c>
    </row>
    <row r="2424" spans="1:10" x14ac:dyDescent="0.3">
      <c r="A2424">
        <v>205547323</v>
      </c>
      <c r="B2424" s="1">
        <v>45107</v>
      </c>
      <c r="D2424">
        <v>39</v>
      </c>
      <c r="E2424" t="s">
        <v>6</v>
      </c>
      <c r="F2424" t="s">
        <v>8</v>
      </c>
      <c r="G2424" s="1">
        <f t="shared" si="111"/>
        <v>45199</v>
      </c>
      <c r="H2424">
        <f t="shared" si="112"/>
        <v>3</v>
      </c>
      <c r="I2424">
        <f t="shared" si="113"/>
        <v>0</v>
      </c>
      <c r="J2424">
        <f>IF(Table1[[#This Row],[Active_months]]&gt;=1, 1, 0)</f>
        <v>1</v>
      </c>
    </row>
    <row r="2425" spans="1:10" x14ac:dyDescent="0.3">
      <c r="A2425">
        <v>140062581</v>
      </c>
      <c r="B2425" s="1">
        <v>45107</v>
      </c>
      <c r="D2425">
        <v>39</v>
      </c>
      <c r="E2425" t="s">
        <v>6</v>
      </c>
      <c r="F2425" t="s">
        <v>7</v>
      </c>
      <c r="G2425" s="1">
        <f t="shared" si="111"/>
        <v>45199</v>
      </c>
      <c r="H2425">
        <f t="shared" si="112"/>
        <v>3</v>
      </c>
      <c r="I2425">
        <f t="shared" si="113"/>
        <v>0</v>
      </c>
      <c r="J2425">
        <f>IF(Table1[[#This Row],[Active_months]]&gt;=1, 1, 0)</f>
        <v>1</v>
      </c>
    </row>
    <row r="2426" spans="1:10" x14ac:dyDescent="0.3">
      <c r="A2426">
        <v>217932519</v>
      </c>
      <c r="B2426" s="1">
        <v>45107</v>
      </c>
      <c r="C2426" s="1">
        <v>45108</v>
      </c>
      <c r="D2426">
        <v>39</v>
      </c>
      <c r="E2426" t="s">
        <v>6</v>
      </c>
      <c r="F2426" t="s">
        <v>7</v>
      </c>
      <c r="G2426" s="1">
        <f t="shared" si="111"/>
        <v>45108</v>
      </c>
      <c r="H2426">
        <f t="shared" si="112"/>
        <v>1</v>
      </c>
      <c r="I2426">
        <f t="shared" si="113"/>
        <v>0</v>
      </c>
      <c r="J2426">
        <f>IF(Table1[[#This Row],[Active_months]]&gt;=1, 1, 0)</f>
        <v>1</v>
      </c>
    </row>
    <row r="2427" spans="1:10" x14ac:dyDescent="0.3">
      <c r="A2427">
        <v>217982048</v>
      </c>
      <c r="B2427" s="1">
        <v>45107</v>
      </c>
      <c r="C2427" s="1">
        <v>45108</v>
      </c>
      <c r="D2427">
        <v>39</v>
      </c>
      <c r="E2427" t="s">
        <v>6</v>
      </c>
      <c r="F2427" t="s">
        <v>8</v>
      </c>
      <c r="G2427" s="1">
        <f t="shared" si="111"/>
        <v>45108</v>
      </c>
      <c r="H2427">
        <f t="shared" si="112"/>
        <v>1</v>
      </c>
      <c r="I2427">
        <f t="shared" si="113"/>
        <v>0</v>
      </c>
      <c r="J2427">
        <f>IF(Table1[[#This Row],[Active_months]]&gt;=1, 1, 0)</f>
        <v>1</v>
      </c>
    </row>
    <row r="2428" spans="1:10" x14ac:dyDescent="0.3">
      <c r="A2428">
        <v>218066467</v>
      </c>
      <c r="B2428" s="1">
        <v>45107</v>
      </c>
      <c r="C2428" s="1">
        <v>45169</v>
      </c>
      <c r="D2428">
        <v>39</v>
      </c>
      <c r="E2428" t="s">
        <v>6</v>
      </c>
      <c r="F2428" t="s">
        <v>7</v>
      </c>
      <c r="G2428" s="1">
        <f t="shared" si="111"/>
        <v>45169</v>
      </c>
      <c r="H2428">
        <f t="shared" si="112"/>
        <v>2</v>
      </c>
      <c r="I2428">
        <f t="shared" si="113"/>
        <v>0</v>
      </c>
      <c r="J2428">
        <f>IF(Table1[[#This Row],[Active_months]]&gt;=1, 1, 0)</f>
        <v>1</v>
      </c>
    </row>
    <row r="2429" spans="1:10" x14ac:dyDescent="0.3">
      <c r="A2429">
        <v>218046034</v>
      </c>
      <c r="B2429" s="1">
        <v>45107</v>
      </c>
      <c r="C2429" s="1">
        <v>45175</v>
      </c>
      <c r="D2429">
        <v>39</v>
      </c>
      <c r="E2429" t="s">
        <v>6</v>
      </c>
      <c r="F2429" t="s">
        <v>7</v>
      </c>
      <c r="G2429" s="1">
        <f t="shared" si="111"/>
        <v>45175</v>
      </c>
      <c r="H2429">
        <f t="shared" si="112"/>
        <v>3</v>
      </c>
      <c r="I2429">
        <f t="shared" si="113"/>
        <v>0</v>
      </c>
      <c r="J2429">
        <f>IF(Table1[[#This Row],[Active_months]]&gt;=1, 1, 0)</f>
        <v>1</v>
      </c>
    </row>
    <row r="2430" spans="1:10" x14ac:dyDescent="0.3">
      <c r="A2430">
        <v>217697744</v>
      </c>
      <c r="B2430" s="1">
        <v>45107</v>
      </c>
      <c r="C2430" s="1">
        <v>45134</v>
      </c>
      <c r="D2430">
        <v>39</v>
      </c>
      <c r="E2430" t="s">
        <v>6</v>
      </c>
      <c r="F2430" t="s">
        <v>7</v>
      </c>
      <c r="G2430" s="1">
        <f t="shared" si="111"/>
        <v>45134</v>
      </c>
      <c r="H2430">
        <f t="shared" si="112"/>
        <v>1</v>
      </c>
      <c r="I2430">
        <f t="shared" si="113"/>
        <v>0</v>
      </c>
      <c r="J2430">
        <f>IF(Table1[[#This Row],[Active_months]]&gt;=1, 1, 0)</f>
        <v>1</v>
      </c>
    </row>
    <row r="2431" spans="1:10" x14ac:dyDescent="0.3">
      <c r="A2431">
        <v>217942738</v>
      </c>
      <c r="B2431" s="1">
        <v>45108</v>
      </c>
      <c r="D2431">
        <v>39</v>
      </c>
      <c r="E2431" t="s">
        <v>6</v>
      </c>
      <c r="F2431" t="s">
        <v>7</v>
      </c>
      <c r="G2431" s="1">
        <f t="shared" si="111"/>
        <v>45199</v>
      </c>
      <c r="H2431">
        <f t="shared" si="112"/>
        <v>2</v>
      </c>
      <c r="I2431">
        <f t="shared" si="113"/>
        <v>0</v>
      </c>
      <c r="J2431">
        <f>IF(Table1[[#This Row],[Active_months]]&gt;=1, 1, 0)</f>
        <v>1</v>
      </c>
    </row>
    <row r="2432" spans="1:10" x14ac:dyDescent="0.3">
      <c r="A2432">
        <v>218133628</v>
      </c>
      <c r="B2432" s="1">
        <v>45108</v>
      </c>
      <c r="D2432">
        <v>39</v>
      </c>
      <c r="E2432" t="s">
        <v>6</v>
      </c>
      <c r="F2432" t="s">
        <v>7</v>
      </c>
      <c r="G2432" s="1">
        <f t="shared" si="111"/>
        <v>45199</v>
      </c>
      <c r="H2432">
        <f t="shared" si="112"/>
        <v>2</v>
      </c>
      <c r="I2432">
        <f t="shared" si="113"/>
        <v>0</v>
      </c>
      <c r="J2432">
        <f>IF(Table1[[#This Row],[Active_months]]&gt;=1, 1, 0)</f>
        <v>1</v>
      </c>
    </row>
    <row r="2433" spans="1:10" x14ac:dyDescent="0.3">
      <c r="A2433">
        <v>118508852</v>
      </c>
      <c r="B2433" s="1">
        <v>45108</v>
      </c>
      <c r="D2433">
        <v>39</v>
      </c>
      <c r="E2433" t="s">
        <v>6</v>
      </c>
      <c r="F2433" t="s">
        <v>7</v>
      </c>
      <c r="G2433" s="1">
        <f t="shared" si="111"/>
        <v>45199</v>
      </c>
      <c r="H2433">
        <f t="shared" si="112"/>
        <v>2</v>
      </c>
      <c r="I2433">
        <f t="shared" si="113"/>
        <v>0</v>
      </c>
      <c r="J2433">
        <f>IF(Table1[[#This Row],[Active_months]]&gt;=1, 1, 0)</f>
        <v>1</v>
      </c>
    </row>
    <row r="2434" spans="1:10" x14ac:dyDescent="0.3">
      <c r="A2434">
        <v>218120267</v>
      </c>
      <c r="B2434" s="1">
        <v>45108</v>
      </c>
      <c r="D2434">
        <v>39</v>
      </c>
      <c r="E2434" t="s">
        <v>6</v>
      </c>
      <c r="F2434" t="s">
        <v>7</v>
      </c>
      <c r="G2434" s="1">
        <f t="shared" si="111"/>
        <v>45199</v>
      </c>
      <c r="H2434">
        <f t="shared" si="112"/>
        <v>2</v>
      </c>
      <c r="I2434">
        <f t="shared" si="113"/>
        <v>0</v>
      </c>
      <c r="J2434">
        <f>IF(Table1[[#This Row],[Active_months]]&gt;=1, 1, 0)</f>
        <v>1</v>
      </c>
    </row>
    <row r="2435" spans="1:10" x14ac:dyDescent="0.3">
      <c r="A2435">
        <v>218095541</v>
      </c>
      <c r="B2435" s="1">
        <v>45108</v>
      </c>
      <c r="D2435">
        <v>39</v>
      </c>
      <c r="E2435" t="s">
        <v>6</v>
      </c>
      <c r="F2435" t="s">
        <v>7</v>
      </c>
      <c r="G2435" s="1">
        <f t="shared" ref="G2435:G2498" si="114">IF(ISBLANK(C2435), DATE(2023,9,30), C2435)</f>
        <v>45199</v>
      </c>
      <c r="H2435">
        <f t="shared" ref="H2435:H2498" si="115">(YEAR(G2435)-YEAR(B2435))*12 + (MONTH(G2435)-MONTH(B2435))</f>
        <v>2</v>
      </c>
      <c r="I2435">
        <f t="shared" ref="I2435:I2498" si="116">IF(H2435 &gt;=5, 1, 0)</f>
        <v>0</v>
      </c>
      <c r="J2435">
        <f>IF(Table1[[#This Row],[Active_months]]&gt;=1, 1, 0)</f>
        <v>1</v>
      </c>
    </row>
    <row r="2436" spans="1:10" x14ac:dyDescent="0.3">
      <c r="A2436">
        <v>217626801</v>
      </c>
      <c r="B2436" s="1">
        <v>45108</v>
      </c>
      <c r="D2436">
        <v>39</v>
      </c>
      <c r="E2436" t="s">
        <v>6</v>
      </c>
      <c r="F2436" t="s">
        <v>7</v>
      </c>
      <c r="G2436" s="1">
        <f t="shared" si="114"/>
        <v>45199</v>
      </c>
      <c r="H2436">
        <f t="shared" si="115"/>
        <v>2</v>
      </c>
      <c r="I2436">
        <f t="shared" si="116"/>
        <v>0</v>
      </c>
      <c r="J2436">
        <f>IF(Table1[[#This Row],[Active_months]]&gt;=1, 1, 0)</f>
        <v>1</v>
      </c>
    </row>
    <row r="2437" spans="1:10" x14ac:dyDescent="0.3">
      <c r="A2437">
        <v>151555660</v>
      </c>
      <c r="B2437" s="1">
        <v>45108</v>
      </c>
      <c r="C2437" s="1">
        <v>45169</v>
      </c>
      <c r="D2437">
        <v>39</v>
      </c>
      <c r="E2437" t="s">
        <v>6</v>
      </c>
      <c r="F2437" t="s">
        <v>7</v>
      </c>
      <c r="G2437" s="1">
        <f t="shared" si="114"/>
        <v>45169</v>
      </c>
      <c r="H2437">
        <f t="shared" si="115"/>
        <v>1</v>
      </c>
      <c r="I2437">
        <f t="shared" si="116"/>
        <v>0</v>
      </c>
      <c r="J2437">
        <f>IF(Table1[[#This Row],[Active_months]]&gt;=1, 1, 0)</f>
        <v>1</v>
      </c>
    </row>
    <row r="2438" spans="1:10" x14ac:dyDescent="0.3">
      <c r="A2438">
        <v>217110820</v>
      </c>
      <c r="B2438" s="1">
        <v>45108</v>
      </c>
      <c r="C2438" s="1">
        <v>45142</v>
      </c>
      <c r="D2438">
        <v>39</v>
      </c>
      <c r="E2438" t="s">
        <v>6</v>
      </c>
      <c r="F2438" t="s">
        <v>7</v>
      </c>
      <c r="G2438" s="1">
        <f t="shared" si="114"/>
        <v>45142</v>
      </c>
      <c r="H2438">
        <f t="shared" si="115"/>
        <v>1</v>
      </c>
      <c r="I2438">
        <f t="shared" si="116"/>
        <v>0</v>
      </c>
      <c r="J2438">
        <f>IF(Table1[[#This Row],[Active_months]]&gt;=1, 1, 0)</f>
        <v>1</v>
      </c>
    </row>
    <row r="2439" spans="1:10" x14ac:dyDescent="0.3">
      <c r="A2439">
        <v>217932519</v>
      </c>
      <c r="B2439" s="1">
        <v>45108</v>
      </c>
      <c r="C2439" s="1">
        <v>45169</v>
      </c>
      <c r="D2439">
        <v>39</v>
      </c>
      <c r="E2439" t="s">
        <v>6</v>
      </c>
      <c r="F2439" t="s">
        <v>7</v>
      </c>
      <c r="G2439" s="1">
        <f t="shared" si="114"/>
        <v>45169</v>
      </c>
      <c r="H2439">
        <f t="shared" si="115"/>
        <v>1</v>
      </c>
      <c r="I2439">
        <f t="shared" si="116"/>
        <v>0</v>
      </c>
      <c r="J2439">
        <f>IF(Table1[[#This Row],[Active_months]]&gt;=1, 1, 0)</f>
        <v>1</v>
      </c>
    </row>
    <row r="2440" spans="1:10" x14ac:dyDescent="0.3">
      <c r="A2440">
        <v>218164848</v>
      </c>
      <c r="B2440" s="1">
        <v>45109</v>
      </c>
      <c r="D2440">
        <v>39</v>
      </c>
      <c r="E2440" t="s">
        <v>6</v>
      </c>
      <c r="F2440" t="s">
        <v>7</v>
      </c>
      <c r="G2440" s="1">
        <f t="shared" si="114"/>
        <v>45199</v>
      </c>
      <c r="H2440">
        <f t="shared" si="115"/>
        <v>2</v>
      </c>
      <c r="I2440">
        <f t="shared" si="116"/>
        <v>0</v>
      </c>
      <c r="J2440">
        <f>IF(Table1[[#This Row],[Active_months]]&gt;=1, 1, 0)</f>
        <v>1</v>
      </c>
    </row>
    <row r="2441" spans="1:10" x14ac:dyDescent="0.3">
      <c r="A2441">
        <v>217526484</v>
      </c>
      <c r="B2441" s="1">
        <v>45109</v>
      </c>
      <c r="D2441">
        <v>39</v>
      </c>
      <c r="E2441" t="s">
        <v>6</v>
      </c>
      <c r="F2441" t="s">
        <v>7</v>
      </c>
      <c r="G2441" s="1">
        <f t="shared" si="114"/>
        <v>45199</v>
      </c>
      <c r="H2441">
        <f t="shared" si="115"/>
        <v>2</v>
      </c>
      <c r="I2441">
        <f t="shared" si="116"/>
        <v>0</v>
      </c>
      <c r="J2441">
        <f>IF(Table1[[#This Row],[Active_months]]&gt;=1, 1, 0)</f>
        <v>1</v>
      </c>
    </row>
    <row r="2442" spans="1:10" x14ac:dyDescent="0.3">
      <c r="A2442">
        <v>214940948</v>
      </c>
      <c r="B2442" s="1">
        <v>45109</v>
      </c>
      <c r="D2442">
        <v>39</v>
      </c>
      <c r="E2442" t="s">
        <v>6</v>
      </c>
      <c r="F2442" t="s">
        <v>7</v>
      </c>
      <c r="G2442" s="1">
        <f t="shared" si="114"/>
        <v>45199</v>
      </c>
      <c r="H2442">
        <f t="shared" si="115"/>
        <v>2</v>
      </c>
      <c r="I2442">
        <f t="shared" si="116"/>
        <v>0</v>
      </c>
      <c r="J2442">
        <f>IF(Table1[[#This Row],[Active_months]]&gt;=1, 1, 0)</f>
        <v>1</v>
      </c>
    </row>
    <row r="2443" spans="1:10" x14ac:dyDescent="0.3">
      <c r="A2443">
        <v>218144586</v>
      </c>
      <c r="B2443" s="1">
        <v>45109</v>
      </c>
      <c r="D2443">
        <v>39</v>
      </c>
      <c r="E2443" t="s">
        <v>6</v>
      </c>
      <c r="F2443" t="s">
        <v>7</v>
      </c>
      <c r="G2443" s="1">
        <f t="shared" si="114"/>
        <v>45199</v>
      </c>
      <c r="H2443">
        <f t="shared" si="115"/>
        <v>2</v>
      </c>
      <c r="I2443">
        <f t="shared" si="116"/>
        <v>0</v>
      </c>
      <c r="J2443">
        <f>IF(Table1[[#This Row],[Active_months]]&gt;=1, 1, 0)</f>
        <v>1</v>
      </c>
    </row>
    <row r="2444" spans="1:10" x14ac:dyDescent="0.3">
      <c r="A2444">
        <v>217863596</v>
      </c>
      <c r="B2444" s="1">
        <v>45109</v>
      </c>
      <c r="C2444" s="1">
        <v>45158</v>
      </c>
      <c r="D2444">
        <v>39</v>
      </c>
      <c r="E2444" t="s">
        <v>6</v>
      </c>
      <c r="F2444" t="s">
        <v>7</v>
      </c>
      <c r="G2444" s="1">
        <f t="shared" si="114"/>
        <v>45158</v>
      </c>
      <c r="H2444">
        <f t="shared" si="115"/>
        <v>1</v>
      </c>
      <c r="I2444">
        <f t="shared" si="116"/>
        <v>0</v>
      </c>
      <c r="J2444">
        <f>IF(Table1[[#This Row],[Active_months]]&gt;=1, 1, 0)</f>
        <v>1</v>
      </c>
    </row>
    <row r="2445" spans="1:10" x14ac:dyDescent="0.3">
      <c r="A2445">
        <v>218098580</v>
      </c>
      <c r="B2445" s="1">
        <v>45109</v>
      </c>
      <c r="C2445" s="1">
        <v>45168</v>
      </c>
      <c r="D2445">
        <v>39</v>
      </c>
      <c r="E2445" t="s">
        <v>6</v>
      </c>
      <c r="F2445" t="s">
        <v>7</v>
      </c>
      <c r="G2445" s="1">
        <f t="shared" si="114"/>
        <v>45168</v>
      </c>
      <c r="H2445">
        <f t="shared" si="115"/>
        <v>1</v>
      </c>
      <c r="I2445">
        <f t="shared" si="116"/>
        <v>0</v>
      </c>
      <c r="J2445">
        <f>IF(Table1[[#This Row],[Active_months]]&gt;=1, 1, 0)</f>
        <v>1</v>
      </c>
    </row>
    <row r="2446" spans="1:10" x14ac:dyDescent="0.3">
      <c r="A2446">
        <v>215602271</v>
      </c>
      <c r="B2446" s="1">
        <v>45109</v>
      </c>
      <c r="C2446" s="1">
        <v>45134</v>
      </c>
      <c r="D2446">
        <v>39</v>
      </c>
      <c r="E2446" t="s">
        <v>6</v>
      </c>
      <c r="F2446" t="s">
        <v>7</v>
      </c>
      <c r="G2446" s="1">
        <f t="shared" si="114"/>
        <v>45134</v>
      </c>
      <c r="H2446">
        <f t="shared" si="115"/>
        <v>0</v>
      </c>
      <c r="I2446">
        <f t="shared" si="116"/>
        <v>0</v>
      </c>
      <c r="J2446">
        <f>IF(Table1[[#This Row],[Active_months]]&gt;=1, 1, 0)</f>
        <v>0</v>
      </c>
    </row>
    <row r="2447" spans="1:10" x14ac:dyDescent="0.3">
      <c r="A2447">
        <v>218202086</v>
      </c>
      <c r="B2447" s="1">
        <v>45110</v>
      </c>
      <c r="D2447">
        <v>39</v>
      </c>
      <c r="E2447" t="s">
        <v>6</v>
      </c>
      <c r="F2447" t="s">
        <v>7</v>
      </c>
      <c r="G2447" s="1">
        <f t="shared" si="114"/>
        <v>45199</v>
      </c>
      <c r="H2447">
        <f t="shared" si="115"/>
        <v>2</v>
      </c>
      <c r="I2447">
        <f t="shared" si="116"/>
        <v>0</v>
      </c>
      <c r="J2447">
        <f>IF(Table1[[#This Row],[Active_months]]&gt;=1, 1, 0)</f>
        <v>1</v>
      </c>
    </row>
    <row r="2448" spans="1:10" x14ac:dyDescent="0.3">
      <c r="A2448">
        <v>217927897</v>
      </c>
      <c r="B2448" s="1">
        <v>45110</v>
      </c>
      <c r="D2448">
        <v>39</v>
      </c>
      <c r="E2448" t="s">
        <v>6</v>
      </c>
      <c r="F2448" t="s">
        <v>7</v>
      </c>
      <c r="G2448" s="1">
        <f t="shared" si="114"/>
        <v>45199</v>
      </c>
      <c r="H2448">
        <f t="shared" si="115"/>
        <v>2</v>
      </c>
      <c r="I2448">
        <f t="shared" si="116"/>
        <v>0</v>
      </c>
      <c r="J2448">
        <f>IF(Table1[[#This Row],[Active_months]]&gt;=1, 1, 0)</f>
        <v>1</v>
      </c>
    </row>
    <row r="2449" spans="1:10" x14ac:dyDescent="0.3">
      <c r="A2449">
        <v>217856402</v>
      </c>
      <c r="B2449" s="1">
        <v>45110</v>
      </c>
      <c r="D2449">
        <v>39</v>
      </c>
      <c r="E2449" t="s">
        <v>6</v>
      </c>
      <c r="F2449" t="s">
        <v>7</v>
      </c>
      <c r="G2449" s="1">
        <f t="shared" si="114"/>
        <v>45199</v>
      </c>
      <c r="H2449">
        <f t="shared" si="115"/>
        <v>2</v>
      </c>
      <c r="I2449">
        <f t="shared" si="116"/>
        <v>0</v>
      </c>
      <c r="J2449">
        <f>IF(Table1[[#This Row],[Active_months]]&gt;=1, 1, 0)</f>
        <v>1</v>
      </c>
    </row>
    <row r="2450" spans="1:10" x14ac:dyDescent="0.3">
      <c r="A2450">
        <v>217588559</v>
      </c>
      <c r="B2450" s="1">
        <v>45110</v>
      </c>
      <c r="D2450">
        <v>39</v>
      </c>
      <c r="E2450" t="s">
        <v>6</v>
      </c>
      <c r="F2450" t="s">
        <v>7</v>
      </c>
      <c r="G2450" s="1">
        <f t="shared" si="114"/>
        <v>45199</v>
      </c>
      <c r="H2450">
        <f t="shared" si="115"/>
        <v>2</v>
      </c>
      <c r="I2450">
        <f t="shared" si="116"/>
        <v>0</v>
      </c>
      <c r="J2450">
        <f>IF(Table1[[#This Row],[Active_months]]&gt;=1, 1, 0)</f>
        <v>1</v>
      </c>
    </row>
    <row r="2451" spans="1:10" x14ac:dyDescent="0.3">
      <c r="A2451">
        <v>212136438</v>
      </c>
      <c r="B2451" s="1">
        <v>45110</v>
      </c>
      <c r="D2451">
        <v>39</v>
      </c>
      <c r="E2451" t="s">
        <v>6</v>
      </c>
      <c r="F2451" t="s">
        <v>7</v>
      </c>
      <c r="G2451" s="1">
        <f t="shared" si="114"/>
        <v>45199</v>
      </c>
      <c r="H2451">
        <f t="shared" si="115"/>
        <v>2</v>
      </c>
      <c r="I2451">
        <f t="shared" si="116"/>
        <v>0</v>
      </c>
      <c r="J2451">
        <f>IF(Table1[[#This Row],[Active_months]]&gt;=1, 1, 0)</f>
        <v>1</v>
      </c>
    </row>
    <row r="2452" spans="1:10" x14ac:dyDescent="0.3">
      <c r="A2452">
        <v>138548670</v>
      </c>
      <c r="B2452" s="1">
        <v>45110</v>
      </c>
      <c r="D2452">
        <v>39</v>
      </c>
      <c r="E2452" t="s">
        <v>6</v>
      </c>
      <c r="F2452" t="s">
        <v>7</v>
      </c>
      <c r="G2452" s="1">
        <f t="shared" si="114"/>
        <v>45199</v>
      </c>
      <c r="H2452">
        <f t="shared" si="115"/>
        <v>2</v>
      </c>
      <c r="I2452">
        <f t="shared" si="116"/>
        <v>0</v>
      </c>
      <c r="J2452">
        <f>IF(Table1[[#This Row],[Active_months]]&gt;=1, 1, 0)</f>
        <v>1</v>
      </c>
    </row>
    <row r="2453" spans="1:10" x14ac:dyDescent="0.3">
      <c r="A2453">
        <v>217588559</v>
      </c>
      <c r="B2453" s="1">
        <v>45110</v>
      </c>
      <c r="C2453" s="1">
        <v>45110</v>
      </c>
      <c r="D2453">
        <v>39</v>
      </c>
      <c r="E2453" t="s">
        <v>6</v>
      </c>
      <c r="F2453" t="s">
        <v>7</v>
      </c>
      <c r="G2453" s="1">
        <f t="shared" si="114"/>
        <v>45110</v>
      </c>
      <c r="H2453">
        <f t="shared" si="115"/>
        <v>0</v>
      </c>
      <c r="I2453">
        <f t="shared" si="116"/>
        <v>0</v>
      </c>
      <c r="J2453">
        <f>IF(Table1[[#This Row],[Active_months]]&gt;=1, 1, 0)</f>
        <v>0</v>
      </c>
    </row>
    <row r="2454" spans="1:10" x14ac:dyDescent="0.3">
      <c r="A2454">
        <v>171893540</v>
      </c>
      <c r="B2454" s="1">
        <v>45110</v>
      </c>
      <c r="C2454" s="1">
        <v>45158</v>
      </c>
      <c r="D2454">
        <v>39</v>
      </c>
      <c r="E2454" t="s">
        <v>6</v>
      </c>
      <c r="F2454" t="s">
        <v>7</v>
      </c>
      <c r="G2454" s="1">
        <f t="shared" si="114"/>
        <v>45158</v>
      </c>
      <c r="H2454">
        <f t="shared" si="115"/>
        <v>1</v>
      </c>
      <c r="I2454">
        <f t="shared" si="116"/>
        <v>0</v>
      </c>
      <c r="J2454">
        <f>IF(Table1[[#This Row],[Active_months]]&gt;=1, 1, 0)</f>
        <v>1</v>
      </c>
    </row>
    <row r="2455" spans="1:10" x14ac:dyDescent="0.3">
      <c r="A2455">
        <v>202412363</v>
      </c>
      <c r="B2455" s="1">
        <v>45110</v>
      </c>
      <c r="C2455" s="1">
        <v>45129</v>
      </c>
      <c r="D2455">
        <v>39</v>
      </c>
      <c r="E2455" t="s">
        <v>6</v>
      </c>
      <c r="F2455" t="s">
        <v>7</v>
      </c>
      <c r="G2455" s="1">
        <f t="shared" si="114"/>
        <v>45129</v>
      </c>
      <c r="H2455">
        <f t="shared" si="115"/>
        <v>0</v>
      </c>
      <c r="I2455">
        <f t="shared" si="116"/>
        <v>0</v>
      </c>
      <c r="J2455">
        <f>IF(Table1[[#This Row],[Active_months]]&gt;=1, 1, 0)</f>
        <v>0</v>
      </c>
    </row>
    <row r="2456" spans="1:10" x14ac:dyDescent="0.3">
      <c r="A2456">
        <v>218129311</v>
      </c>
      <c r="B2456" s="1">
        <v>45110</v>
      </c>
      <c r="C2456" s="1">
        <v>45148</v>
      </c>
      <c r="D2456">
        <v>39</v>
      </c>
      <c r="E2456" t="s">
        <v>6</v>
      </c>
      <c r="F2456" t="s">
        <v>7</v>
      </c>
      <c r="G2456" s="1">
        <f t="shared" si="114"/>
        <v>45148</v>
      </c>
      <c r="H2456">
        <f t="shared" si="115"/>
        <v>1</v>
      </c>
      <c r="I2456">
        <f t="shared" si="116"/>
        <v>0</v>
      </c>
      <c r="J2456">
        <f>IF(Table1[[#This Row],[Active_months]]&gt;=1, 1, 0)</f>
        <v>1</v>
      </c>
    </row>
    <row r="2457" spans="1:10" x14ac:dyDescent="0.3">
      <c r="A2457">
        <v>218092565</v>
      </c>
      <c r="B2457" s="1">
        <v>45110</v>
      </c>
      <c r="C2457" s="1">
        <v>45148</v>
      </c>
      <c r="D2457">
        <v>39</v>
      </c>
      <c r="E2457" t="s">
        <v>6</v>
      </c>
      <c r="F2457" t="s">
        <v>7</v>
      </c>
      <c r="G2457" s="1">
        <f t="shared" si="114"/>
        <v>45148</v>
      </c>
      <c r="H2457">
        <f t="shared" si="115"/>
        <v>1</v>
      </c>
      <c r="I2457">
        <f t="shared" si="116"/>
        <v>0</v>
      </c>
      <c r="J2457">
        <f>IF(Table1[[#This Row],[Active_months]]&gt;=1, 1, 0)</f>
        <v>1</v>
      </c>
    </row>
    <row r="2458" spans="1:10" x14ac:dyDescent="0.3">
      <c r="A2458">
        <v>150436862</v>
      </c>
      <c r="B2458" s="1">
        <v>45111</v>
      </c>
      <c r="D2458">
        <v>39</v>
      </c>
      <c r="E2458" t="s">
        <v>6</v>
      </c>
      <c r="F2458" t="s">
        <v>7</v>
      </c>
      <c r="G2458" s="1">
        <f t="shared" si="114"/>
        <v>45199</v>
      </c>
      <c r="H2458">
        <f t="shared" si="115"/>
        <v>2</v>
      </c>
      <c r="I2458">
        <f t="shared" si="116"/>
        <v>0</v>
      </c>
      <c r="J2458">
        <f>IF(Table1[[#This Row],[Active_months]]&gt;=1, 1, 0)</f>
        <v>1</v>
      </c>
    </row>
    <row r="2459" spans="1:10" x14ac:dyDescent="0.3">
      <c r="A2459">
        <v>218211840</v>
      </c>
      <c r="B2459" s="1">
        <v>45111</v>
      </c>
      <c r="D2459">
        <v>39</v>
      </c>
      <c r="E2459" t="s">
        <v>6</v>
      </c>
      <c r="F2459" t="s">
        <v>7</v>
      </c>
      <c r="G2459" s="1">
        <f t="shared" si="114"/>
        <v>45199</v>
      </c>
      <c r="H2459">
        <f t="shared" si="115"/>
        <v>2</v>
      </c>
      <c r="I2459">
        <f t="shared" si="116"/>
        <v>0</v>
      </c>
      <c r="J2459">
        <f>IF(Table1[[#This Row],[Active_months]]&gt;=1, 1, 0)</f>
        <v>1</v>
      </c>
    </row>
    <row r="2460" spans="1:10" x14ac:dyDescent="0.3">
      <c r="A2460">
        <v>218235209</v>
      </c>
      <c r="B2460" s="1">
        <v>45111</v>
      </c>
      <c r="D2460">
        <v>39</v>
      </c>
      <c r="E2460" t="s">
        <v>6</v>
      </c>
      <c r="F2460" t="s">
        <v>7</v>
      </c>
      <c r="G2460" s="1">
        <f t="shared" si="114"/>
        <v>45199</v>
      </c>
      <c r="H2460">
        <f t="shared" si="115"/>
        <v>2</v>
      </c>
      <c r="I2460">
        <f t="shared" si="116"/>
        <v>0</v>
      </c>
      <c r="J2460">
        <f>IF(Table1[[#This Row],[Active_months]]&gt;=1, 1, 0)</f>
        <v>1</v>
      </c>
    </row>
    <row r="2461" spans="1:10" x14ac:dyDescent="0.3">
      <c r="A2461">
        <v>132631414</v>
      </c>
      <c r="B2461" s="1">
        <v>45111</v>
      </c>
      <c r="D2461">
        <v>39</v>
      </c>
      <c r="E2461" t="s">
        <v>6</v>
      </c>
      <c r="F2461" t="s">
        <v>7</v>
      </c>
      <c r="G2461" s="1">
        <f t="shared" si="114"/>
        <v>45199</v>
      </c>
      <c r="H2461">
        <f t="shared" si="115"/>
        <v>2</v>
      </c>
      <c r="I2461">
        <f t="shared" si="116"/>
        <v>0</v>
      </c>
      <c r="J2461">
        <f>IF(Table1[[#This Row],[Active_months]]&gt;=1, 1, 0)</f>
        <v>1</v>
      </c>
    </row>
    <row r="2462" spans="1:10" x14ac:dyDescent="0.3">
      <c r="A2462">
        <v>218254260</v>
      </c>
      <c r="B2462" s="1">
        <v>45111</v>
      </c>
      <c r="D2462">
        <v>39</v>
      </c>
      <c r="E2462" t="s">
        <v>6</v>
      </c>
      <c r="F2462" t="s">
        <v>7</v>
      </c>
      <c r="G2462" s="1">
        <f t="shared" si="114"/>
        <v>45199</v>
      </c>
      <c r="H2462">
        <f t="shared" si="115"/>
        <v>2</v>
      </c>
      <c r="I2462">
        <f t="shared" si="116"/>
        <v>0</v>
      </c>
      <c r="J2462">
        <f>IF(Table1[[#This Row],[Active_months]]&gt;=1, 1, 0)</f>
        <v>1</v>
      </c>
    </row>
    <row r="2463" spans="1:10" x14ac:dyDescent="0.3">
      <c r="A2463">
        <v>218095604</v>
      </c>
      <c r="B2463" s="1">
        <v>45111</v>
      </c>
      <c r="D2463">
        <v>39</v>
      </c>
      <c r="E2463" t="s">
        <v>6</v>
      </c>
      <c r="F2463" t="s">
        <v>7</v>
      </c>
      <c r="G2463" s="1">
        <f t="shared" si="114"/>
        <v>45199</v>
      </c>
      <c r="H2463">
        <f t="shared" si="115"/>
        <v>2</v>
      </c>
      <c r="I2463">
        <f t="shared" si="116"/>
        <v>0</v>
      </c>
      <c r="J2463">
        <f>IF(Table1[[#This Row],[Active_months]]&gt;=1, 1, 0)</f>
        <v>1</v>
      </c>
    </row>
    <row r="2464" spans="1:10" x14ac:dyDescent="0.3">
      <c r="A2464">
        <v>147845964</v>
      </c>
      <c r="B2464" s="1">
        <v>45111</v>
      </c>
      <c r="C2464" s="1">
        <v>45111</v>
      </c>
      <c r="D2464">
        <v>39</v>
      </c>
      <c r="E2464" t="s">
        <v>6</v>
      </c>
      <c r="F2464" t="s">
        <v>7</v>
      </c>
      <c r="G2464" s="1">
        <f t="shared" si="114"/>
        <v>45111</v>
      </c>
      <c r="H2464">
        <f t="shared" si="115"/>
        <v>0</v>
      </c>
      <c r="I2464">
        <f t="shared" si="116"/>
        <v>0</v>
      </c>
      <c r="J2464">
        <f>IF(Table1[[#This Row],[Active_months]]&gt;=1, 1, 0)</f>
        <v>0</v>
      </c>
    </row>
    <row r="2465" spans="1:10" x14ac:dyDescent="0.3">
      <c r="A2465">
        <v>218242871</v>
      </c>
      <c r="B2465" s="1">
        <v>45111</v>
      </c>
      <c r="C2465" s="1">
        <v>45142</v>
      </c>
      <c r="D2465">
        <v>39</v>
      </c>
      <c r="E2465" t="s">
        <v>6</v>
      </c>
      <c r="F2465" t="s">
        <v>7</v>
      </c>
      <c r="G2465" s="1">
        <f t="shared" si="114"/>
        <v>45142</v>
      </c>
      <c r="H2465">
        <f t="shared" si="115"/>
        <v>1</v>
      </c>
      <c r="I2465">
        <f t="shared" si="116"/>
        <v>0</v>
      </c>
      <c r="J2465">
        <f>IF(Table1[[#This Row],[Active_months]]&gt;=1, 1, 0)</f>
        <v>1</v>
      </c>
    </row>
    <row r="2466" spans="1:10" x14ac:dyDescent="0.3">
      <c r="A2466">
        <v>218238016</v>
      </c>
      <c r="B2466" s="1">
        <v>45111</v>
      </c>
      <c r="C2466" s="1">
        <v>45172</v>
      </c>
      <c r="D2466">
        <v>39</v>
      </c>
      <c r="E2466" t="s">
        <v>6</v>
      </c>
      <c r="F2466" t="s">
        <v>7</v>
      </c>
      <c r="G2466" s="1">
        <f t="shared" si="114"/>
        <v>45172</v>
      </c>
      <c r="H2466">
        <f t="shared" si="115"/>
        <v>2</v>
      </c>
      <c r="I2466">
        <f t="shared" si="116"/>
        <v>0</v>
      </c>
      <c r="J2466">
        <f>IF(Table1[[#This Row],[Active_months]]&gt;=1, 1, 0)</f>
        <v>1</v>
      </c>
    </row>
    <row r="2467" spans="1:10" x14ac:dyDescent="0.3">
      <c r="A2467">
        <v>217387951</v>
      </c>
      <c r="B2467" s="1">
        <v>45111</v>
      </c>
      <c r="C2467" s="1">
        <v>45142</v>
      </c>
      <c r="D2467">
        <v>39</v>
      </c>
      <c r="E2467" t="s">
        <v>6</v>
      </c>
      <c r="F2467" t="s">
        <v>7</v>
      </c>
      <c r="G2467" s="1">
        <f t="shared" si="114"/>
        <v>45142</v>
      </c>
      <c r="H2467">
        <f t="shared" si="115"/>
        <v>1</v>
      </c>
      <c r="I2467">
        <f t="shared" si="116"/>
        <v>0</v>
      </c>
      <c r="J2467">
        <f>IF(Table1[[#This Row],[Active_months]]&gt;=1, 1, 0)</f>
        <v>1</v>
      </c>
    </row>
    <row r="2468" spans="1:10" x14ac:dyDescent="0.3">
      <c r="A2468">
        <v>218236754</v>
      </c>
      <c r="B2468" s="1">
        <v>45111</v>
      </c>
      <c r="C2468" s="1">
        <v>45118</v>
      </c>
      <c r="D2468">
        <v>39</v>
      </c>
      <c r="E2468" t="s">
        <v>6</v>
      </c>
      <c r="F2468" t="s">
        <v>7</v>
      </c>
      <c r="G2468" s="1">
        <f t="shared" si="114"/>
        <v>45118</v>
      </c>
      <c r="H2468">
        <f t="shared" si="115"/>
        <v>0</v>
      </c>
      <c r="I2468">
        <f t="shared" si="116"/>
        <v>0</v>
      </c>
      <c r="J2468">
        <f>IF(Table1[[#This Row],[Active_months]]&gt;=1, 1, 0)</f>
        <v>0</v>
      </c>
    </row>
    <row r="2469" spans="1:10" x14ac:dyDescent="0.3">
      <c r="A2469">
        <v>218307564</v>
      </c>
      <c r="B2469" s="1">
        <v>45112</v>
      </c>
      <c r="D2469">
        <v>39</v>
      </c>
      <c r="E2469" t="s">
        <v>6</v>
      </c>
      <c r="F2469" t="s">
        <v>7</v>
      </c>
      <c r="G2469" s="1">
        <f t="shared" si="114"/>
        <v>45199</v>
      </c>
      <c r="H2469">
        <f t="shared" si="115"/>
        <v>2</v>
      </c>
      <c r="I2469">
        <f t="shared" si="116"/>
        <v>0</v>
      </c>
      <c r="J2469">
        <f>IF(Table1[[#This Row],[Active_months]]&gt;=1, 1, 0)</f>
        <v>1</v>
      </c>
    </row>
    <row r="2470" spans="1:10" x14ac:dyDescent="0.3">
      <c r="A2470">
        <v>150521180</v>
      </c>
      <c r="B2470" s="1">
        <v>45112</v>
      </c>
      <c r="D2470">
        <v>39</v>
      </c>
      <c r="E2470" t="s">
        <v>6</v>
      </c>
      <c r="F2470" t="s">
        <v>7</v>
      </c>
      <c r="G2470" s="1">
        <f t="shared" si="114"/>
        <v>45199</v>
      </c>
      <c r="H2470">
        <f t="shared" si="115"/>
        <v>2</v>
      </c>
      <c r="I2470">
        <f t="shared" si="116"/>
        <v>0</v>
      </c>
      <c r="J2470">
        <f>IF(Table1[[#This Row],[Active_months]]&gt;=1, 1, 0)</f>
        <v>1</v>
      </c>
    </row>
    <row r="2471" spans="1:10" x14ac:dyDescent="0.3">
      <c r="A2471">
        <v>135240372</v>
      </c>
      <c r="B2471" s="1">
        <v>45112</v>
      </c>
      <c r="D2471">
        <v>39</v>
      </c>
      <c r="E2471" t="s">
        <v>6</v>
      </c>
      <c r="F2471" t="s">
        <v>7</v>
      </c>
      <c r="G2471" s="1">
        <f t="shared" si="114"/>
        <v>45199</v>
      </c>
      <c r="H2471">
        <f t="shared" si="115"/>
        <v>2</v>
      </c>
      <c r="I2471">
        <f t="shared" si="116"/>
        <v>0</v>
      </c>
      <c r="J2471">
        <f>IF(Table1[[#This Row],[Active_months]]&gt;=1, 1, 0)</f>
        <v>1</v>
      </c>
    </row>
    <row r="2472" spans="1:10" x14ac:dyDescent="0.3">
      <c r="A2472">
        <v>218275834</v>
      </c>
      <c r="B2472" s="1">
        <v>45112</v>
      </c>
      <c r="D2472">
        <v>39</v>
      </c>
      <c r="E2472" t="s">
        <v>6</v>
      </c>
      <c r="F2472" t="s">
        <v>7</v>
      </c>
      <c r="G2472" s="1">
        <f t="shared" si="114"/>
        <v>45199</v>
      </c>
      <c r="H2472">
        <f t="shared" si="115"/>
        <v>2</v>
      </c>
      <c r="I2472">
        <f t="shared" si="116"/>
        <v>0</v>
      </c>
      <c r="J2472">
        <f>IF(Table1[[#This Row],[Active_months]]&gt;=1, 1, 0)</f>
        <v>1</v>
      </c>
    </row>
    <row r="2473" spans="1:10" x14ac:dyDescent="0.3">
      <c r="A2473">
        <v>218028076</v>
      </c>
      <c r="B2473" s="1">
        <v>45112</v>
      </c>
      <c r="D2473">
        <v>39</v>
      </c>
      <c r="E2473" t="s">
        <v>6</v>
      </c>
      <c r="F2473" t="s">
        <v>7</v>
      </c>
      <c r="G2473" s="1">
        <f t="shared" si="114"/>
        <v>45199</v>
      </c>
      <c r="H2473">
        <f t="shared" si="115"/>
        <v>2</v>
      </c>
      <c r="I2473">
        <f t="shared" si="116"/>
        <v>0</v>
      </c>
      <c r="J2473">
        <f>IF(Table1[[#This Row],[Active_months]]&gt;=1, 1, 0)</f>
        <v>1</v>
      </c>
    </row>
    <row r="2474" spans="1:10" x14ac:dyDescent="0.3">
      <c r="A2474">
        <v>164254865</v>
      </c>
      <c r="B2474" s="1">
        <v>45112</v>
      </c>
      <c r="D2474">
        <v>39</v>
      </c>
      <c r="E2474" t="s">
        <v>6</v>
      </c>
      <c r="F2474" t="s">
        <v>7</v>
      </c>
      <c r="G2474" s="1">
        <f t="shared" si="114"/>
        <v>45199</v>
      </c>
      <c r="H2474">
        <f t="shared" si="115"/>
        <v>2</v>
      </c>
      <c r="I2474">
        <f t="shared" si="116"/>
        <v>0</v>
      </c>
      <c r="J2474">
        <f>IF(Table1[[#This Row],[Active_months]]&gt;=1, 1, 0)</f>
        <v>1</v>
      </c>
    </row>
    <row r="2475" spans="1:10" x14ac:dyDescent="0.3">
      <c r="A2475">
        <v>218274904</v>
      </c>
      <c r="B2475" s="1">
        <v>45112</v>
      </c>
      <c r="C2475" s="1">
        <v>45113</v>
      </c>
      <c r="D2475">
        <v>39</v>
      </c>
      <c r="E2475" t="s">
        <v>6</v>
      </c>
      <c r="F2475" t="s">
        <v>8</v>
      </c>
      <c r="G2475" s="1">
        <f t="shared" si="114"/>
        <v>45113</v>
      </c>
      <c r="H2475">
        <f t="shared" si="115"/>
        <v>0</v>
      </c>
      <c r="I2475">
        <f t="shared" si="116"/>
        <v>0</v>
      </c>
      <c r="J2475">
        <f>IF(Table1[[#This Row],[Active_months]]&gt;=1, 1, 0)</f>
        <v>0</v>
      </c>
    </row>
    <row r="2476" spans="1:10" x14ac:dyDescent="0.3">
      <c r="A2476">
        <v>208473540</v>
      </c>
      <c r="B2476" s="1">
        <v>45112</v>
      </c>
      <c r="C2476" s="1">
        <v>45177</v>
      </c>
      <c r="D2476">
        <v>39</v>
      </c>
      <c r="E2476" t="s">
        <v>6</v>
      </c>
      <c r="F2476" t="s">
        <v>7</v>
      </c>
      <c r="G2476" s="1">
        <f t="shared" si="114"/>
        <v>45177</v>
      </c>
      <c r="H2476">
        <f t="shared" si="115"/>
        <v>2</v>
      </c>
      <c r="I2476">
        <f t="shared" si="116"/>
        <v>0</v>
      </c>
      <c r="J2476">
        <f>IF(Table1[[#This Row],[Active_months]]&gt;=1, 1, 0)</f>
        <v>1</v>
      </c>
    </row>
    <row r="2477" spans="1:10" x14ac:dyDescent="0.3">
      <c r="A2477">
        <v>218233516</v>
      </c>
      <c r="B2477" s="1">
        <v>45112</v>
      </c>
      <c r="C2477" s="1">
        <v>45146</v>
      </c>
      <c r="D2477">
        <v>39</v>
      </c>
      <c r="E2477" t="s">
        <v>6</v>
      </c>
      <c r="F2477" t="s">
        <v>7</v>
      </c>
      <c r="G2477" s="1">
        <f t="shared" si="114"/>
        <v>45146</v>
      </c>
      <c r="H2477">
        <f t="shared" si="115"/>
        <v>1</v>
      </c>
      <c r="I2477">
        <f t="shared" si="116"/>
        <v>0</v>
      </c>
      <c r="J2477">
        <f>IF(Table1[[#This Row],[Active_months]]&gt;=1, 1, 0)</f>
        <v>1</v>
      </c>
    </row>
    <row r="2478" spans="1:10" x14ac:dyDescent="0.3">
      <c r="A2478">
        <v>218261606</v>
      </c>
      <c r="B2478" s="1">
        <v>45112</v>
      </c>
      <c r="C2478" s="1">
        <v>45155</v>
      </c>
      <c r="D2478">
        <v>39</v>
      </c>
      <c r="E2478" t="s">
        <v>6</v>
      </c>
      <c r="F2478" t="s">
        <v>7</v>
      </c>
      <c r="G2478" s="1">
        <f t="shared" si="114"/>
        <v>45155</v>
      </c>
      <c r="H2478">
        <f t="shared" si="115"/>
        <v>1</v>
      </c>
      <c r="I2478">
        <f t="shared" si="116"/>
        <v>0</v>
      </c>
      <c r="J2478">
        <f>IF(Table1[[#This Row],[Active_months]]&gt;=1, 1, 0)</f>
        <v>1</v>
      </c>
    </row>
    <row r="2479" spans="1:10" x14ac:dyDescent="0.3">
      <c r="A2479">
        <v>218289472</v>
      </c>
      <c r="B2479" s="1">
        <v>45112</v>
      </c>
      <c r="C2479" s="1">
        <v>45113</v>
      </c>
      <c r="D2479">
        <v>39</v>
      </c>
      <c r="E2479" t="s">
        <v>6</v>
      </c>
      <c r="F2479" t="s">
        <v>7</v>
      </c>
      <c r="G2479" s="1">
        <f t="shared" si="114"/>
        <v>45113</v>
      </c>
      <c r="H2479">
        <f t="shared" si="115"/>
        <v>0</v>
      </c>
      <c r="I2479">
        <f t="shared" si="116"/>
        <v>0</v>
      </c>
      <c r="J2479">
        <f>IF(Table1[[#This Row],[Active_months]]&gt;=1, 1, 0)</f>
        <v>0</v>
      </c>
    </row>
    <row r="2480" spans="1:10" x14ac:dyDescent="0.3">
      <c r="A2480">
        <v>215946425</v>
      </c>
      <c r="B2480" s="1">
        <v>45112</v>
      </c>
      <c r="C2480" s="1">
        <v>45136</v>
      </c>
      <c r="D2480">
        <v>39</v>
      </c>
      <c r="E2480" t="s">
        <v>6</v>
      </c>
      <c r="F2480" t="s">
        <v>7</v>
      </c>
      <c r="G2480" s="1">
        <f t="shared" si="114"/>
        <v>45136</v>
      </c>
      <c r="H2480">
        <f t="shared" si="115"/>
        <v>0</v>
      </c>
      <c r="I2480">
        <f t="shared" si="116"/>
        <v>0</v>
      </c>
      <c r="J2480">
        <f>IF(Table1[[#This Row],[Active_months]]&gt;=1, 1, 0)</f>
        <v>0</v>
      </c>
    </row>
    <row r="2481" spans="1:10" x14ac:dyDescent="0.3">
      <c r="A2481">
        <v>218284850</v>
      </c>
      <c r="B2481" s="1">
        <v>45112</v>
      </c>
      <c r="C2481" s="1">
        <v>45136</v>
      </c>
      <c r="D2481">
        <v>39</v>
      </c>
      <c r="E2481" t="s">
        <v>6</v>
      </c>
      <c r="F2481" t="s">
        <v>7</v>
      </c>
      <c r="G2481" s="1">
        <f t="shared" si="114"/>
        <v>45136</v>
      </c>
      <c r="H2481">
        <f t="shared" si="115"/>
        <v>0</v>
      </c>
      <c r="I2481">
        <f t="shared" si="116"/>
        <v>0</v>
      </c>
      <c r="J2481">
        <f>IF(Table1[[#This Row],[Active_months]]&gt;=1, 1, 0)</f>
        <v>0</v>
      </c>
    </row>
    <row r="2482" spans="1:10" x14ac:dyDescent="0.3">
      <c r="A2482">
        <v>202151053</v>
      </c>
      <c r="B2482" s="1">
        <v>45113</v>
      </c>
      <c r="D2482">
        <v>39</v>
      </c>
      <c r="E2482" t="s">
        <v>6</v>
      </c>
      <c r="F2482" t="s">
        <v>7</v>
      </c>
      <c r="G2482" s="1">
        <f t="shared" si="114"/>
        <v>45199</v>
      </c>
      <c r="H2482">
        <f t="shared" si="115"/>
        <v>2</v>
      </c>
      <c r="I2482">
        <f t="shared" si="116"/>
        <v>0</v>
      </c>
      <c r="J2482">
        <f>IF(Table1[[#This Row],[Active_months]]&gt;=1, 1, 0)</f>
        <v>1</v>
      </c>
    </row>
    <row r="2483" spans="1:10" x14ac:dyDescent="0.3">
      <c r="A2483">
        <v>112301350</v>
      </c>
      <c r="B2483" s="1">
        <v>45113</v>
      </c>
      <c r="D2483">
        <v>39</v>
      </c>
      <c r="E2483" t="s">
        <v>6</v>
      </c>
      <c r="F2483" t="s">
        <v>7</v>
      </c>
      <c r="G2483" s="1">
        <f t="shared" si="114"/>
        <v>45199</v>
      </c>
      <c r="H2483">
        <f t="shared" si="115"/>
        <v>2</v>
      </c>
      <c r="I2483">
        <f t="shared" si="116"/>
        <v>0</v>
      </c>
      <c r="J2483">
        <f>IF(Table1[[#This Row],[Active_months]]&gt;=1, 1, 0)</f>
        <v>1</v>
      </c>
    </row>
    <row r="2484" spans="1:10" x14ac:dyDescent="0.3">
      <c r="A2484">
        <v>218300918</v>
      </c>
      <c r="B2484" s="1">
        <v>45113</v>
      </c>
      <c r="D2484">
        <v>39</v>
      </c>
      <c r="E2484" t="s">
        <v>6</v>
      </c>
      <c r="F2484" t="s">
        <v>7</v>
      </c>
      <c r="G2484" s="1">
        <f t="shared" si="114"/>
        <v>45199</v>
      </c>
      <c r="H2484">
        <f t="shared" si="115"/>
        <v>2</v>
      </c>
      <c r="I2484">
        <f t="shared" si="116"/>
        <v>0</v>
      </c>
      <c r="J2484">
        <f>IF(Table1[[#This Row],[Active_months]]&gt;=1, 1, 0)</f>
        <v>1</v>
      </c>
    </row>
    <row r="2485" spans="1:10" x14ac:dyDescent="0.3">
      <c r="A2485">
        <v>205452800</v>
      </c>
      <c r="B2485" s="1">
        <v>45113</v>
      </c>
      <c r="D2485">
        <v>39</v>
      </c>
      <c r="E2485" t="s">
        <v>6</v>
      </c>
      <c r="F2485" t="s">
        <v>7</v>
      </c>
      <c r="G2485" s="1">
        <f t="shared" si="114"/>
        <v>45199</v>
      </c>
      <c r="H2485">
        <f t="shared" si="115"/>
        <v>2</v>
      </c>
      <c r="I2485">
        <f t="shared" si="116"/>
        <v>0</v>
      </c>
      <c r="J2485">
        <f>IF(Table1[[#This Row],[Active_months]]&gt;=1, 1, 0)</f>
        <v>1</v>
      </c>
    </row>
    <row r="2486" spans="1:10" x14ac:dyDescent="0.3">
      <c r="A2486">
        <v>218278300</v>
      </c>
      <c r="B2486" s="1">
        <v>45113</v>
      </c>
      <c r="D2486">
        <v>39</v>
      </c>
      <c r="E2486" t="s">
        <v>6</v>
      </c>
      <c r="F2486" t="s">
        <v>7</v>
      </c>
      <c r="G2486" s="1">
        <f t="shared" si="114"/>
        <v>45199</v>
      </c>
      <c r="H2486">
        <f t="shared" si="115"/>
        <v>2</v>
      </c>
      <c r="I2486">
        <f t="shared" si="116"/>
        <v>0</v>
      </c>
      <c r="J2486">
        <f>IF(Table1[[#This Row],[Active_months]]&gt;=1, 1, 0)</f>
        <v>1</v>
      </c>
    </row>
    <row r="2487" spans="1:10" x14ac:dyDescent="0.3">
      <c r="A2487">
        <v>216920844</v>
      </c>
      <c r="B2487" s="1">
        <v>45113</v>
      </c>
      <c r="D2487">
        <v>39</v>
      </c>
      <c r="E2487" t="s">
        <v>6</v>
      </c>
      <c r="F2487" t="s">
        <v>7</v>
      </c>
      <c r="G2487" s="1">
        <f t="shared" si="114"/>
        <v>45199</v>
      </c>
      <c r="H2487">
        <f t="shared" si="115"/>
        <v>2</v>
      </c>
      <c r="I2487">
        <f t="shared" si="116"/>
        <v>0</v>
      </c>
      <c r="J2487">
        <f>IF(Table1[[#This Row],[Active_months]]&gt;=1, 1, 0)</f>
        <v>1</v>
      </c>
    </row>
    <row r="2488" spans="1:10" x14ac:dyDescent="0.3">
      <c r="A2488">
        <v>127100688</v>
      </c>
      <c r="B2488" s="1">
        <v>45113</v>
      </c>
      <c r="C2488" s="1">
        <v>45140</v>
      </c>
      <c r="D2488">
        <v>39</v>
      </c>
      <c r="E2488" t="s">
        <v>6</v>
      </c>
      <c r="F2488" t="s">
        <v>7</v>
      </c>
      <c r="G2488" s="1">
        <f t="shared" si="114"/>
        <v>45140</v>
      </c>
      <c r="H2488">
        <f t="shared" si="115"/>
        <v>1</v>
      </c>
      <c r="I2488">
        <f t="shared" si="116"/>
        <v>0</v>
      </c>
      <c r="J2488">
        <f>IF(Table1[[#This Row],[Active_months]]&gt;=1, 1, 0)</f>
        <v>1</v>
      </c>
    </row>
    <row r="2489" spans="1:10" x14ac:dyDescent="0.3">
      <c r="A2489">
        <v>218345379</v>
      </c>
      <c r="B2489" s="1">
        <v>45113</v>
      </c>
      <c r="C2489" s="1">
        <v>45151</v>
      </c>
      <c r="D2489">
        <v>39</v>
      </c>
      <c r="E2489" t="s">
        <v>6</v>
      </c>
      <c r="F2489" t="s">
        <v>7</v>
      </c>
      <c r="G2489" s="1">
        <f t="shared" si="114"/>
        <v>45151</v>
      </c>
      <c r="H2489">
        <f t="shared" si="115"/>
        <v>1</v>
      </c>
      <c r="I2489">
        <f t="shared" si="116"/>
        <v>0</v>
      </c>
      <c r="J2489">
        <f>IF(Table1[[#This Row],[Active_months]]&gt;=1, 1, 0)</f>
        <v>1</v>
      </c>
    </row>
    <row r="2490" spans="1:10" x14ac:dyDescent="0.3">
      <c r="A2490">
        <v>183507186</v>
      </c>
      <c r="B2490" s="1">
        <v>45113</v>
      </c>
      <c r="C2490" s="1">
        <v>45144</v>
      </c>
      <c r="D2490">
        <v>39</v>
      </c>
      <c r="E2490" t="s">
        <v>6</v>
      </c>
      <c r="F2490" t="s">
        <v>7</v>
      </c>
      <c r="G2490" s="1">
        <f t="shared" si="114"/>
        <v>45144</v>
      </c>
      <c r="H2490">
        <f t="shared" si="115"/>
        <v>1</v>
      </c>
      <c r="I2490">
        <f t="shared" si="116"/>
        <v>0</v>
      </c>
      <c r="J2490">
        <f>IF(Table1[[#This Row],[Active_months]]&gt;=1, 1, 0)</f>
        <v>1</v>
      </c>
    </row>
    <row r="2491" spans="1:10" x14ac:dyDescent="0.3">
      <c r="A2491">
        <v>218133430</v>
      </c>
      <c r="B2491" s="1">
        <v>45114</v>
      </c>
      <c r="D2491">
        <v>39</v>
      </c>
      <c r="E2491" t="s">
        <v>6</v>
      </c>
      <c r="F2491" t="s">
        <v>7</v>
      </c>
      <c r="G2491" s="1">
        <f t="shared" si="114"/>
        <v>45199</v>
      </c>
      <c r="H2491">
        <f t="shared" si="115"/>
        <v>2</v>
      </c>
      <c r="I2491">
        <f t="shared" si="116"/>
        <v>0</v>
      </c>
      <c r="J2491">
        <f>IF(Table1[[#This Row],[Active_months]]&gt;=1, 1, 0)</f>
        <v>1</v>
      </c>
    </row>
    <row r="2492" spans="1:10" x14ac:dyDescent="0.3">
      <c r="A2492">
        <v>147813476</v>
      </c>
      <c r="B2492" s="1">
        <v>45114</v>
      </c>
      <c r="D2492">
        <v>39</v>
      </c>
      <c r="E2492" t="s">
        <v>6</v>
      </c>
      <c r="F2492" t="s">
        <v>7</v>
      </c>
      <c r="G2492" s="1">
        <f t="shared" si="114"/>
        <v>45199</v>
      </c>
      <c r="H2492">
        <f t="shared" si="115"/>
        <v>2</v>
      </c>
      <c r="I2492">
        <f t="shared" si="116"/>
        <v>0</v>
      </c>
      <c r="J2492">
        <f>IF(Table1[[#This Row],[Active_months]]&gt;=1, 1, 0)</f>
        <v>1</v>
      </c>
    </row>
    <row r="2493" spans="1:10" x14ac:dyDescent="0.3">
      <c r="A2493">
        <v>218375754</v>
      </c>
      <c r="B2493" s="1">
        <v>45114</v>
      </c>
      <c r="D2493">
        <v>39</v>
      </c>
      <c r="E2493" t="s">
        <v>6</v>
      </c>
      <c r="F2493" t="s">
        <v>7</v>
      </c>
      <c r="G2493" s="1">
        <f t="shared" si="114"/>
        <v>45199</v>
      </c>
      <c r="H2493">
        <f t="shared" si="115"/>
        <v>2</v>
      </c>
      <c r="I2493">
        <f t="shared" si="116"/>
        <v>0</v>
      </c>
      <c r="J2493">
        <f>IF(Table1[[#This Row],[Active_months]]&gt;=1, 1, 0)</f>
        <v>1</v>
      </c>
    </row>
    <row r="2494" spans="1:10" x14ac:dyDescent="0.3">
      <c r="A2494">
        <v>216000482</v>
      </c>
      <c r="B2494" s="1">
        <v>45114</v>
      </c>
      <c r="D2494">
        <v>39</v>
      </c>
      <c r="E2494" t="s">
        <v>6</v>
      </c>
      <c r="F2494" t="s">
        <v>7</v>
      </c>
      <c r="G2494" s="1">
        <f t="shared" si="114"/>
        <v>45199</v>
      </c>
      <c r="H2494">
        <f t="shared" si="115"/>
        <v>2</v>
      </c>
      <c r="I2494">
        <f t="shared" si="116"/>
        <v>0</v>
      </c>
      <c r="J2494">
        <f>IF(Table1[[#This Row],[Active_months]]&gt;=1, 1, 0)</f>
        <v>1</v>
      </c>
    </row>
    <row r="2495" spans="1:10" x14ac:dyDescent="0.3">
      <c r="A2495">
        <v>161549477</v>
      </c>
      <c r="B2495" s="1">
        <v>45114</v>
      </c>
      <c r="D2495">
        <v>39</v>
      </c>
      <c r="E2495" t="s">
        <v>6</v>
      </c>
      <c r="F2495" t="s">
        <v>7</v>
      </c>
      <c r="G2495" s="1">
        <f t="shared" si="114"/>
        <v>45199</v>
      </c>
      <c r="H2495">
        <f t="shared" si="115"/>
        <v>2</v>
      </c>
      <c r="I2495">
        <f t="shared" si="116"/>
        <v>0</v>
      </c>
      <c r="J2495">
        <f>IF(Table1[[#This Row],[Active_months]]&gt;=1, 1, 0)</f>
        <v>1</v>
      </c>
    </row>
    <row r="2496" spans="1:10" x14ac:dyDescent="0.3">
      <c r="A2496">
        <v>133444654</v>
      </c>
      <c r="B2496" s="1">
        <v>45114</v>
      </c>
      <c r="C2496" s="1">
        <v>45117</v>
      </c>
      <c r="D2496">
        <v>39</v>
      </c>
      <c r="E2496" t="s">
        <v>6</v>
      </c>
      <c r="F2496" t="s">
        <v>7</v>
      </c>
      <c r="G2496" s="1">
        <f t="shared" si="114"/>
        <v>45117</v>
      </c>
      <c r="H2496">
        <f t="shared" si="115"/>
        <v>0</v>
      </c>
      <c r="I2496">
        <f t="shared" si="116"/>
        <v>0</v>
      </c>
      <c r="J2496">
        <f>IF(Table1[[#This Row],[Active_months]]&gt;=1, 1, 0)</f>
        <v>0</v>
      </c>
    </row>
    <row r="2497" spans="1:10" x14ac:dyDescent="0.3">
      <c r="A2497">
        <v>217883594</v>
      </c>
      <c r="B2497" s="1">
        <v>45114</v>
      </c>
      <c r="C2497" s="1">
        <v>45134</v>
      </c>
      <c r="D2497">
        <v>39</v>
      </c>
      <c r="E2497" t="s">
        <v>6</v>
      </c>
      <c r="F2497" t="s">
        <v>7</v>
      </c>
      <c r="G2497" s="1">
        <f t="shared" si="114"/>
        <v>45134</v>
      </c>
      <c r="H2497">
        <f t="shared" si="115"/>
        <v>0</v>
      </c>
      <c r="I2497">
        <f t="shared" si="116"/>
        <v>0</v>
      </c>
      <c r="J2497">
        <f>IF(Table1[[#This Row],[Active_months]]&gt;=1, 1, 0)</f>
        <v>0</v>
      </c>
    </row>
    <row r="2498" spans="1:10" x14ac:dyDescent="0.3">
      <c r="A2498">
        <v>197752733</v>
      </c>
      <c r="B2498" s="1">
        <v>45115</v>
      </c>
      <c r="D2498">
        <v>39</v>
      </c>
      <c r="E2498" t="s">
        <v>6</v>
      </c>
      <c r="F2498" t="s">
        <v>7</v>
      </c>
      <c r="G2498" s="1">
        <f t="shared" si="114"/>
        <v>45199</v>
      </c>
      <c r="H2498">
        <f t="shared" si="115"/>
        <v>2</v>
      </c>
      <c r="I2498">
        <f t="shared" si="116"/>
        <v>0</v>
      </c>
      <c r="J2498">
        <f>IF(Table1[[#This Row],[Active_months]]&gt;=1, 1, 0)</f>
        <v>1</v>
      </c>
    </row>
    <row r="2499" spans="1:10" x14ac:dyDescent="0.3">
      <c r="A2499">
        <v>175884318</v>
      </c>
      <c r="B2499" s="1">
        <v>45115</v>
      </c>
      <c r="D2499">
        <v>39</v>
      </c>
      <c r="E2499" t="s">
        <v>6</v>
      </c>
      <c r="F2499" t="s">
        <v>7</v>
      </c>
      <c r="G2499" s="1">
        <f t="shared" ref="G2499:G2562" si="117">IF(ISBLANK(C2499), DATE(2023,9,30), C2499)</f>
        <v>45199</v>
      </c>
      <c r="H2499">
        <f t="shared" ref="H2499:H2562" si="118">(YEAR(G2499)-YEAR(B2499))*12 + (MONTH(G2499)-MONTH(B2499))</f>
        <v>2</v>
      </c>
      <c r="I2499">
        <f t="shared" ref="I2499:I2562" si="119">IF(H2499 &gt;=5, 1, 0)</f>
        <v>0</v>
      </c>
      <c r="J2499">
        <f>IF(Table1[[#This Row],[Active_months]]&gt;=1, 1, 0)</f>
        <v>1</v>
      </c>
    </row>
    <row r="2500" spans="1:10" x14ac:dyDescent="0.3">
      <c r="A2500">
        <v>218413958</v>
      </c>
      <c r="B2500" s="1">
        <v>45115</v>
      </c>
      <c r="D2500">
        <v>39</v>
      </c>
      <c r="E2500" t="s">
        <v>6</v>
      </c>
      <c r="F2500" t="s">
        <v>7</v>
      </c>
      <c r="G2500" s="1">
        <f t="shared" si="117"/>
        <v>45199</v>
      </c>
      <c r="H2500">
        <f t="shared" si="118"/>
        <v>2</v>
      </c>
      <c r="I2500">
        <f t="shared" si="119"/>
        <v>0</v>
      </c>
      <c r="J2500">
        <f>IF(Table1[[#This Row],[Active_months]]&gt;=1, 1, 0)</f>
        <v>1</v>
      </c>
    </row>
    <row r="2501" spans="1:10" x14ac:dyDescent="0.3">
      <c r="A2501">
        <v>218434925</v>
      </c>
      <c r="B2501" s="1">
        <v>45115</v>
      </c>
      <c r="D2501">
        <v>39</v>
      </c>
      <c r="E2501" t="s">
        <v>6</v>
      </c>
      <c r="F2501" t="s">
        <v>7</v>
      </c>
      <c r="G2501" s="1">
        <f t="shared" si="117"/>
        <v>45199</v>
      </c>
      <c r="H2501">
        <f t="shared" si="118"/>
        <v>2</v>
      </c>
      <c r="I2501">
        <f t="shared" si="119"/>
        <v>0</v>
      </c>
      <c r="J2501">
        <f>IF(Table1[[#This Row],[Active_months]]&gt;=1, 1, 0)</f>
        <v>1</v>
      </c>
    </row>
    <row r="2502" spans="1:10" x14ac:dyDescent="0.3">
      <c r="A2502">
        <v>156817946</v>
      </c>
      <c r="B2502" s="1">
        <v>45115</v>
      </c>
      <c r="D2502">
        <v>39</v>
      </c>
      <c r="E2502" t="s">
        <v>6</v>
      </c>
      <c r="F2502" t="s">
        <v>7</v>
      </c>
      <c r="G2502" s="1">
        <f t="shared" si="117"/>
        <v>45199</v>
      </c>
      <c r="H2502">
        <f t="shared" si="118"/>
        <v>2</v>
      </c>
      <c r="I2502">
        <f t="shared" si="119"/>
        <v>0</v>
      </c>
      <c r="J2502">
        <f>IF(Table1[[#This Row],[Active_months]]&gt;=1, 1, 0)</f>
        <v>1</v>
      </c>
    </row>
    <row r="2503" spans="1:10" x14ac:dyDescent="0.3">
      <c r="A2503">
        <v>218427268</v>
      </c>
      <c r="B2503" s="1">
        <v>45115</v>
      </c>
      <c r="D2503">
        <v>39</v>
      </c>
      <c r="E2503" t="s">
        <v>6</v>
      </c>
      <c r="F2503" t="s">
        <v>7</v>
      </c>
      <c r="G2503" s="1">
        <f t="shared" si="117"/>
        <v>45199</v>
      </c>
      <c r="H2503">
        <f t="shared" si="118"/>
        <v>2</v>
      </c>
      <c r="I2503">
        <f t="shared" si="119"/>
        <v>0</v>
      </c>
      <c r="J2503">
        <f>IF(Table1[[#This Row],[Active_months]]&gt;=1, 1, 0)</f>
        <v>1</v>
      </c>
    </row>
    <row r="2504" spans="1:10" x14ac:dyDescent="0.3">
      <c r="A2504">
        <v>208492287</v>
      </c>
      <c r="B2504" s="1">
        <v>45115</v>
      </c>
      <c r="D2504">
        <v>39</v>
      </c>
      <c r="E2504" t="s">
        <v>6</v>
      </c>
      <c r="F2504" t="s">
        <v>7</v>
      </c>
      <c r="G2504" s="1">
        <f t="shared" si="117"/>
        <v>45199</v>
      </c>
      <c r="H2504">
        <f t="shared" si="118"/>
        <v>2</v>
      </c>
      <c r="I2504">
        <f t="shared" si="119"/>
        <v>0</v>
      </c>
      <c r="J2504">
        <f>IF(Table1[[#This Row],[Active_months]]&gt;=1, 1, 0)</f>
        <v>1</v>
      </c>
    </row>
    <row r="2505" spans="1:10" x14ac:dyDescent="0.3">
      <c r="A2505">
        <v>217499098</v>
      </c>
      <c r="B2505" s="1">
        <v>45115</v>
      </c>
      <c r="C2505" s="1">
        <v>45116</v>
      </c>
      <c r="D2505">
        <v>39</v>
      </c>
      <c r="E2505" t="s">
        <v>6</v>
      </c>
      <c r="F2505" t="s">
        <v>7</v>
      </c>
      <c r="G2505" s="1">
        <f t="shared" si="117"/>
        <v>45116</v>
      </c>
      <c r="H2505">
        <f t="shared" si="118"/>
        <v>0</v>
      </c>
      <c r="I2505">
        <f t="shared" si="119"/>
        <v>0</v>
      </c>
      <c r="J2505">
        <f>IF(Table1[[#This Row],[Active_months]]&gt;=1, 1, 0)</f>
        <v>0</v>
      </c>
    </row>
    <row r="2506" spans="1:10" x14ac:dyDescent="0.3">
      <c r="A2506">
        <v>215723331</v>
      </c>
      <c r="B2506" s="1">
        <v>45115</v>
      </c>
      <c r="C2506" s="1">
        <v>45153</v>
      </c>
      <c r="D2506">
        <v>39</v>
      </c>
      <c r="E2506" t="s">
        <v>6</v>
      </c>
      <c r="F2506" t="s">
        <v>7</v>
      </c>
      <c r="G2506" s="1">
        <f t="shared" si="117"/>
        <v>45153</v>
      </c>
      <c r="H2506">
        <f t="shared" si="118"/>
        <v>1</v>
      </c>
      <c r="I2506">
        <f t="shared" si="119"/>
        <v>0</v>
      </c>
      <c r="J2506">
        <f>IF(Table1[[#This Row],[Active_months]]&gt;=1, 1, 0)</f>
        <v>1</v>
      </c>
    </row>
    <row r="2507" spans="1:10" x14ac:dyDescent="0.3">
      <c r="A2507">
        <v>122616074</v>
      </c>
      <c r="B2507" s="1">
        <v>45116</v>
      </c>
      <c r="D2507">
        <v>39</v>
      </c>
      <c r="E2507" t="s">
        <v>6</v>
      </c>
      <c r="F2507" t="s">
        <v>7</v>
      </c>
      <c r="G2507" s="1">
        <f t="shared" si="117"/>
        <v>45199</v>
      </c>
      <c r="H2507">
        <f t="shared" si="118"/>
        <v>2</v>
      </c>
      <c r="I2507">
        <f t="shared" si="119"/>
        <v>0</v>
      </c>
      <c r="J2507">
        <f>IF(Table1[[#This Row],[Active_months]]&gt;=1, 1, 0)</f>
        <v>1</v>
      </c>
    </row>
    <row r="2508" spans="1:10" x14ac:dyDescent="0.3">
      <c r="A2508">
        <v>218367490</v>
      </c>
      <c r="B2508" s="1">
        <v>45116</v>
      </c>
      <c r="D2508">
        <v>39</v>
      </c>
      <c r="E2508" t="s">
        <v>6</v>
      </c>
      <c r="F2508" t="s">
        <v>7</v>
      </c>
      <c r="G2508" s="1">
        <f t="shared" si="117"/>
        <v>45199</v>
      </c>
      <c r="H2508">
        <f t="shared" si="118"/>
        <v>2</v>
      </c>
      <c r="I2508">
        <f t="shared" si="119"/>
        <v>0</v>
      </c>
      <c r="J2508">
        <f>IF(Table1[[#This Row],[Active_months]]&gt;=1, 1, 0)</f>
        <v>1</v>
      </c>
    </row>
    <row r="2509" spans="1:10" x14ac:dyDescent="0.3">
      <c r="A2509">
        <v>218415420</v>
      </c>
      <c r="B2509" s="1">
        <v>45116</v>
      </c>
      <c r="D2509">
        <v>39</v>
      </c>
      <c r="E2509" t="s">
        <v>6</v>
      </c>
      <c r="F2509" t="s">
        <v>7</v>
      </c>
      <c r="G2509" s="1">
        <f t="shared" si="117"/>
        <v>45199</v>
      </c>
      <c r="H2509">
        <f t="shared" si="118"/>
        <v>2</v>
      </c>
      <c r="I2509">
        <f t="shared" si="119"/>
        <v>0</v>
      </c>
      <c r="J2509">
        <f>IF(Table1[[#This Row],[Active_months]]&gt;=1, 1, 0)</f>
        <v>1</v>
      </c>
    </row>
    <row r="2510" spans="1:10" x14ac:dyDescent="0.3">
      <c r="A2510">
        <v>135785962</v>
      </c>
      <c r="B2510" s="1">
        <v>45116</v>
      </c>
      <c r="D2510">
        <v>39</v>
      </c>
      <c r="E2510" t="s">
        <v>6</v>
      </c>
      <c r="F2510" t="s">
        <v>7</v>
      </c>
      <c r="G2510" s="1">
        <f t="shared" si="117"/>
        <v>45199</v>
      </c>
      <c r="H2510">
        <f t="shared" si="118"/>
        <v>2</v>
      </c>
      <c r="I2510">
        <f t="shared" si="119"/>
        <v>0</v>
      </c>
      <c r="J2510">
        <f>IF(Table1[[#This Row],[Active_months]]&gt;=1, 1, 0)</f>
        <v>1</v>
      </c>
    </row>
    <row r="2511" spans="1:10" x14ac:dyDescent="0.3">
      <c r="A2511">
        <v>206121650</v>
      </c>
      <c r="B2511" s="1">
        <v>45116</v>
      </c>
      <c r="C2511" s="1">
        <v>45117</v>
      </c>
      <c r="D2511">
        <v>39</v>
      </c>
      <c r="E2511" t="s">
        <v>6</v>
      </c>
      <c r="F2511" t="s">
        <v>7</v>
      </c>
      <c r="G2511" s="1">
        <f t="shared" si="117"/>
        <v>45117</v>
      </c>
      <c r="H2511">
        <f t="shared" si="118"/>
        <v>0</v>
      </c>
      <c r="I2511">
        <f t="shared" si="119"/>
        <v>0</v>
      </c>
      <c r="J2511">
        <f>IF(Table1[[#This Row],[Active_months]]&gt;=1, 1, 0)</f>
        <v>0</v>
      </c>
    </row>
    <row r="2512" spans="1:10" x14ac:dyDescent="0.3">
      <c r="A2512">
        <v>218129819</v>
      </c>
      <c r="B2512" s="1">
        <v>45116</v>
      </c>
      <c r="C2512" s="1">
        <v>45141</v>
      </c>
      <c r="D2512">
        <v>39</v>
      </c>
      <c r="E2512" t="s">
        <v>6</v>
      </c>
      <c r="F2512" t="s">
        <v>7</v>
      </c>
      <c r="G2512" s="1">
        <f t="shared" si="117"/>
        <v>45141</v>
      </c>
      <c r="H2512">
        <f t="shared" si="118"/>
        <v>1</v>
      </c>
      <c r="I2512">
        <f t="shared" si="119"/>
        <v>0</v>
      </c>
      <c r="J2512">
        <f>IF(Table1[[#This Row],[Active_months]]&gt;=1, 1, 0)</f>
        <v>1</v>
      </c>
    </row>
    <row r="2513" spans="1:10" x14ac:dyDescent="0.3">
      <c r="A2513">
        <v>217766676</v>
      </c>
      <c r="B2513" s="1">
        <v>45116</v>
      </c>
      <c r="C2513" s="1">
        <v>45134</v>
      </c>
      <c r="D2513">
        <v>39</v>
      </c>
      <c r="E2513" t="s">
        <v>6</v>
      </c>
      <c r="F2513" t="s">
        <v>7</v>
      </c>
      <c r="G2513" s="1">
        <f t="shared" si="117"/>
        <v>45134</v>
      </c>
      <c r="H2513">
        <f t="shared" si="118"/>
        <v>0</v>
      </c>
      <c r="I2513">
        <f t="shared" si="119"/>
        <v>0</v>
      </c>
      <c r="J2513">
        <f>IF(Table1[[#This Row],[Active_months]]&gt;=1, 1, 0)</f>
        <v>0</v>
      </c>
    </row>
    <row r="2514" spans="1:10" x14ac:dyDescent="0.3">
      <c r="A2514">
        <v>216886336</v>
      </c>
      <c r="B2514" s="1">
        <v>45117</v>
      </c>
      <c r="D2514">
        <v>39</v>
      </c>
      <c r="E2514" t="s">
        <v>6</v>
      </c>
      <c r="F2514" t="s">
        <v>7</v>
      </c>
      <c r="G2514" s="1">
        <f t="shared" si="117"/>
        <v>45199</v>
      </c>
      <c r="H2514">
        <f t="shared" si="118"/>
        <v>2</v>
      </c>
      <c r="I2514">
        <f t="shared" si="119"/>
        <v>0</v>
      </c>
      <c r="J2514">
        <f>IF(Table1[[#This Row],[Active_months]]&gt;=1, 1, 0)</f>
        <v>1</v>
      </c>
    </row>
    <row r="2515" spans="1:10" x14ac:dyDescent="0.3">
      <c r="A2515">
        <v>217991032</v>
      </c>
      <c r="B2515" s="1">
        <v>45117</v>
      </c>
      <c r="D2515">
        <v>39</v>
      </c>
      <c r="E2515" t="s">
        <v>6</v>
      </c>
      <c r="F2515" t="s">
        <v>7</v>
      </c>
      <c r="G2515" s="1">
        <f t="shared" si="117"/>
        <v>45199</v>
      </c>
      <c r="H2515">
        <f t="shared" si="118"/>
        <v>2</v>
      </c>
      <c r="I2515">
        <f t="shared" si="119"/>
        <v>0</v>
      </c>
      <c r="J2515">
        <f>IF(Table1[[#This Row],[Active_months]]&gt;=1, 1, 0)</f>
        <v>1</v>
      </c>
    </row>
    <row r="2516" spans="1:10" x14ac:dyDescent="0.3">
      <c r="A2516">
        <v>145797162</v>
      </c>
      <c r="B2516" s="1">
        <v>45117</v>
      </c>
      <c r="D2516">
        <v>39</v>
      </c>
      <c r="E2516" t="s">
        <v>6</v>
      </c>
      <c r="F2516" t="s">
        <v>7</v>
      </c>
      <c r="G2516" s="1">
        <f t="shared" si="117"/>
        <v>45199</v>
      </c>
      <c r="H2516">
        <f t="shared" si="118"/>
        <v>2</v>
      </c>
      <c r="I2516">
        <f t="shared" si="119"/>
        <v>0</v>
      </c>
      <c r="J2516">
        <f>IF(Table1[[#This Row],[Active_months]]&gt;=1, 1, 0)</f>
        <v>1</v>
      </c>
    </row>
    <row r="2517" spans="1:10" x14ac:dyDescent="0.3">
      <c r="A2517">
        <v>217581606</v>
      </c>
      <c r="B2517" s="1">
        <v>45117</v>
      </c>
      <c r="D2517">
        <v>39</v>
      </c>
      <c r="E2517" t="s">
        <v>6</v>
      </c>
      <c r="F2517" t="s">
        <v>7</v>
      </c>
      <c r="G2517" s="1">
        <f t="shared" si="117"/>
        <v>45199</v>
      </c>
      <c r="H2517">
        <f t="shared" si="118"/>
        <v>2</v>
      </c>
      <c r="I2517">
        <f t="shared" si="119"/>
        <v>0</v>
      </c>
      <c r="J2517">
        <f>IF(Table1[[#This Row],[Active_months]]&gt;=1, 1, 0)</f>
        <v>1</v>
      </c>
    </row>
    <row r="2518" spans="1:10" x14ac:dyDescent="0.3">
      <c r="A2518">
        <v>218459038</v>
      </c>
      <c r="B2518" s="1">
        <v>45117</v>
      </c>
      <c r="C2518" s="1">
        <v>45118</v>
      </c>
      <c r="D2518">
        <v>39</v>
      </c>
      <c r="E2518" t="s">
        <v>6</v>
      </c>
      <c r="F2518" t="s">
        <v>7</v>
      </c>
      <c r="G2518" s="1">
        <f t="shared" si="117"/>
        <v>45118</v>
      </c>
      <c r="H2518">
        <f t="shared" si="118"/>
        <v>0</v>
      </c>
      <c r="I2518">
        <f t="shared" si="119"/>
        <v>0</v>
      </c>
      <c r="J2518">
        <f>IF(Table1[[#This Row],[Active_months]]&gt;=1, 1, 0)</f>
        <v>0</v>
      </c>
    </row>
    <row r="2519" spans="1:10" x14ac:dyDescent="0.3">
      <c r="A2519">
        <v>218526124</v>
      </c>
      <c r="B2519" s="1">
        <v>45117</v>
      </c>
      <c r="C2519" s="1">
        <v>45118</v>
      </c>
      <c r="D2519">
        <v>39</v>
      </c>
      <c r="E2519" t="s">
        <v>6</v>
      </c>
      <c r="F2519" t="s">
        <v>8</v>
      </c>
      <c r="G2519" s="1">
        <f t="shared" si="117"/>
        <v>45118</v>
      </c>
      <c r="H2519">
        <f t="shared" si="118"/>
        <v>0</v>
      </c>
      <c r="I2519">
        <f t="shared" si="119"/>
        <v>0</v>
      </c>
      <c r="J2519">
        <f>IF(Table1[[#This Row],[Active_months]]&gt;=1, 1, 0)</f>
        <v>0</v>
      </c>
    </row>
    <row r="2520" spans="1:10" x14ac:dyDescent="0.3">
      <c r="A2520">
        <v>216335430</v>
      </c>
      <c r="B2520" s="1">
        <v>45117</v>
      </c>
      <c r="C2520" s="1">
        <v>45117</v>
      </c>
      <c r="D2520">
        <v>39</v>
      </c>
      <c r="E2520" t="s">
        <v>6</v>
      </c>
      <c r="F2520" t="s">
        <v>8</v>
      </c>
      <c r="G2520" s="1">
        <f t="shared" si="117"/>
        <v>45117</v>
      </c>
      <c r="H2520">
        <f t="shared" si="118"/>
        <v>0</v>
      </c>
      <c r="I2520">
        <f t="shared" si="119"/>
        <v>0</v>
      </c>
      <c r="J2520">
        <f>IF(Table1[[#This Row],[Active_months]]&gt;=1, 1, 0)</f>
        <v>0</v>
      </c>
    </row>
    <row r="2521" spans="1:10" x14ac:dyDescent="0.3">
      <c r="A2521">
        <v>218519862</v>
      </c>
      <c r="B2521" s="1">
        <v>45117</v>
      </c>
      <c r="C2521" s="1">
        <v>45118</v>
      </c>
      <c r="D2521">
        <v>39</v>
      </c>
      <c r="E2521" t="s">
        <v>6</v>
      </c>
      <c r="F2521" t="s">
        <v>8</v>
      </c>
      <c r="G2521" s="1">
        <f t="shared" si="117"/>
        <v>45118</v>
      </c>
      <c r="H2521">
        <f t="shared" si="118"/>
        <v>0</v>
      </c>
      <c r="I2521">
        <f t="shared" si="119"/>
        <v>0</v>
      </c>
      <c r="J2521">
        <f>IF(Table1[[#This Row],[Active_months]]&gt;=1, 1, 0)</f>
        <v>0</v>
      </c>
    </row>
    <row r="2522" spans="1:10" x14ac:dyDescent="0.3">
      <c r="A2522">
        <v>218496811</v>
      </c>
      <c r="B2522" s="1">
        <v>45117</v>
      </c>
      <c r="C2522" s="1">
        <v>45117</v>
      </c>
      <c r="D2522">
        <v>39</v>
      </c>
      <c r="E2522" t="s">
        <v>6</v>
      </c>
      <c r="F2522" t="s">
        <v>8</v>
      </c>
      <c r="G2522" s="1">
        <f t="shared" si="117"/>
        <v>45117</v>
      </c>
      <c r="H2522">
        <f t="shared" si="118"/>
        <v>0</v>
      </c>
      <c r="I2522">
        <f t="shared" si="119"/>
        <v>0</v>
      </c>
      <c r="J2522">
        <f>IF(Table1[[#This Row],[Active_months]]&gt;=1, 1, 0)</f>
        <v>0</v>
      </c>
    </row>
    <row r="2523" spans="1:10" x14ac:dyDescent="0.3">
      <c r="A2523">
        <v>218490122</v>
      </c>
      <c r="B2523" s="1">
        <v>45117</v>
      </c>
      <c r="C2523" s="1">
        <v>45118</v>
      </c>
      <c r="D2523">
        <v>39</v>
      </c>
      <c r="E2523" t="s">
        <v>6</v>
      </c>
      <c r="F2523" t="s">
        <v>8</v>
      </c>
      <c r="G2523" s="1">
        <f t="shared" si="117"/>
        <v>45118</v>
      </c>
      <c r="H2523">
        <f t="shared" si="118"/>
        <v>0</v>
      </c>
      <c r="I2523">
        <f t="shared" si="119"/>
        <v>0</v>
      </c>
      <c r="J2523">
        <f>IF(Table1[[#This Row],[Active_months]]&gt;=1, 1, 0)</f>
        <v>0</v>
      </c>
    </row>
    <row r="2524" spans="1:10" x14ac:dyDescent="0.3">
      <c r="A2524">
        <v>216337502</v>
      </c>
      <c r="B2524" s="1">
        <v>45117</v>
      </c>
      <c r="C2524" s="1">
        <v>45117</v>
      </c>
      <c r="D2524">
        <v>39</v>
      </c>
      <c r="E2524" t="s">
        <v>6</v>
      </c>
      <c r="F2524" t="s">
        <v>8</v>
      </c>
      <c r="G2524" s="1">
        <f t="shared" si="117"/>
        <v>45117</v>
      </c>
      <c r="H2524">
        <f t="shared" si="118"/>
        <v>0</v>
      </c>
      <c r="I2524">
        <f t="shared" si="119"/>
        <v>0</v>
      </c>
      <c r="J2524">
        <f>IF(Table1[[#This Row],[Active_months]]&gt;=1, 1, 0)</f>
        <v>0</v>
      </c>
    </row>
    <row r="2525" spans="1:10" x14ac:dyDescent="0.3">
      <c r="A2525">
        <v>143111905</v>
      </c>
      <c r="B2525" s="1">
        <v>45117</v>
      </c>
      <c r="C2525" s="1">
        <v>45155</v>
      </c>
      <c r="D2525">
        <v>39</v>
      </c>
      <c r="E2525" t="s">
        <v>6</v>
      </c>
      <c r="F2525" t="s">
        <v>7</v>
      </c>
      <c r="G2525" s="1">
        <f t="shared" si="117"/>
        <v>45155</v>
      </c>
      <c r="H2525">
        <f t="shared" si="118"/>
        <v>1</v>
      </c>
      <c r="I2525">
        <f t="shared" si="119"/>
        <v>0</v>
      </c>
      <c r="J2525">
        <f>IF(Table1[[#This Row],[Active_months]]&gt;=1, 1, 0)</f>
        <v>1</v>
      </c>
    </row>
    <row r="2526" spans="1:10" x14ac:dyDescent="0.3">
      <c r="A2526">
        <v>217709772</v>
      </c>
      <c r="B2526" s="1">
        <v>45117</v>
      </c>
      <c r="C2526" s="1">
        <v>45150</v>
      </c>
      <c r="D2526">
        <v>39</v>
      </c>
      <c r="E2526" t="s">
        <v>6</v>
      </c>
      <c r="F2526" t="s">
        <v>7</v>
      </c>
      <c r="G2526" s="1">
        <f t="shared" si="117"/>
        <v>45150</v>
      </c>
      <c r="H2526">
        <f t="shared" si="118"/>
        <v>1</v>
      </c>
      <c r="I2526">
        <f t="shared" si="119"/>
        <v>0</v>
      </c>
      <c r="J2526">
        <f>IF(Table1[[#This Row],[Active_months]]&gt;=1, 1, 0)</f>
        <v>1</v>
      </c>
    </row>
    <row r="2527" spans="1:10" x14ac:dyDescent="0.3">
      <c r="A2527">
        <v>214924190</v>
      </c>
      <c r="B2527" s="1">
        <v>45117</v>
      </c>
      <c r="C2527" s="1">
        <v>45148</v>
      </c>
      <c r="D2527">
        <v>39</v>
      </c>
      <c r="E2527" t="s">
        <v>6</v>
      </c>
      <c r="F2527" t="s">
        <v>7</v>
      </c>
      <c r="G2527" s="1">
        <f t="shared" si="117"/>
        <v>45148</v>
      </c>
      <c r="H2527">
        <f t="shared" si="118"/>
        <v>1</v>
      </c>
      <c r="I2527">
        <f t="shared" si="119"/>
        <v>0</v>
      </c>
      <c r="J2527">
        <f>IF(Table1[[#This Row],[Active_months]]&gt;=1, 1, 0)</f>
        <v>1</v>
      </c>
    </row>
    <row r="2528" spans="1:10" x14ac:dyDescent="0.3">
      <c r="A2528">
        <v>217914198</v>
      </c>
      <c r="B2528" s="1">
        <v>45117</v>
      </c>
      <c r="C2528" s="1">
        <v>45137</v>
      </c>
      <c r="D2528">
        <v>39</v>
      </c>
      <c r="E2528" t="s">
        <v>6</v>
      </c>
      <c r="F2528" t="s">
        <v>7</v>
      </c>
      <c r="G2528" s="1">
        <f t="shared" si="117"/>
        <v>45137</v>
      </c>
      <c r="H2528">
        <f t="shared" si="118"/>
        <v>0</v>
      </c>
      <c r="I2528">
        <f t="shared" si="119"/>
        <v>0</v>
      </c>
      <c r="J2528">
        <f>IF(Table1[[#This Row],[Active_months]]&gt;=1, 1, 0)</f>
        <v>0</v>
      </c>
    </row>
    <row r="2529" spans="1:10" x14ac:dyDescent="0.3">
      <c r="A2529">
        <v>217773501</v>
      </c>
      <c r="B2529" s="1">
        <v>45117</v>
      </c>
      <c r="C2529" s="1">
        <v>45117</v>
      </c>
      <c r="D2529">
        <v>39</v>
      </c>
      <c r="E2529" t="s">
        <v>6</v>
      </c>
      <c r="F2529" t="s">
        <v>7</v>
      </c>
      <c r="G2529" s="1">
        <f t="shared" si="117"/>
        <v>45117</v>
      </c>
      <c r="H2529">
        <f t="shared" si="118"/>
        <v>0</v>
      </c>
      <c r="I2529">
        <f t="shared" si="119"/>
        <v>0</v>
      </c>
      <c r="J2529">
        <f>IF(Table1[[#This Row],[Active_months]]&gt;=1, 1, 0)</f>
        <v>0</v>
      </c>
    </row>
    <row r="2530" spans="1:10" x14ac:dyDescent="0.3">
      <c r="A2530">
        <v>215311765</v>
      </c>
      <c r="B2530" s="1">
        <v>45118</v>
      </c>
      <c r="D2530">
        <v>39</v>
      </c>
      <c r="E2530" t="s">
        <v>6</v>
      </c>
      <c r="F2530" t="s">
        <v>7</v>
      </c>
      <c r="G2530" s="1">
        <f t="shared" si="117"/>
        <v>45199</v>
      </c>
      <c r="H2530">
        <f t="shared" si="118"/>
        <v>2</v>
      </c>
      <c r="I2530">
        <f t="shared" si="119"/>
        <v>0</v>
      </c>
      <c r="J2530">
        <f>IF(Table1[[#This Row],[Active_months]]&gt;=1, 1, 0)</f>
        <v>1</v>
      </c>
    </row>
    <row r="2531" spans="1:10" x14ac:dyDescent="0.3">
      <c r="A2531">
        <v>218554220</v>
      </c>
      <c r="B2531" s="1">
        <v>45118</v>
      </c>
      <c r="D2531">
        <v>39</v>
      </c>
      <c r="E2531" t="s">
        <v>6</v>
      </c>
      <c r="F2531" t="s">
        <v>7</v>
      </c>
      <c r="G2531" s="1">
        <f t="shared" si="117"/>
        <v>45199</v>
      </c>
      <c r="H2531">
        <f t="shared" si="118"/>
        <v>2</v>
      </c>
      <c r="I2531">
        <f t="shared" si="119"/>
        <v>0</v>
      </c>
      <c r="J2531">
        <f>IF(Table1[[#This Row],[Active_months]]&gt;=1, 1, 0)</f>
        <v>1</v>
      </c>
    </row>
    <row r="2532" spans="1:10" x14ac:dyDescent="0.3">
      <c r="A2532">
        <v>209743418</v>
      </c>
      <c r="B2532" s="1">
        <v>45118</v>
      </c>
      <c r="D2532">
        <v>39</v>
      </c>
      <c r="E2532" t="s">
        <v>6</v>
      </c>
      <c r="F2532" t="s">
        <v>7</v>
      </c>
      <c r="G2532" s="1">
        <f t="shared" si="117"/>
        <v>45199</v>
      </c>
      <c r="H2532">
        <f t="shared" si="118"/>
        <v>2</v>
      </c>
      <c r="I2532">
        <f t="shared" si="119"/>
        <v>0</v>
      </c>
      <c r="J2532">
        <f>IF(Table1[[#This Row],[Active_months]]&gt;=1, 1, 0)</f>
        <v>1</v>
      </c>
    </row>
    <row r="2533" spans="1:10" x14ac:dyDescent="0.3">
      <c r="A2533">
        <v>218553244</v>
      </c>
      <c r="B2533" s="1">
        <v>45118</v>
      </c>
      <c r="D2533">
        <v>39</v>
      </c>
      <c r="E2533" t="s">
        <v>6</v>
      </c>
      <c r="F2533" t="s">
        <v>7</v>
      </c>
      <c r="G2533" s="1">
        <f t="shared" si="117"/>
        <v>45199</v>
      </c>
      <c r="H2533">
        <f t="shared" si="118"/>
        <v>2</v>
      </c>
      <c r="I2533">
        <f t="shared" si="119"/>
        <v>0</v>
      </c>
      <c r="J2533">
        <f>IF(Table1[[#This Row],[Active_months]]&gt;=1, 1, 0)</f>
        <v>1</v>
      </c>
    </row>
    <row r="2534" spans="1:10" x14ac:dyDescent="0.3">
      <c r="A2534">
        <v>218548492</v>
      </c>
      <c r="B2534" s="1">
        <v>45118</v>
      </c>
      <c r="D2534">
        <v>39</v>
      </c>
      <c r="E2534" t="s">
        <v>6</v>
      </c>
      <c r="F2534" t="s">
        <v>7</v>
      </c>
      <c r="G2534" s="1">
        <f t="shared" si="117"/>
        <v>45199</v>
      </c>
      <c r="H2534">
        <f t="shared" si="118"/>
        <v>2</v>
      </c>
      <c r="I2534">
        <f t="shared" si="119"/>
        <v>0</v>
      </c>
      <c r="J2534">
        <f>IF(Table1[[#This Row],[Active_months]]&gt;=1, 1, 0)</f>
        <v>1</v>
      </c>
    </row>
    <row r="2535" spans="1:10" x14ac:dyDescent="0.3">
      <c r="A2535">
        <v>217958138</v>
      </c>
      <c r="B2535" s="1">
        <v>45118</v>
      </c>
      <c r="D2535">
        <v>39</v>
      </c>
      <c r="E2535" t="s">
        <v>6</v>
      </c>
      <c r="F2535" t="s">
        <v>7</v>
      </c>
      <c r="G2535" s="1">
        <f t="shared" si="117"/>
        <v>45199</v>
      </c>
      <c r="H2535">
        <f t="shared" si="118"/>
        <v>2</v>
      </c>
      <c r="I2535">
        <f t="shared" si="119"/>
        <v>0</v>
      </c>
      <c r="J2535">
        <f>IF(Table1[[#This Row],[Active_months]]&gt;=1, 1, 0)</f>
        <v>1</v>
      </c>
    </row>
    <row r="2536" spans="1:10" x14ac:dyDescent="0.3">
      <c r="A2536">
        <v>218365623</v>
      </c>
      <c r="B2536" s="1">
        <v>45118</v>
      </c>
      <c r="D2536">
        <v>39</v>
      </c>
      <c r="E2536" t="s">
        <v>6</v>
      </c>
      <c r="F2536" t="s">
        <v>7</v>
      </c>
      <c r="G2536" s="1">
        <f t="shared" si="117"/>
        <v>45199</v>
      </c>
      <c r="H2536">
        <f t="shared" si="118"/>
        <v>2</v>
      </c>
      <c r="I2536">
        <f t="shared" si="119"/>
        <v>0</v>
      </c>
      <c r="J2536">
        <f>IF(Table1[[#This Row],[Active_months]]&gt;=1, 1, 0)</f>
        <v>1</v>
      </c>
    </row>
    <row r="2537" spans="1:10" x14ac:dyDescent="0.3">
      <c r="A2537">
        <v>218512642</v>
      </c>
      <c r="B2537" s="1">
        <v>45118</v>
      </c>
      <c r="D2537">
        <v>39</v>
      </c>
      <c r="E2537" t="s">
        <v>6</v>
      </c>
      <c r="F2537" t="s">
        <v>7</v>
      </c>
      <c r="G2537" s="1">
        <f t="shared" si="117"/>
        <v>45199</v>
      </c>
      <c r="H2537">
        <f t="shared" si="118"/>
        <v>2</v>
      </c>
      <c r="I2537">
        <f t="shared" si="119"/>
        <v>0</v>
      </c>
      <c r="J2537">
        <f>IF(Table1[[#This Row],[Active_months]]&gt;=1, 1, 0)</f>
        <v>1</v>
      </c>
    </row>
    <row r="2538" spans="1:10" x14ac:dyDescent="0.3">
      <c r="A2538">
        <v>218569099</v>
      </c>
      <c r="B2538" s="1">
        <v>45118</v>
      </c>
      <c r="C2538" s="1">
        <v>45174</v>
      </c>
      <c r="D2538">
        <v>39</v>
      </c>
      <c r="E2538" t="s">
        <v>6</v>
      </c>
      <c r="F2538" t="s">
        <v>7</v>
      </c>
      <c r="G2538" s="1">
        <f t="shared" si="117"/>
        <v>45174</v>
      </c>
      <c r="H2538">
        <f t="shared" si="118"/>
        <v>2</v>
      </c>
      <c r="I2538">
        <f t="shared" si="119"/>
        <v>0</v>
      </c>
      <c r="J2538">
        <f>IF(Table1[[#This Row],[Active_months]]&gt;=1, 1, 0)</f>
        <v>1</v>
      </c>
    </row>
    <row r="2539" spans="1:10" x14ac:dyDescent="0.3">
      <c r="A2539">
        <v>218304590</v>
      </c>
      <c r="B2539" s="1">
        <v>45118</v>
      </c>
      <c r="C2539" s="1">
        <v>45168</v>
      </c>
      <c r="D2539">
        <v>39</v>
      </c>
      <c r="E2539" t="s">
        <v>6</v>
      </c>
      <c r="F2539" t="s">
        <v>7</v>
      </c>
      <c r="G2539" s="1">
        <f t="shared" si="117"/>
        <v>45168</v>
      </c>
      <c r="H2539">
        <f t="shared" si="118"/>
        <v>1</v>
      </c>
      <c r="I2539">
        <f t="shared" si="119"/>
        <v>0</v>
      </c>
      <c r="J2539">
        <f>IF(Table1[[#This Row],[Active_months]]&gt;=1, 1, 0)</f>
        <v>1</v>
      </c>
    </row>
    <row r="2540" spans="1:10" x14ac:dyDescent="0.3">
      <c r="A2540">
        <v>215390636</v>
      </c>
      <c r="B2540" s="1">
        <v>45118</v>
      </c>
      <c r="C2540" s="1">
        <v>45176</v>
      </c>
      <c r="D2540">
        <v>39</v>
      </c>
      <c r="E2540" t="s">
        <v>6</v>
      </c>
      <c r="F2540" t="s">
        <v>7</v>
      </c>
      <c r="G2540" s="1">
        <f t="shared" si="117"/>
        <v>45176</v>
      </c>
      <c r="H2540">
        <f t="shared" si="118"/>
        <v>2</v>
      </c>
      <c r="I2540">
        <f t="shared" si="119"/>
        <v>0</v>
      </c>
      <c r="J2540">
        <f>IF(Table1[[#This Row],[Active_months]]&gt;=1, 1, 0)</f>
        <v>1</v>
      </c>
    </row>
    <row r="2541" spans="1:10" x14ac:dyDescent="0.3">
      <c r="A2541">
        <v>218538760</v>
      </c>
      <c r="B2541" s="1">
        <v>45118</v>
      </c>
      <c r="C2541" s="1">
        <v>45156</v>
      </c>
      <c r="D2541">
        <v>39</v>
      </c>
      <c r="E2541" t="s">
        <v>6</v>
      </c>
      <c r="F2541" t="s">
        <v>7</v>
      </c>
      <c r="G2541" s="1">
        <f t="shared" si="117"/>
        <v>45156</v>
      </c>
      <c r="H2541">
        <f t="shared" si="118"/>
        <v>1</v>
      </c>
      <c r="I2541">
        <f t="shared" si="119"/>
        <v>0</v>
      </c>
      <c r="J2541">
        <f>IF(Table1[[#This Row],[Active_months]]&gt;=1, 1, 0)</f>
        <v>1</v>
      </c>
    </row>
    <row r="2542" spans="1:10" x14ac:dyDescent="0.3">
      <c r="A2542">
        <v>218544489</v>
      </c>
      <c r="B2542" s="1">
        <v>45118</v>
      </c>
      <c r="C2542" s="1">
        <v>45149</v>
      </c>
      <c r="D2542">
        <v>39</v>
      </c>
      <c r="E2542" t="s">
        <v>6</v>
      </c>
      <c r="F2542" t="s">
        <v>7</v>
      </c>
      <c r="G2542" s="1">
        <f t="shared" si="117"/>
        <v>45149</v>
      </c>
      <c r="H2542">
        <f t="shared" si="118"/>
        <v>1</v>
      </c>
      <c r="I2542">
        <f t="shared" si="119"/>
        <v>0</v>
      </c>
      <c r="J2542">
        <f>IF(Table1[[#This Row],[Active_months]]&gt;=1, 1, 0)</f>
        <v>1</v>
      </c>
    </row>
    <row r="2543" spans="1:10" x14ac:dyDescent="0.3">
      <c r="A2543">
        <v>180161087</v>
      </c>
      <c r="B2543" s="1">
        <v>45118</v>
      </c>
      <c r="C2543" s="1">
        <v>45148</v>
      </c>
      <c r="D2543">
        <v>39</v>
      </c>
      <c r="E2543" t="s">
        <v>6</v>
      </c>
      <c r="F2543" t="s">
        <v>7</v>
      </c>
      <c r="G2543" s="1">
        <f t="shared" si="117"/>
        <v>45148</v>
      </c>
      <c r="H2543">
        <f t="shared" si="118"/>
        <v>1</v>
      </c>
      <c r="I2543">
        <f t="shared" si="119"/>
        <v>0</v>
      </c>
      <c r="J2543">
        <f>IF(Table1[[#This Row],[Active_months]]&gt;=1, 1, 0)</f>
        <v>1</v>
      </c>
    </row>
    <row r="2544" spans="1:10" x14ac:dyDescent="0.3">
      <c r="A2544">
        <v>218484551</v>
      </c>
      <c r="B2544" s="1">
        <v>45118</v>
      </c>
      <c r="C2544" s="1">
        <v>45156</v>
      </c>
      <c r="D2544">
        <v>39</v>
      </c>
      <c r="E2544" t="s">
        <v>6</v>
      </c>
      <c r="F2544" t="s">
        <v>7</v>
      </c>
      <c r="G2544" s="1">
        <f t="shared" si="117"/>
        <v>45156</v>
      </c>
      <c r="H2544">
        <f t="shared" si="118"/>
        <v>1</v>
      </c>
      <c r="I2544">
        <f t="shared" si="119"/>
        <v>0</v>
      </c>
      <c r="J2544">
        <f>IF(Table1[[#This Row],[Active_months]]&gt;=1, 1, 0)</f>
        <v>1</v>
      </c>
    </row>
    <row r="2545" spans="1:10" x14ac:dyDescent="0.3">
      <c r="A2545">
        <v>218570737</v>
      </c>
      <c r="B2545" s="1">
        <v>45118</v>
      </c>
      <c r="C2545" s="1">
        <v>45119</v>
      </c>
      <c r="D2545">
        <v>39</v>
      </c>
      <c r="E2545" t="s">
        <v>6</v>
      </c>
      <c r="F2545" t="s">
        <v>7</v>
      </c>
      <c r="G2545" s="1">
        <f t="shared" si="117"/>
        <v>45119</v>
      </c>
      <c r="H2545">
        <f t="shared" si="118"/>
        <v>0</v>
      </c>
      <c r="I2545">
        <f t="shared" si="119"/>
        <v>0</v>
      </c>
      <c r="J2545">
        <f>IF(Table1[[#This Row],[Active_months]]&gt;=1, 1, 0)</f>
        <v>0</v>
      </c>
    </row>
    <row r="2546" spans="1:10" x14ac:dyDescent="0.3">
      <c r="A2546">
        <v>218526607</v>
      </c>
      <c r="B2546" s="1">
        <v>45119</v>
      </c>
      <c r="D2546">
        <v>39</v>
      </c>
      <c r="E2546" t="s">
        <v>6</v>
      </c>
      <c r="F2546" t="s">
        <v>7</v>
      </c>
      <c r="G2546" s="1">
        <f t="shared" si="117"/>
        <v>45199</v>
      </c>
      <c r="H2546">
        <f t="shared" si="118"/>
        <v>2</v>
      </c>
      <c r="I2546">
        <f t="shared" si="119"/>
        <v>0</v>
      </c>
      <c r="J2546">
        <f>IF(Table1[[#This Row],[Active_months]]&gt;=1, 1, 0)</f>
        <v>1</v>
      </c>
    </row>
    <row r="2547" spans="1:10" x14ac:dyDescent="0.3">
      <c r="A2547">
        <v>211011508</v>
      </c>
      <c r="B2547" s="1">
        <v>45119</v>
      </c>
      <c r="D2547">
        <v>39</v>
      </c>
      <c r="E2547" t="s">
        <v>6</v>
      </c>
      <c r="F2547" t="s">
        <v>7</v>
      </c>
      <c r="G2547" s="1">
        <f t="shared" si="117"/>
        <v>45199</v>
      </c>
      <c r="H2547">
        <f t="shared" si="118"/>
        <v>2</v>
      </c>
      <c r="I2547">
        <f t="shared" si="119"/>
        <v>0</v>
      </c>
      <c r="J2547">
        <f>IF(Table1[[#This Row],[Active_months]]&gt;=1, 1, 0)</f>
        <v>1</v>
      </c>
    </row>
    <row r="2548" spans="1:10" x14ac:dyDescent="0.3">
      <c r="A2548">
        <v>218610100</v>
      </c>
      <c r="B2548" s="1">
        <v>45119</v>
      </c>
      <c r="D2548">
        <v>39</v>
      </c>
      <c r="E2548" t="s">
        <v>6</v>
      </c>
      <c r="F2548" t="s">
        <v>7</v>
      </c>
      <c r="G2548" s="1">
        <f t="shared" si="117"/>
        <v>45199</v>
      </c>
      <c r="H2548">
        <f t="shared" si="118"/>
        <v>2</v>
      </c>
      <c r="I2548">
        <f t="shared" si="119"/>
        <v>0</v>
      </c>
      <c r="J2548">
        <f>IF(Table1[[#This Row],[Active_months]]&gt;=1, 1, 0)</f>
        <v>1</v>
      </c>
    </row>
    <row r="2549" spans="1:10" x14ac:dyDescent="0.3">
      <c r="A2549">
        <v>206055148</v>
      </c>
      <c r="B2549" s="1">
        <v>45119</v>
      </c>
      <c r="D2549">
        <v>39</v>
      </c>
      <c r="E2549" t="s">
        <v>6</v>
      </c>
      <c r="F2549" t="s">
        <v>7</v>
      </c>
      <c r="G2549" s="1">
        <f t="shared" si="117"/>
        <v>45199</v>
      </c>
      <c r="H2549">
        <f t="shared" si="118"/>
        <v>2</v>
      </c>
      <c r="I2549">
        <f t="shared" si="119"/>
        <v>0</v>
      </c>
      <c r="J2549">
        <f>IF(Table1[[#This Row],[Active_months]]&gt;=1, 1, 0)</f>
        <v>1</v>
      </c>
    </row>
    <row r="2550" spans="1:10" x14ac:dyDescent="0.3">
      <c r="A2550">
        <v>150509877</v>
      </c>
      <c r="B2550" s="1">
        <v>45119</v>
      </c>
      <c r="D2550">
        <v>39</v>
      </c>
      <c r="E2550" t="s">
        <v>6</v>
      </c>
      <c r="F2550" t="s">
        <v>7</v>
      </c>
      <c r="G2550" s="1">
        <f t="shared" si="117"/>
        <v>45199</v>
      </c>
      <c r="H2550">
        <f t="shared" si="118"/>
        <v>2</v>
      </c>
      <c r="I2550">
        <f t="shared" si="119"/>
        <v>0</v>
      </c>
      <c r="J2550">
        <f>IF(Table1[[#This Row],[Active_months]]&gt;=1, 1, 0)</f>
        <v>1</v>
      </c>
    </row>
    <row r="2551" spans="1:10" x14ac:dyDescent="0.3">
      <c r="A2551">
        <v>218498112</v>
      </c>
      <c r="B2551" s="1">
        <v>45119</v>
      </c>
      <c r="D2551">
        <v>39</v>
      </c>
      <c r="E2551" t="s">
        <v>6</v>
      </c>
      <c r="F2551" t="s">
        <v>7</v>
      </c>
      <c r="G2551" s="1">
        <f t="shared" si="117"/>
        <v>45199</v>
      </c>
      <c r="H2551">
        <f t="shared" si="118"/>
        <v>2</v>
      </c>
      <c r="I2551">
        <f t="shared" si="119"/>
        <v>0</v>
      </c>
      <c r="J2551">
        <f>IF(Table1[[#This Row],[Active_months]]&gt;=1, 1, 0)</f>
        <v>1</v>
      </c>
    </row>
    <row r="2552" spans="1:10" x14ac:dyDescent="0.3">
      <c r="A2552">
        <v>218624538</v>
      </c>
      <c r="B2552" s="1">
        <v>45119</v>
      </c>
      <c r="C2552" s="1">
        <v>45160</v>
      </c>
      <c r="D2552">
        <v>39</v>
      </c>
      <c r="E2552" t="s">
        <v>6</v>
      </c>
      <c r="F2552" t="s">
        <v>7</v>
      </c>
      <c r="G2552" s="1">
        <f t="shared" si="117"/>
        <v>45160</v>
      </c>
      <c r="H2552">
        <f t="shared" si="118"/>
        <v>1</v>
      </c>
      <c r="I2552">
        <f t="shared" si="119"/>
        <v>0</v>
      </c>
      <c r="J2552">
        <f>IF(Table1[[#This Row],[Active_months]]&gt;=1, 1, 0)</f>
        <v>1</v>
      </c>
    </row>
    <row r="2553" spans="1:10" x14ac:dyDescent="0.3">
      <c r="A2553">
        <v>218467300</v>
      </c>
      <c r="B2553" s="1">
        <v>45119</v>
      </c>
      <c r="C2553" s="1">
        <v>45151</v>
      </c>
      <c r="D2553">
        <v>39</v>
      </c>
      <c r="E2553" t="s">
        <v>6</v>
      </c>
      <c r="F2553" t="s">
        <v>7</v>
      </c>
      <c r="G2553" s="1">
        <f t="shared" si="117"/>
        <v>45151</v>
      </c>
      <c r="H2553">
        <f t="shared" si="118"/>
        <v>1</v>
      </c>
      <c r="I2553">
        <f t="shared" si="119"/>
        <v>0</v>
      </c>
      <c r="J2553">
        <f>IF(Table1[[#This Row],[Active_months]]&gt;=1, 1, 0)</f>
        <v>1</v>
      </c>
    </row>
    <row r="2554" spans="1:10" x14ac:dyDescent="0.3">
      <c r="A2554">
        <v>218509554</v>
      </c>
      <c r="B2554" s="1">
        <v>45119</v>
      </c>
      <c r="C2554" s="1">
        <v>45129</v>
      </c>
      <c r="D2554">
        <v>39</v>
      </c>
      <c r="E2554" t="s">
        <v>6</v>
      </c>
      <c r="F2554" t="s">
        <v>7</v>
      </c>
      <c r="G2554" s="1">
        <f t="shared" si="117"/>
        <v>45129</v>
      </c>
      <c r="H2554">
        <f t="shared" si="118"/>
        <v>0</v>
      </c>
      <c r="I2554">
        <f t="shared" si="119"/>
        <v>0</v>
      </c>
      <c r="J2554">
        <f>IF(Table1[[#This Row],[Active_months]]&gt;=1, 1, 0)</f>
        <v>0</v>
      </c>
    </row>
    <row r="2555" spans="1:10" x14ac:dyDescent="0.3">
      <c r="A2555">
        <v>218257588</v>
      </c>
      <c r="B2555" s="1">
        <v>45120</v>
      </c>
      <c r="D2555">
        <v>39</v>
      </c>
      <c r="E2555" t="s">
        <v>6</v>
      </c>
      <c r="F2555" t="s">
        <v>7</v>
      </c>
      <c r="G2555" s="1">
        <f t="shared" si="117"/>
        <v>45199</v>
      </c>
      <c r="H2555">
        <f t="shared" si="118"/>
        <v>2</v>
      </c>
      <c r="I2555">
        <f t="shared" si="119"/>
        <v>0</v>
      </c>
      <c r="J2555">
        <f>IF(Table1[[#This Row],[Active_months]]&gt;=1, 1, 0)</f>
        <v>1</v>
      </c>
    </row>
    <row r="2556" spans="1:10" x14ac:dyDescent="0.3">
      <c r="A2556">
        <v>218114325</v>
      </c>
      <c r="B2556" s="1">
        <v>45120</v>
      </c>
      <c r="D2556">
        <v>39</v>
      </c>
      <c r="E2556" t="s">
        <v>6</v>
      </c>
      <c r="F2556" t="s">
        <v>7</v>
      </c>
      <c r="G2556" s="1">
        <f t="shared" si="117"/>
        <v>45199</v>
      </c>
      <c r="H2556">
        <f t="shared" si="118"/>
        <v>2</v>
      </c>
      <c r="I2556">
        <f t="shared" si="119"/>
        <v>0</v>
      </c>
      <c r="J2556">
        <f>IF(Table1[[#This Row],[Active_months]]&gt;=1, 1, 0)</f>
        <v>1</v>
      </c>
    </row>
    <row r="2557" spans="1:10" x14ac:dyDescent="0.3">
      <c r="A2557">
        <v>218325441</v>
      </c>
      <c r="B2557" s="1">
        <v>45120</v>
      </c>
      <c r="D2557">
        <v>39</v>
      </c>
      <c r="E2557" t="s">
        <v>6</v>
      </c>
      <c r="F2557" t="s">
        <v>7</v>
      </c>
      <c r="G2557" s="1">
        <f t="shared" si="117"/>
        <v>45199</v>
      </c>
      <c r="H2557">
        <f t="shared" si="118"/>
        <v>2</v>
      </c>
      <c r="I2557">
        <f t="shared" si="119"/>
        <v>0</v>
      </c>
      <c r="J2557">
        <f>IF(Table1[[#This Row],[Active_months]]&gt;=1, 1, 0)</f>
        <v>1</v>
      </c>
    </row>
    <row r="2558" spans="1:10" x14ac:dyDescent="0.3">
      <c r="A2558">
        <v>218235047</v>
      </c>
      <c r="B2558" s="1">
        <v>45120</v>
      </c>
      <c r="D2558">
        <v>39</v>
      </c>
      <c r="E2558" t="s">
        <v>6</v>
      </c>
      <c r="F2558" t="s">
        <v>7</v>
      </c>
      <c r="G2558" s="1">
        <f t="shared" si="117"/>
        <v>45199</v>
      </c>
      <c r="H2558">
        <f t="shared" si="118"/>
        <v>2</v>
      </c>
      <c r="I2558">
        <f t="shared" si="119"/>
        <v>0</v>
      </c>
      <c r="J2558">
        <f>IF(Table1[[#This Row],[Active_months]]&gt;=1, 1, 0)</f>
        <v>1</v>
      </c>
    </row>
    <row r="2559" spans="1:10" x14ac:dyDescent="0.3">
      <c r="A2559">
        <v>218598866</v>
      </c>
      <c r="B2559" s="1">
        <v>45120</v>
      </c>
      <c r="D2559">
        <v>39</v>
      </c>
      <c r="E2559" t="s">
        <v>6</v>
      </c>
      <c r="F2559" t="s">
        <v>7</v>
      </c>
      <c r="G2559" s="1">
        <f t="shared" si="117"/>
        <v>45199</v>
      </c>
      <c r="H2559">
        <f t="shared" si="118"/>
        <v>2</v>
      </c>
      <c r="I2559">
        <f t="shared" si="119"/>
        <v>0</v>
      </c>
      <c r="J2559">
        <f>IF(Table1[[#This Row],[Active_months]]&gt;=1, 1, 0)</f>
        <v>1</v>
      </c>
    </row>
    <row r="2560" spans="1:10" x14ac:dyDescent="0.3">
      <c r="A2560">
        <v>218644881</v>
      </c>
      <c r="B2560" s="1">
        <v>45120</v>
      </c>
      <c r="C2560" s="1">
        <v>45154</v>
      </c>
      <c r="D2560">
        <v>39</v>
      </c>
      <c r="E2560" t="s">
        <v>6</v>
      </c>
      <c r="F2560" t="s">
        <v>7</v>
      </c>
      <c r="G2560" s="1">
        <f t="shared" si="117"/>
        <v>45154</v>
      </c>
      <c r="H2560">
        <f t="shared" si="118"/>
        <v>1</v>
      </c>
      <c r="I2560">
        <f t="shared" si="119"/>
        <v>0</v>
      </c>
      <c r="J2560">
        <f>IF(Table1[[#This Row],[Active_months]]&gt;=1, 1, 0)</f>
        <v>1</v>
      </c>
    </row>
    <row r="2561" spans="1:10" x14ac:dyDescent="0.3">
      <c r="A2561">
        <v>218509727</v>
      </c>
      <c r="B2561" s="1">
        <v>45120</v>
      </c>
      <c r="C2561" s="1">
        <v>45147</v>
      </c>
      <c r="D2561">
        <v>39</v>
      </c>
      <c r="E2561" t="s">
        <v>6</v>
      </c>
      <c r="F2561" t="s">
        <v>7</v>
      </c>
      <c r="G2561" s="1">
        <f t="shared" si="117"/>
        <v>45147</v>
      </c>
      <c r="H2561">
        <f t="shared" si="118"/>
        <v>1</v>
      </c>
      <c r="I2561">
        <f t="shared" si="119"/>
        <v>0</v>
      </c>
      <c r="J2561">
        <f>IF(Table1[[#This Row],[Active_months]]&gt;=1, 1, 0)</f>
        <v>1</v>
      </c>
    </row>
    <row r="2562" spans="1:10" x14ac:dyDescent="0.3">
      <c r="A2562">
        <v>150623785</v>
      </c>
      <c r="B2562" s="1">
        <v>45120</v>
      </c>
      <c r="C2562" s="1">
        <v>45152</v>
      </c>
      <c r="D2562">
        <v>39</v>
      </c>
      <c r="E2562" t="s">
        <v>6</v>
      </c>
      <c r="F2562" t="s">
        <v>7</v>
      </c>
      <c r="G2562" s="1">
        <f t="shared" si="117"/>
        <v>45152</v>
      </c>
      <c r="H2562">
        <f t="shared" si="118"/>
        <v>1</v>
      </c>
      <c r="I2562">
        <f t="shared" si="119"/>
        <v>0</v>
      </c>
      <c r="J2562">
        <f>IF(Table1[[#This Row],[Active_months]]&gt;=1, 1, 0)</f>
        <v>1</v>
      </c>
    </row>
    <row r="2563" spans="1:10" x14ac:dyDescent="0.3">
      <c r="A2563">
        <v>218586552</v>
      </c>
      <c r="B2563" s="1">
        <v>45120</v>
      </c>
      <c r="C2563" s="1">
        <v>45152</v>
      </c>
      <c r="D2563">
        <v>39</v>
      </c>
      <c r="E2563" t="s">
        <v>6</v>
      </c>
      <c r="F2563" t="s">
        <v>7</v>
      </c>
      <c r="G2563" s="1">
        <f t="shared" ref="G2563:G2626" si="120">IF(ISBLANK(C2563), DATE(2023,9,30), C2563)</f>
        <v>45152</v>
      </c>
      <c r="H2563">
        <f t="shared" ref="H2563:H2626" si="121">(YEAR(G2563)-YEAR(B2563))*12 + (MONTH(G2563)-MONTH(B2563))</f>
        <v>1</v>
      </c>
      <c r="I2563">
        <f t="shared" ref="I2563:I2626" si="122">IF(H2563 &gt;=5, 1, 0)</f>
        <v>0</v>
      </c>
      <c r="J2563">
        <f>IF(Table1[[#This Row],[Active_months]]&gt;=1, 1, 0)</f>
        <v>1</v>
      </c>
    </row>
    <row r="2564" spans="1:10" x14ac:dyDescent="0.3">
      <c r="A2564">
        <v>218514844</v>
      </c>
      <c r="B2564" s="1">
        <v>45120</v>
      </c>
      <c r="C2564" s="1">
        <v>45124</v>
      </c>
      <c r="D2564">
        <v>39</v>
      </c>
      <c r="E2564" t="s">
        <v>6</v>
      </c>
      <c r="F2564" t="s">
        <v>7</v>
      </c>
      <c r="G2564" s="1">
        <f t="shared" si="120"/>
        <v>45124</v>
      </c>
      <c r="H2564">
        <f t="shared" si="121"/>
        <v>0</v>
      </c>
      <c r="I2564">
        <f t="shared" si="122"/>
        <v>0</v>
      </c>
      <c r="J2564">
        <f>IF(Table1[[#This Row],[Active_months]]&gt;=1, 1, 0)</f>
        <v>0</v>
      </c>
    </row>
    <row r="2565" spans="1:10" x14ac:dyDescent="0.3">
      <c r="A2565">
        <v>218694806</v>
      </c>
      <c r="B2565" s="1">
        <v>45121</v>
      </c>
      <c r="D2565">
        <v>39</v>
      </c>
      <c r="E2565" t="s">
        <v>6</v>
      </c>
      <c r="F2565" t="s">
        <v>7</v>
      </c>
      <c r="G2565" s="1">
        <f t="shared" si="120"/>
        <v>45199</v>
      </c>
      <c r="H2565">
        <f t="shared" si="121"/>
        <v>2</v>
      </c>
      <c r="I2565">
        <f t="shared" si="122"/>
        <v>0</v>
      </c>
      <c r="J2565">
        <f>IF(Table1[[#This Row],[Active_months]]&gt;=1, 1, 0)</f>
        <v>1</v>
      </c>
    </row>
    <row r="2566" spans="1:10" x14ac:dyDescent="0.3">
      <c r="A2566">
        <v>218678174</v>
      </c>
      <c r="B2566" s="1">
        <v>45121</v>
      </c>
      <c r="D2566">
        <v>39</v>
      </c>
      <c r="E2566" t="s">
        <v>6</v>
      </c>
      <c r="F2566" t="s">
        <v>7</v>
      </c>
      <c r="G2566" s="1">
        <f t="shared" si="120"/>
        <v>45199</v>
      </c>
      <c r="H2566">
        <f t="shared" si="121"/>
        <v>2</v>
      </c>
      <c r="I2566">
        <f t="shared" si="122"/>
        <v>0</v>
      </c>
      <c r="J2566">
        <f>IF(Table1[[#This Row],[Active_months]]&gt;=1, 1, 0)</f>
        <v>1</v>
      </c>
    </row>
    <row r="2567" spans="1:10" x14ac:dyDescent="0.3">
      <c r="A2567">
        <v>218695487</v>
      </c>
      <c r="B2567" s="1">
        <v>45121</v>
      </c>
      <c r="C2567" s="1">
        <v>45177</v>
      </c>
      <c r="D2567">
        <v>39</v>
      </c>
      <c r="E2567" t="s">
        <v>6</v>
      </c>
      <c r="F2567" t="s">
        <v>7</v>
      </c>
      <c r="G2567" s="1">
        <f t="shared" si="120"/>
        <v>45177</v>
      </c>
      <c r="H2567">
        <f t="shared" si="121"/>
        <v>2</v>
      </c>
      <c r="I2567">
        <f t="shared" si="122"/>
        <v>0</v>
      </c>
      <c r="J2567">
        <f>IF(Table1[[#This Row],[Active_months]]&gt;=1, 1, 0)</f>
        <v>1</v>
      </c>
    </row>
    <row r="2568" spans="1:10" x14ac:dyDescent="0.3">
      <c r="A2568">
        <v>218678790</v>
      </c>
      <c r="B2568" s="1">
        <v>45121</v>
      </c>
      <c r="C2568" s="1">
        <v>45159</v>
      </c>
      <c r="D2568">
        <v>39</v>
      </c>
      <c r="E2568" t="s">
        <v>6</v>
      </c>
      <c r="F2568" t="s">
        <v>7</v>
      </c>
      <c r="G2568" s="1">
        <f t="shared" si="120"/>
        <v>45159</v>
      </c>
      <c r="H2568">
        <f t="shared" si="121"/>
        <v>1</v>
      </c>
      <c r="I2568">
        <f t="shared" si="122"/>
        <v>0</v>
      </c>
      <c r="J2568">
        <f>IF(Table1[[#This Row],[Active_months]]&gt;=1, 1, 0)</f>
        <v>1</v>
      </c>
    </row>
    <row r="2569" spans="1:10" x14ac:dyDescent="0.3">
      <c r="A2569">
        <v>217499098</v>
      </c>
      <c r="B2569" s="1">
        <v>45121</v>
      </c>
      <c r="C2569" s="1">
        <v>45159</v>
      </c>
      <c r="D2569">
        <v>39</v>
      </c>
      <c r="E2569" t="s">
        <v>6</v>
      </c>
      <c r="F2569" t="s">
        <v>7</v>
      </c>
      <c r="G2569" s="1">
        <f t="shared" si="120"/>
        <v>45159</v>
      </c>
      <c r="H2569">
        <f t="shared" si="121"/>
        <v>1</v>
      </c>
      <c r="I2569">
        <f t="shared" si="122"/>
        <v>0</v>
      </c>
      <c r="J2569">
        <f>IF(Table1[[#This Row],[Active_months]]&gt;=1, 1, 0)</f>
        <v>1</v>
      </c>
    </row>
    <row r="2570" spans="1:10" x14ac:dyDescent="0.3">
      <c r="A2570">
        <v>217976753</v>
      </c>
      <c r="B2570" s="1">
        <v>45121</v>
      </c>
      <c r="C2570" s="1">
        <v>45159</v>
      </c>
      <c r="D2570">
        <v>39</v>
      </c>
      <c r="E2570" t="s">
        <v>6</v>
      </c>
      <c r="F2570" t="s">
        <v>7</v>
      </c>
      <c r="G2570" s="1">
        <f t="shared" si="120"/>
        <v>45159</v>
      </c>
      <c r="H2570">
        <f t="shared" si="121"/>
        <v>1</v>
      </c>
      <c r="I2570">
        <f t="shared" si="122"/>
        <v>0</v>
      </c>
      <c r="J2570">
        <f>IF(Table1[[#This Row],[Active_months]]&gt;=1, 1, 0)</f>
        <v>1</v>
      </c>
    </row>
    <row r="2571" spans="1:10" x14ac:dyDescent="0.3">
      <c r="A2571">
        <v>199359226</v>
      </c>
      <c r="B2571" s="1">
        <v>45121</v>
      </c>
      <c r="C2571" s="1">
        <v>45122</v>
      </c>
      <c r="D2571">
        <v>39</v>
      </c>
      <c r="E2571" t="s">
        <v>6</v>
      </c>
      <c r="F2571" t="s">
        <v>7</v>
      </c>
      <c r="G2571" s="1">
        <f t="shared" si="120"/>
        <v>45122</v>
      </c>
      <c r="H2571">
        <f t="shared" si="121"/>
        <v>0</v>
      </c>
      <c r="I2571">
        <f t="shared" si="122"/>
        <v>0</v>
      </c>
      <c r="J2571">
        <f>IF(Table1[[#This Row],[Active_months]]&gt;=1, 1, 0)</f>
        <v>0</v>
      </c>
    </row>
    <row r="2572" spans="1:10" x14ac:dyDescent="0.3">
      <c r="A2572">
        <v>121814098</v>
      </c>
      <c r="B2572" s="1">
        <v>45122</v>
      </c>
      <c r="D2572">
        <v>39</v>
      </c>
      <c r="E2572" t="s">
        <v>6</v>
      </c>
      <c r="F2572" t="s">
        <v>7</v>
      </c>
      <c r="G2572" s="1">
        <f t="shared" si="120"/>
        <v>45199</v>
      </c>
      <c r="H2572">
        <f t="shared" si="121"/>
        <v>2</v>
      </c>
      <c r="I2572">
        <f t="shared" si="122"/>
        <v>0</v>
      </c>
      <c r="J2572">
        <f>IF(Table1[[#This Row],[Active_months]]&gt;=1, 1, 0)</f>
        <v>1</v>
      </c>
    </row>
    <row r="2573" spans="1:10" x14ac:dyDescent="0.3">
      <c r="A2573">
        <v>215605718</v>
      </c>
      <c r="B2573" s="1">
        <v>45122</v>
      </c>
      <c r="D2573">
        <v>39</v>
      </c>
      <c r="E2573" t="s">
        <v>6</v>
      </c>
      <c r="F2573" t="s">
        <v>7</v>
      </c>
      <c r="G2573" s="1">
        <f t="shared" si="120"/>
        <v>45199</v>
      </c>
      <c r="H2573">
        <f t="shared" si="121"/>
        <v>2</v>
      </c>
      <c r="I2573">
        <f t="shared" si="122"/>
        <v>0</v>
      </c>
      <c r="J2573">
        <f>IF(Table1[[#This Row],[Active_months]]&gt;=1, 1, 0)</f>
        <v>1</v>
      </c>
    </row>
    <row r="2574" spans="1:10" x14ac:dyDescent="0.3">
      <c r="A2574">
        <v>218325705</v>
      </c>
      <c r="B2574" s="1">
        <v>45122</v>
      </c>
      <c r="D2574">
        <v>39</v>
      </c>
      <c r="E2574" t="s">
        <v>6</v>
      </c>
      <c r="F2574" t="s">
        <v>7</v>
      </c>
      <c r="G2574" s="1">
        <f t="shared" si="120"/>
        <v>45199</v>
      </c>
      <c r="H2574">
        <f t="shared" si="121"/>
        <v>2</v>
      </c>
      <c r="I2574">
        <f t="shared" si="122"/>
        <v>0</v>
      </c>
      <c r="J2574">
        <f>IF(Table1[[#This Row],[Active_months]]&gt;=1, 1, 0)</f>
        <v>1</v>
      </c>
    </row>
    <row r="2575" spans="1:10" x14ac:dyDescent="0.3">
      <c r="A2575">
        <v>208598253</v>
      </c>
      <c r="B2575" s="1">
        <v>45122</v>
      </c>
      <c r="D2575">
        <v>39</v>
      </c>
      <c r="E2575" t="s">
        <v>6</v>
      </c>
      <c r="F2575" t="s">
        <v>7</v>
      </c>
      <c r="G2575" s="1">
        <f t="shared" si="120"/>
        <v>45199</v>
      </c>
      <c r="H2575">
        <f t="shared" si="121"/>
        <v>2</v>
      </c>
      <c r="I2575">
        <f t="shared" si="122"/>
        <v>0</v>
      </c>
      <c r="J2575">
        <f>IF(Table1[[#This Row],[Active_months]]&gt;=1, 1, 0)</f>
        <v>1</v>
      </c>
    </row>
    <row r="2576" spans="1:10" x14ac:dyDescent="0.3">
      <c r="A2576">
        <v>218655628</v>
      </c>
      <c r="B2576" s="1">
        <v>45122</v>
      </c>
      <c r="D2576">
        <v>39</v>
      </c>
      <c r="E2576" t="s">
        <v>6</v>
      </c>
      <c r="F2576" t="s">
        <v>7</v>
      </c>
      <c r="G2576" s="1">
        <f t="shared" si="120"/>
        <v>45199</v>
      </c>
      <c r="H2576">
        <f t="shared" si="121"/>
        <v>2</v>
      </c>
      <c r="I2576">
        <f t="shared" si="122"/>
        <v>0</v>
      </c>
      <c r="J2576">
        <f>IF(Table1[[#This Row],[Active_months]]&gt;=1, 1, 0)</f>
        <v>1</v>
      </c>
    </row>
    <row r="2577" spans="1:10" x14ac:dyDescent="0.3">
      <c r="A2577">
        <v>185602413</v>
      </c>
      <c r="B2577" s="1">
        <v>45122</v>
      </c>
      <c r="C2577" s="1">
        <v>45123</v>
      </c>
      <c r="D2577">
        <v>39</v>
      </c>
      <c r="E2577" t="s">
        <v>6</v>
      </c>
      <c r="F2577" t="s">
        <v>7</v>
      </c>
      <c r="G2577" s="1">
        <f t="shared" si="120"/>
        <v>45123</v>
      </c>
      <c r="H2577">
        <f t="shared" si="121"/>
        <v>0</v>
      </c>
      <c r="I2577">
        <f t="shared" si="122"/>
        <v>0</v>
      </c>
      <c r="J2577">
        <f>IF(Table1[[#This Row],[Active_months]]&gt;=1, 1, 0)</f>
        <v>0</v>
      </c>
    </row>
    <row r="2578" spans="1:10" x14ac:dyDescent="0.3">
      <c r="A2578">
        <v>154082747</v>
      </c>
      <c r="B2578" s="1">
        <v>45122</v>
      </c>
      <c r="C2578" s="1">
        <v>45130</v>
      </c>
      <c r="D2578">
        <v>39</v>
      </c>
      <c r="E2578" t="s">
        <v>6</v>
      </c>
      <c r="F2578" t="s">
        <v>7</v>
      </c>
      <c r="G2578" s="1">
        <f t="shared" si="120"/>
        <v>45130</v>
      </c>
      <c r="H2578">
        <f t="shared" si="121"/>
        <v>0</v>
      </c>
      <c r="I2578">
        <f t="shared" si="122"/>
        <v>0</v>
      </c>
      <c r="J2578">
        <f>IF(Table1[[#This Row],[Active_months]]&gt;=1, 1, 0)</f>
        <v>0</v>
      </c>
    </row>
    <row r="2579" spans="1:10" x14ac:dyDescent="0.3">
      <c r="A2579">
        <v>218017402</v>
      </c>
      <c r="B2579" s="1">
        <v>45122</v>
      </c>
      <c r="C2579" s="1">
        <v>45160</v>
      </c>
      <c r="D2579">
        <v>39</v>
      </c>
      <c r="E2579" t="s">
        <v>6</v>
      </c>
      <c r="F2579" t="s">
        <v>7</v>
      </c>
      <c r="G2579" s="1">
        <f t="shared" si="120"/>
        <v>45160</v>
      </c>
      <c r="H2579">
        <f t="shared" si="121"/>
        <v>1</v>
      </c>
      <c r="I2579">
        <f t="shared" si="122"/>
        <v>0</v>
      </c>
      <c r="J2579">
        <f>IF(Table1[[#This Row],[Active_months]]&gt;=1, 1, 0)</f>
        <v>1</v>
      </c>
    </row>
    <row r="2580" spans="1:10" x14ac:dyDescent="0.3">
      <c r="A2580">
        <v>218792880</v>
      </c>
      <c r="B2580" s="1">
        <v>45123</v>
      </c>
      <c r="D2580">
        <v>39</v>
      </c>
      <c r="E2580" t="s">
        <v>6</v>
      </c>
      <c r="F2580" t="s">
        <v>7</v>
      </c>
      <c r="G2580" s="1">
        <f t="shared" si="120"/>
        <v>45199</v>
      </c>
      <c r="H2580">
        <f t="shared" si="121"/>
        <v>2</v>
      </c>
      <c r="I2580">
        <f t="shared" si="122"/>
        <v>0</v>
      </c>
      <c r="J2580">
        <f>IF(Table1[[#This Row],[Active_months]]&gt;=1, 1, 0)</f>
        <v>1</v>
      </c>
    </row>
    <row r="2581" spans="1:10" x14ac:dyDescent="0.3">
      <c r="A2581">
        <v>218761808</v>
      </c>
      <c r="B2581" s="1">
        <v>45123</v>
      </c>
      <c r="D2581">
        <v>39</v>
      </c>
      <c r="E2581" t="s">
        <v>6</v>
      </c>
      <c r="F2581" t="s">
        <v>7</v>
      </c>
      <c r="G2581" s="1">
        <f t="shared" si="120"/>
        <v>45199</v>
      </c>
      <c r="H2581">
        <f t="shared" si="121"/>
        <v>2</v>
      </c>
      <c r="I2581">
        <f t="shared" si="122"/>
        <v>0</v>
      </c>
      <c r="J2581">
        <f>IF(Table1[[#This Row],[Active_months]]&gt;=1, 1, 0)</f>
        <v>1</v>
      </c>
    </row>
    <row r="2582" spans="1:10" x14ac:dyDescent="0.3">
      <c r="A2582">
        <v>149303812</v>
      </c>
      <c r="B2582" s="1">
        <v>45123</v>
      </c>
      <c r="D2582">
        <v>39</v>
      </c>
      <c r="E2582" t="s">
        <v>6</v>
      </c>
      <c r="F2582" t="s">
        <v>7</v>
      </c>
      <c r="G2582" s="1">
        <f t="shared" si="120"/>
        <v>45199</v>
      </c>
      <c r="H2582">
        <f t="shared" si="121"/>
        <v>2</v>
      </c>
      <c r="I2582">
        <f t="shared" si="122"/>
        <v>0</v>
      </c>
      <c r="J2582">
        <f>IF(Table1[[#This Row],[Active_months]]&gt;=1, 1, 0)</f>
        <v>1</v>
      </c>
    </row>
    <row r="2583" spans="1:10" x14ac:dyDescent="0.3">
      <c r="A2583">
        <v>216144261</v>
      </c>
      <c r="B2583" s="1">
        <v>45123</v>
      </c>
      <c r="D2583">
        <v>39</v>
      </c>
      <c r="E2583" t="s">
        <v>6</v>
      </c>
      <c r="F2583" t="s">
        <v>7</v>
      </c>
      <c r="G2583" s="1">
        <f t="shared" si="120"/>
        <v>45199</v>
      </c>
      <c r="H2583">
        <f t="shared" si="121"/>
        <v>2</v>
      </c>
      <c r="I2583">
        <f t="shared" si="122"/>
        <v>0</v>
      </c>
      <c r="J2583">
        <f>IF(Table1[[#This Row],[Active_months]]&gt;=1, 1, 0)</f>
        <v>1</v>
      </c>
    </row>
    <row r="2584" spans="1:10" x14ac:dyDescent="0.3">
      <c r="A2584">
        <v>215976742</v>
      </c>
      <c r="B2584" s="1">
        <v>45123</v>
      </c>
      <c r="D2584">
        <v>39</v>
      </c>
      <c r="E2584" t="s">
        <v>6</v>
      </c>
      <c r="F2584" t="s">
        <v>7</v>
      </c>
      <c r="G2584" s="1">
        <f t="shared" si="120"/>
        <v>45199</v>
      </c>
      <c r="H2584">
        <f t="shared" si="121"/>
        <v>2</v>
      </c>
      <c r="I2584">
        <f t="shared" si="122"/>
        <v>0</v>
      </c>
      <c r="J2584">
        <f>IF(Table1[[#This Row],[Active_months]]&gt;=1, 1, 0)</f>
        <v>1</v>
      </c>
    </row>
    <row r="2585" spans="1:10" x14ac:dyDescent="0.3">
      <c r="A2585">
        <v>218617631</v>
      </c>
      <c r="B2585" s="1">
        <v>45123</v>
      </c>
      <c r="C2585" s="1">
        <v>45161</v>
      </c>
      <c r="D2585">
        <v>39</v>
      </c>
      <c r="E2585" t="s">
        <v>6</v>
      </c>
      <c r="F2585" t="s">
        <v>7</v>
      </c>
      <c r="G2585" s="1">
        <f t="shared" si="120"/>
        <v>45161</v>
      </c>
      <c r="H2585">
        <f t="shared" si="121"/>
        <v>1</v>
      </c>
      <c r="I2585">
        <f t="shared" si="122"/>
        <v>0</v>
      </c>
      <c r="J2585">
        <f>IF(Table1[[#This Row],[Active_months]]&gt;=1, 1, 0)</f>
        <v>1</v>
      </c>
    </row>
    <row r="2586" spans="1:10" x14ac:dyDescent="0.3">
      <c r="A2586">
        <v>218770458</v>
      </c>
      <c r="B2586" s="1">
        <v>45123</v>
      </c>
      <c r="C2586" s="1">
        <v>45141</v>
      </c>
      <c r="D2586">
        <v>39</v>
      </c>
      <c r="E2586" t="s">
        <v>6</v>
      </c>
      <c r="F2586" t="s">
        <v>7</v>
      </c>
      <c r="G2586" s="1">
        <f t="shared" si="120"/>
        <v>45141</v>
      </c>
      <c r="H2586">
        <f t="shared" si="121"/>
        <v>1</v>
      </c>
      <c r="I2586">
        <f t="shared" si="122"/>
        <v>0</v>
      </c>
      <c r="J2586">
        <f>IF(Table1[[#This Row],[Active_months]]&gt;=1, 1, 0)</f>
        <v>1</v>
      </c>
    </row>
    <row r="2587" spans="1:10" x14ac:dyDescent="0.3">
      <c r="A2587">
        <v>218720472</v>
      </c>
      <c r="B2587" s="1">
        <v>45123</v>
      </c>
      <c r="C2587" s="1">
        <v>45157</v>
      </c>
      <c r="D2587">
        <v>39</v>
      </c>
      <c r="E2587" t="s">
        <v>6</v>
      </c>
      <c r="F2587" t="s">
        <v>7</v>
      </c>
      <c r="G2587" s="1">
        <f t="shared" si="120"/>
        <v>45157</v>
      </c>
      <c r="H2587">
        <f t="shared" si="121"/>
        <v>1</v>
      </c>
      <c r="I2587">
        <f t="shared" si="122"/>
        <v>0</v>
      </c>
      <c r="J2587">
        <f>IF(Table1[[#This Row],[Active_months]]&gt;=1, 1, 0)</f>
        <v>1</v>
      </c>
    </row>
    <row r="2588" spans="1:10" x14ac:dyDescent="0.3">
      <c r="A2588">
        <v>218846909</v>
      </c>
      <c r="B2588" s="1">
        <v>45124</v>
      </c>
      <c r="D2588">
        <v>39</v>
      </c>
      <c r="E2588" t="s">
        <v>6</v>
      </c>
      <c r="F2588" t="s">
        <v>7</v>
      </c>
      <c r="G2588" s="1">
        <f t="shared" si="120"/>
        <v>45199</v>
      </c>
      <c r="H2588">
        <f t="shared" si="121"/>
        <v>2</v>
      </c>
      <c r="I2588">
        <f t="shared" si="122"/>
        <v>0</v>
      </c>
      <c r="J2588">
        <f>IF(Table1[[#This Row],[Active_months]]&gt;=1, 1, 0)</f>
        <v>1</v>
      </c>
    </row>
    <row r="2589" spans="1:10" x14ac:dyDescent="0.3">
      <c r="A2589">
        <v>214714278</v>
      </c>
      <c r="B2589" s="1">
        <v>45124</v>
      </c>
      <c r="D2589">
        <v>39</v>
      </c>
      <c r="E2589" t="s">
        <v>6</v>
      </c>
      <c r="F2589" t="s">
        <v>7</v>
      </c>
      <c r="G2589" s="1">
        <f t="shared" si="120"/>
        <v>45199</v>
      </c>
      <c r="H2589">
        <f t="shared" si="121"/>
        <v>2</v>
      </c>
      <c r="I2589">
        <f t="shared" si="122"/>
        <v>0</v>
      </c>
      <c r="J2589">
        <f>IF(Table1[[#This Row],[Active_months]]&gt;=1, 1, 0)</f>
        <v>1</v>
      </c>
    </row>
    <row r="2590" spans="1:10" x14ac:dyDescent="0.3">
      <c r="A2590">
        <v>218529158</v>
      </c>
      <c r="B2590" s="1">
        <v>45124</v>
      </c>
      <c r="D2590">
        <v>39</v>
      </c>
      <c r="E2590" t="s">
        <v>6</v>
      </c>
      <c r="F2590" t="s">
        <v>7</v>
      </c>
      <c r="G2590" s="1">
        <f t="shared" si="120"/>
        <v>45199</v>
      </c>
      <c r="H2590">
        <f t="shared" si="121"/>
        <v>2</v>
      </c>
      <c r="I2590">
        <f t="shared" si="122"/>
        <v>0</v>
      </c>
      <c r="J2590">
        <f>IF(Table1[[#This Row],[Active_months]]&gt;=1, 1, 0)</f>
        <v>1</v>
      </c>
    </row>
    <row r="2591" spans="1:10" x14ac:dyDescent="0.3">
      <c r="A2591">
        <v>218837719</v>
      </c>
      <c r="B2591" s="1">
        <v>45124</v>
      </c>
      <c r="D2591">
        <v>39</v>
      </c>
      <c r="E2591" t="s">
        <v>6</v>
      </c>
      <c r="F2591" t="s">
        <v>7</v>
      </c>
      <c r="G2591" s="1">
        <f t="shared" si="120"/>
        <v>45199</v>
      </c>
      <c r="H2591">
        <f t="shared" si="121"/>
        <v>2</v>
      </c>
      <c r="I2591">
        <f t="shared" si="122"/>
        <v>0</v>
      </c>
      <c r="J2591">
        <f>IF(Table1[[#This Row],[Active_months]]&gt;=1, 1, 0)</f>
        <v>1</v>
      </c>
    </row>
    <row r="2592" spans="1:10" x14ac:dyDescent="0.3">
      <c r="A2592">
        <v>194367477</v>
      </c>
      <c r="B2592" s="1">
        <v>45124</v>
      </c>
      <c r="D2592">
        <v>39</v>
      </c>
      <c r="E2592" t="s">
        <v>6</v>
      </c>
      <c r="F2592" t="s">
        <v>7</v>
      </c>
      <c r="G2592" s="1">
        <f t="shared" si="120"/>
        <v>45199</v>
      </c>
      <c r="H2592">
        <f t="shared" si="121"/>
        <v>2</v>
      </c>
      <c r="I2592">
        <f t="shared" si="122"/>
        <v>0</v>
      </c>
      <c r="J2592">
        <f>IF(Table1[[#This Row],[Active_months]]&gt;=1, 1, 0)</f>
        <v>1</v>
      </c>
    </row>
    <row r="2593" spans="1:10" x14ac:dyDescent="0.3">
      <c r="A2593">
        <v>218300066</v>
      </c>
      <c r="B2593" s="1">
        <v>45124</v>
      </c>
      <c r="D2593">
        <v>39</v>
      </c>
      <c r="E2593" t="s">
        <v>6</v>
      </c>
      <c r="F2593" t="s">
        <v>7</v>
      </c>
      <c r="G2593" s="1">
        <f t="shared" si="120"/>
        <v>45199</v>
      </c>
      <c r="H2593">
        <f t="shared" si="121"/>
        <v>2</v>
      </c>
      <c r="I2593">
        <f t="shared" si="122"/>
        <v>0</v>
      </c>
      <c r="J2593">
        <f>IF(Table1[[#This Row],[Active_months]]&gt;=1, 1, 0)</f>
        <v>1</v>
      </c>
    </row>
    <row r="2594" spans="1:10" x14ac:dyDescent="0.3">
      <c r="A2594">
        <v>218553583</v>
      </c>
      <c r="B2594" s="1">
        <v>45124</v>
      </c>
      <c r="D2594">
        <v>39</v>
      </c>
      <c r="E2594" t="s">
        <v>6</v>
      </c>
      <c r="F2594" t="s">
        <v>7</v>
      </c>
      <c r="G2594" s="1">
        <f t="shared" si="120"/>
        <v>45199</v>
      </c>
      <c r="H2594">
        <f t="shared" si="121"/>
        <v>2</v>
      </c>
      <c r="I2594">
        <f t="shared" si="122"/>
        <v>0</v>
      </c>
      <c r="J2594">
        <f>IF(Table1[[#This Row],[Active_months]]&gt;=1, 1, 0)</f>
        <v>1</v>
      </c>
    </row>
    <row r="2595" spans="1:10" x14ac:dyDescent="0.3">
      <c r="A2595">
        <v>149657162</v>
      </c>
      <c r="B2595" s="1">
        <v>45124</v>
      </c>
      <c r="C2595" s="1">
        <v>45125</v>
      </c>
      <c r="D2595">
        <v>39</v>
      </c>
      <c r="E2595" t="s">
        <v>6</v>
      </c>
      <c r="F2595" t="s">
        <v>7</v>
      </c>
      <c r="G2595" s="1">
        <f t="shared" si="120"/>
        <v>45125</v>
      </c>
      <c r="H2595">
        <f t="shared" si="121"/>
        <v>0</v>
      </c>
      <c r="I2595">
        <f t="shared" si="122"/>
        <v>0</v>
      </c>
      <c r="J2595">
        <f>IF(Table1[[#This Row],[Active_months]]&gt;=1, 1, 0)</f>
        <v>0</v>
      </c>
    </row>
    <row r="2596" spans="1:10" x14ac:dyDescent="0.3">
      <c r="A2596">
        <v>125920876</v>
      </c>
      <c r="B2596" s="1">
        <v>45124</v>
      </c>
      <c r="C2596" s="1">
        <v>45162</v>
      </c>
      <c r="D2596">
        <v>39</v>
      </c>
      <c r="E2596" t="s">
        <v>6</v>
      </c>
      <c r="F2596" t="s">
        <v>7</v>
      </c>
      <c r="G2596" s="1">
        <f t="shared" si="120"/>
        <v>45162</v>
      </c>
      <c r="H2596">
        <f t="shared" si="121"/>
        <v>1</v>
      </c>
      <c r="I2596">
        <f t="shared" si="122"/>
        <v>0</v>
      </c>
      <c r="J2596">
        <f>IF(Table1[[#This Row],[Active_months]]&gt;=1, 1, 0)</f>
        <v>1</v>
      </c>
    </row>
    <row r="2597" spans="1:10" x14ac:dyDescent="0.3">
      <c r="A2597">
        <v>217403566</v>
      </c>
      <c r="B2597" s="1">
        <v>45124</v>
      </c>
      <c r="C2597" s="1">
        <v>45152</v>
      </c>
      <c r="D2597">
        <v>39</v>
      </c>
      <c r="E2597" t="s">
        <v>6</v>
      </c>
      <c r="F2597" t="s">
        <v>7</v>
      </c>
      <c r="G2597" s="1">
        <f t="shared" si="120"/>
        <v>45152</v>
      </c>
      <c r="H2597">
        <f t="shared" si="121"/>
        <v>1</v>
      </c>
      <c r="I2597">
        <f t="shared" si="122"/>
        <v>0</v>
      </c>
      <c r="J2597">
        <f>IF(Table1[[#This Row],[Active_months]]&gt;=1, 1, 0)</f>
        <v>1</v>
      </c>
    </row>
    <row r="2598" spans="1:10" x14ac:dyDescent="0.3">
      <c r="A2598">
        <v>218677370</v>
      </c>
      <c r="B2598" s="1">
        <v>45124</v>
      </c>
      <c r="C2598" s="1">
        <v>45153</v>
      </c>
      <c r="D2598">
        <v>39</v>
      </c>
      <c r="E2598" t="s">
        <v>6</v>
      </c>
      <c r="F2598" t="s">
        <v>7</v>
      </c>
      <c r="G2598" s="1">
        <f t="shared" si="120"/>
        <v>45153</v>
      </c>
      <c r="H2598">
        <f t="shared" si="121"/>
        <v>1</v>
      </c>
      <c r="I2598">
        <f t="shared" si="122"/>
        <v>0</v>
      </c>
      <c r="J2598">
        <f>IF(Table1[[#This Row],[Active_months]]&gt;=1, 1, 0)</f>
        <v>1</v>
      </c>
    </row>
    <row r="2599" spans="1:10" x14ac:dyDescent="0.3">
      <c r="A2599">
        <v>218598875</v>
      </c>
      <c r="B2599" s="1">
        <v>45124</v>
      </c>
      <c r="C2599" s="1">
        <v>45162</v>
      </c>
      <c r="D2599">
        <v>39</v>
      </c>
      <c r="E2599" t="s">
        <v>6</v>
      </c>
      <c r="F2599" t="s">
        <v>7</v>
      </c>
      <c r="G2599" s="1">
        <f t="shared" si="120"/>
        <v>45162</v>
      </c>
      <c r="H2599">
        <f t="shared" si="121"/>
        <v>1</v>
      </c>
      <c r="I2599">
        <f t="shared" si="122"/>
        <v>0</v>
      </c>
      <c r="J2599">
        <f>IF(Table1[[#This Row],[Active_months]]&gt;=1, 1, 0)</f>
        <v>1</v>
      </c>
    </row>
    <row r="2600" spans="1:10" x14ac:dyDescent="0.3">
      <c r="A2600">
        <v>203116529</v>
      </c>
      <c r="B2600" s="1">
        <v>45124</v>
      </c>
      <c r="C2600" s="1">
        <v>45124</v>
      </c>
      <c r="D2600">
        <v>39</v>
      </c>
      <c r="E2600" t="s">
        <v>6</v>
      </c>
      <c r="F2600" t="s">
        <v>7</v>
      </c>
      <c r="G2600" s="1">
        <f t="shared" si="120"/>
        <v>45124</v>
      </c>
      <c r="H2600">
        <f t="shared" si="121"/>
        <v>0</v>
      </c>
      <c r="I2600">
        <f t="shared" si="122"/>
        <v>0</v>
      </c>
      <c r="J2600">
        <f>IF(Table1[[#This Row],[Active_months]]&gt;=1, 1, 0)</f>
        <v>0</v>
      </c>
    </row>
    <row r="2601" spans="1:10" x14ac:dyDescent="0.3">
      <c r="A2601">
        <v>218808831</v>
      </c>
      <c r="B2601" s="1">
        <v>45124</v>
      </c>
      <c r="C2601" s="1">
        <v>45170</v>
      </c>
      <c r="D2601">
        <v>39</v>
      </c>
      <c r="E2601" t="s">
        <v>6</v>
      </c>
      <c r="F2601" t="s">
        <v>7</v>
      </c>
      <c r="G2601" s="1">
        <f t="shared" si="120"/>
        <v>45170</v>
      </c>
      <c r="H2601">
        <f t="shared" si="121"/>
        <v>2</v>
      </c>
      <c r="I2601">
        <f t="shared" si="122"/>
        <v>0</v>
      </c>
      <c r="J2601">
        <f>IF(Table1[[#This Row],[Active_months]]&gt;=1, 1, 0)</f>
        <v>1</v>
      </c>
    </row>
    <row r="2602" spans="1:10" x14ac:dyDescent="0.3">
      <c r="A2602">
        <v>218844240</v>
      </c>
      <c r="B2602" s="1">
        <v>45125</v>
      </c>
      <c r="D2602">
        <v>39</v>
      </c>
      <c r="E2602" t="s">
        <v>6</v>
      </c>
      <c r="F2602" t="s">
        <v>7</v>
      </c>
      <c r="G2602" s="1">
        <f t="shared" si="120"/>
        <v>45199</v>
      </c>
      <c r="H2602">
        <f t="shared" si="121"/>
        <v>2</v>
      </c>
      <c r="I2602">
        <f t="shared" si="122"/>
        <v>0</v>
      </c>
      <c r="J2602">
        <f>IF(Table1[[#This Row],[Active_months]]&gt;=1, 1, 0)</f>
        <v>1</v>
      </c>
    </row>
    <row r="2603" spans="1:10" x14ac:dyDescent="0.3">
      <c r="A2603">
        <v>218863419</v>
      </c>
      <c r="B2603" s="1">
        <v>45125</v>
      </c>
      <c r="D2603">
        <v>39</v>
      </c>
      <c r="E2603" t="s">
        <v>6</v>
      </c>
      <c r="F2603" t="s">
        <v>7</v>
      </c>
      <c r="G2603" s="1">
        <f t="shared" si="120"/>
        <v>45199</v>
      </c>
      <c r="H2603">
        <f t="shared" si="121"/>
        <v>2</v>
      </c>
      <c r="I2603">
        <f t="shared" si="122"/>
        <v>0</v>
      </c>
      <c r="J2603">
        <f>IF(Table1[[#This Row],[Active_months]]&gt;=1, 1, 0)</f>
        <v>1</v>
      </c>
    </row>
    <row r="2604" spans="1:10" x14ac:dyDescent="0.3">
      <c r="A2604">
        <v>218445704</v>
      </c>
      <c r="B2604" s="1">
        <v>45125</v>
      </c>
      <c r="D2604">
        <v>39</v>
      </c>
      <c r="E2604" t="s">
        <v>6</v>
      </c>
      <c r="F2604" t="s">
        <v>7</v>
      </c>
      <c r="G2604" s="1">
        <f t="shared" si="120"/>
        <v>45199</v>
      </c>
      <c r="H2604">
        <f t="shared" si="121"/>
        <v>2</v>
      </c>
      <c r="I2604">
        <f t="shared" si="122"/>
        <v>0</v>
      </c>
      <c r="J2604">
        <f>IF(Table1[[#This Row],[Active_months]]&gt;=1, 1, 0)</f>
        <v>1</v>
      </c>
    </row>
    <row r="2605" spans="1:10" x14ac:dyDescent="0.3">
      <c r="A2605">
        <v>149411976</v>
      </c>
      <c r="B2605" s="1">
        <v>45125</v>
      </c>
      <c r="D2605">
        <v>39</v>
      </c>
      <c r="E2605" t="s">
        <v>6</v>
      </c>
      <c r="F2605" t="s">
        <v>7</v>
      </c>
      <c r="G2605" s="1">
        <f t="shared" si="120"/>
        <v>45199</v>
      </c>
      <c r="H2605">
        <f t="shared" si="121"/>
        <v>2</v>
      </c>
      <c r="I2605">
        <f t="shared" si="122"/>
        <v>0</v>
      </c>
      <c r="J2605">
        <f>IF(Table1[[#This Row],[Active_months]]&gt;=1, 1, 0)</f>
        <v>1</v>
      </c>
    </row>
    <row r="2606" spans="1:10" x14ac:dyDescent="0.3">
      <c r="A2606">
        <v>218862674</v>
      </c>
      <c r="B2606" s="1">
        <v>45125</v>
      </c>
      <c r="D2606">
        <v>39</v>
      </c>
      <c r="E2606" t="s">
        <v>6</v>
      </c>
      <c r="F2606" t="s">
        <v>7</v>
      </c>
      <c r="G2606" s="1">
        <f t="shared" si="120"/>
        <v>45199</v>
      </c>
      <c r="H2606">
        <f t="shared" si="121"/>
        <v>2</v>
      </c>
      <c r="I2606">
        <f t="shared" si="122"/>
        <v>0</v>
      </c>
      <c r="J2606">
        <f>IF(Table1[[#This Row],[Active_months]]&gt;=1, 1, 0)</f>
        <v>1</v>
      </c>
    </row>
    <row r="2607" spans="1:10" x14ac:dyDescent="0.3">
      <c r="A2607">
        <v>218851122</v>
      </c>
      <c r="B2607" s="1">
        <v>45125</v>
      </c>
      <c r="D2607">
        <v>39</v>
      </c>
      <c r="E2607" t="s">
        <v>6</v>
      </c>
      <c r="F2607" t="s">
        <v>7</v>
      </c>
      <c r="G2607" s="1">
        <f t="shared" si="120"/>
        <v>45199</v>
      </c>
      <c r="H2607">
        <f t="shared" si="121"/>
        <v>2</v>
      </c>
      <c r="I2607">
        <f t="shared" si="122"/>
        <v>0</v>
      </c>
      <c r="J2607">
        <f>IF(Table1[[#This Row],[Active_months]]&gt;=1, 1, 0)</f>
        <v>1</v>
      </c>
    </row>
    <row r="2608" spans="1:10" x14ac:dyDescent="0.3">
      <c r="A2608">
        <v>153402484</v>
      </c>
      <c r="B2608" s="1">
        <v>45125</v>
      </c>
      <c r="C2608" s="1">
        <v>45170</v>
      </c>
      <c r="D2608">
        <v>39</v>
      </c>
      <c r="E2608" t="s">
        <v>6</v>
      </c>
      <c r="F2608" t="s">
        <v>7</v>
      </c>
      <c r="G2608" s="1">
        <f t="shared" si="120"/>
        <v>45170</v>
      </c>
      <c r="H2608">
        <f t="shared" si="121"/>
        <v>2</v>
      </c>
      <c r="I2608">
        <f t="shared" si="122"/>
        <v>0</v>
      </c>
      <c r="J2608">
        <f>IF(Table1[[#This Row],[Active_months]]&gt;=1, 1, 0)</f>
        <v>1</v>
      </c>
    </row>
    <row r="2609" spans="1:10" x14ac:dyDescent="0.3">
      <c r="A2609">
        <v>218848831</v>
      </c>
      <c r="B2609" s="1">
        <v>45125</v>
      </c>
      <c r="C2609" s="1">
        <v>45164</v>
      </c>
      <c r="D2609">
        <v>39</v>
      </c>
      <c r="E2609" t="s">
        <v>6</v>
      </c>
      <c r="F2609" t="s">
        <v>7</v>
      </c>
      <c r="G2609" s="1">
        <f t="shared" si="120"/>
        <v>45164</v>
      </c>
      <c r="H2609">
        <f t="shared" si="121"/>
        <v>1</v>
      </c>
      <c r="I2609">
        <f t="shared" si="122"/>
        <v>0</v>
      </c>
      <c r="J2609">
        <f>IF(Table1[[#This Row],[Active_months]]&gt;=1, 1, 0)</f>
        <v>1</v>
      </c>
    </row>
    <row r="2610" spans="1:10" x14ac:dyDescent="0.3">
      <c r="A2610">
        <v>159639128</v>
      </c>
      <c r="B2610" s="1">
        <v>45125</v>
      </c>
      <c r="C2610" s="1">
        <v>45125</v>
      </c>
      <c r="D2610">
        <v>39</v>
      </c>
      <c r="E2610" t="s">
        <v>6</v>
      </c>
      <c r="F2610" t="s">
        <v>7</v>
      </c>
      <c r="G2610" s="1">
        <f t="shared" si="120"/>
        <v>45125</v>
      </c>
      <c r="H2610">
        <f t="shared" si="121"/>
        <v>0</v>
      </c>
      <c r="I2610">
        <f t="shared" si="122"/>
        <v>0</v>
      </c>
      <c r="J2610">
        <f>IF(Table1[[#This Row],[Active_months]]&gt;=1, 1, 0)</f>
        <v>0</v>
      </c>
    </row>
    <row r="2611" spans="1:10" x14ac:dyDescent="0.3">
      <c r="A2611">
        <v>214638700</v>
      </c>
      <c r="B2611" s="1">
        <v>45125</v>
      </c>
      <c r="C2611" s="1">
        <v>45126</v>
      </c>
      <c r="D2611">
        <v>39</v>
      </c>
      <c r="E2611" t="s">
        <v>6</v>
      </c>
      <c r="F2611" t="s">
        <v>8</v>
      </c>
      <c r="G2611" s="1">
        <f t="shared" si="120"/>
        <v>45126</v>
      </c>
      <c r="H2611">
        <f t="shared" si="121"/>
        <v>0</v>
      </c>
      <c r="I2611">
        <f t="shared" si="122"/>
        <v>0</v>
      </c>
      <c r="J2611">
        <f>IF(Table1[[#This Row],[Active_months]]&gt;=1, 1, 0)</f>
        <v>0</v>
      </c>
    </row>
    <row r="2612" spans="1:10" x14ac:dyDescent="0.3">
      <c r="A2612">
        <v>218850789</v>
      </c>
      <c r="B2612" s="1">
        <v>45125</v>
      </c>
      <c r="C2612" s="1">
        <v>45156</v>
      </c>
      <c r="D2612">
        <v>39</v>
      </c>
      <c r="E2612" t="s">
        <v>6</v>
      </c>
      <c r="F2612" t="s">
        <v>7</v>
      </c>
      <c r="G2612" s="1">
        <f t="shared" si="120"/>
        <v>45156</v>
      </c>
      <c r="H2612">
        <f t="shared" si="121"/>
        <v>1</v>
      </c>
      <c r="I2612">
        <f t="shared" si="122"/>
        <v>0</v>
      </c>
      <c r="J2612">
        <f>IF(Table1[[#This Row],[Active_months]]&gt;=1, 1, 0)</f>
        <v>1</v>
      </c>
    </row>
    <row r="2613" spans="1:10" x14ac:dyDescent="0.3">
      <c r="A2613">
        <v>155510287</v>
      </c>
      <c r="B2613" s="1">
        <v>45125</v>
      </c>
      <c r="C2613" s="1">
        <v>45150</v>
      </c>
      <c r="D2613">
        <v>39</v>
      </c>
      <c r="E2613" t="s">
        <v>6</v>
      </c>
      <c r="F2613" t="s">
        <v>7</v>
      </c>
      <c r="G2613" s="1">
        <f t="shared" si="120"/>
        <v>45150</v>
      </c>
      <c r="H2613">
        <f t="shared" si="121"/>
        <v>1</v>
      </c>
      <c r="I2613">
        <f t="shared" si="122"/>
        <v>0</v>
      </c>
      <c r="J2613">
        <f>IF(Table1[[#This Row],[Active_months]]&gt;=1, 1, 0)</f>
        <v>1</v>
      </c>
    </row>
    <row r="2614" spans="1:10" x14ac:dyDescent="0.3">
      <c r="A2614">
        <v>218677703</v>
      </c>
      <c r="B2614" s="1">
        <v>45125</v>
      </c>
      <c r="C2614" s="1">
        <v>45131</v>
      </c>
      <c r="D2614">
        <v>39</v>
      </c>
      <c r="E2614" t="s">
        <v>6</v>
      </c>
      <c r="F2614" t="s">
        <v>7</v>
      </c>
      <c r="G2614" s="1">
        <f t="shared" si="120"/>
        <v>45131</v>
      </c>
      <c r="H2614">
        <f t="shared" si="121"/>
        <v>0</v>
      </c>
      <c r="I2614">
        <f t="shared" si="122"/>
        <v>0</v>
      </c>
      <c r="J2614">
        <f>IF(Table1[[#This Row],[Active_months]]&gt;=1, 1, 0)</f>
        <v>0</v>
      </c>
    </row>
    <row r="2615" spans="1:10" x14ac:dyDescent="0.3">
      <c r="A2615">
        <v>218878930</v>
      </c>
      <c r="B2615" s="1">
        <v>45125</v>
      </c>
      <c r="C2615" s="1">
        <v>45127</v>
      </c>
      <c r="D2615">
        <v>39</v>
      </c>
      <c r="E2615" t="s">
        <v>6</v>
      </c>
      <c r="F2615" t="s">
        <v>7</v>
      </c>
      <c r="G2615" s="1">
        <f t="shared" si="120"/>
        <v>45127</v>
      </c>
      <c r="H2615">
        <f t="shared" si="121"/>
        <v>0</v>
      </c>
      <c r="I2615">
        <f t="shared" si="122"/>
        <v>0</v>
      </c>
      <c r="J2615">
        <f>IF(Table1[[#This Row],[Active_months]]&gt;=1, 1, 0)</f>
        <v>0</v>
      </c>
    </row>
    <row r="2616" spans="1:10" x14ac:dyDescent="0.3">
      <c r="A2616">
        <v>218935022</v>
      </c>
      <c r="B2616" s="1">
        <v>45126</v>
      </c>
      <c r="D2616">
        <v>39</v>
      </c>
      <c r="E2616" t="s">
        <v>6</v>
      </c>
      <c r="F2616" t="s">
        <v>7</v>
      </c>
      <c r="G2616" s="1">
        <f t="shared" si="120"/>
        <v>45199</v>
      </c>
      <c r="H2616">
        <f t="shared" si="121"/>
        <v>2</v>
      </c>
      <c r="I2616">
        <f t="shared" si="122"/>
        <v>0</v>
      </c>
      <c r="J2616">
        <f>IF(Table1[[#This Row],[Active_months]]&gt;=1, 1, 0)</f>
        <v>1</v>
      </c>
    </row>
    <row r="2617" spans="1:10" x14ac:dyDescent="0.3">
      <c r="A2617">
        <v>218925198</v>
      </c>
      <c r="B2617" s="1">
        <v>45126</v>
      </c>
      <c r="D2617">
        <v>39</v>
      </c>
      <c r="E2617" t="s">
        <v>6</v>
      </c>
      <c r="F2617" t="s">
        <v>7</v>
      </c>
      <c r="G2617" s="1">
        <f t="shared" si="120"/>
        <v>45199</v>
      </c>
      <c r="H2617">
        <f t="shared" si="121"/>
        <v>2</v>
      </c>
      <c r="I2617">
        <f t="shared" si="122"/>
        <v>0</v>
      </c>
      <c r="J2617">
        <f>IF(Table1[[#This Row],[Active_months]]&gt;=1, 1, 0)</f>
        <v>1</v>
      </c>
    </row>
    <row r="2618" spans="1:10" x14ac:dyDescent="0.3">
      <c r="A2618">
        <v>218927120</v>
      </c>
      <c r="B2618" s="1">
        <v>45126</v>
      </c>
      <c r="D2618">
        <v>39</v>
      </c>
      <c r="E2618" t="s">
        <v>6</v>
      </c>
      <c r="F2618" t="s">
        <v>7</v>
      </c>
      <c r="G2618" s="1">
        <f t="shared" si="120"/>
        <v>45199</v>
      </c>
      <c r="H2618">
        <f t="shared" si="121"/>
        <v>2</v>
      </c>
      <c r="I2618">
        <f t="shared" si="122"/>
        <v>0</v>
      </c>
      <c r="J2618">
        <f>IF(Table1[[#This Row],[Active_months]]&gt;=1, 1, 0)</f>
        <v>1</v>
      </c>
    </row>
    <row r="2619" spans="1:10" x14ac:dyDescent="0.3">
      <c r="A2619">
        <v>218930176</v>
      </c>
      <c r="B2619" s="1">
        <v>45126</v>
      </c>
      <c r="D2619">
        <v>39</v>
      </c>
      <c r="E2619" t="s">
        <v>6</v>
      </c>
      <c r="F2619" t="s">
        <v>7</v>
      </c>
      <c r="G2619" s="1">
        <f t="shared" si="120"/>
        <v>45199</v>
      </c>
      <c r="H2619">
        <f t="shared" si="121"/>
        <v>2</v>
      </c>
      <c r="I2619">
        <f t="shared" si="122"/>
        <v>0</v>
      </c>
      <c r="J2619">
        <f>IF(Table1[[#This Row],[Active_months]]&gt;=1, 1, 0)</f>
        <v>1</v>
      </c>
    </row>
    <row r="2620" spans="1:10" x14ac:dyDescent="0.3">
      <c r="A2620">
        <v>216185482</v>
      </c>
      <c r="B2620" s="1">
        <v>45126</v>
      </c>
      <c r="D2620">
        <v>39</v>
      </c>
      <c r="E2620" t="s">
        <v>6</v>
      </c>
      <c r="F2620" t="s">
        <v>7</v>
      </c>
      <c r="G2620" s="1">
        <f t="shared" si="120"/>
        <v>45199</v>
      </c>
      <c r="H2620">
        <f t="shared" si="121"/>
        <v>2</v>
      </c>
      <c r="I2620">
        <f t="shared" si="122"/>
        <v>0</v>
      </c>
      <c r="J2620">
        <f>IF(Table1[[#This Row],[Active_months]]&gt;=1, 1, 0)</f>
        <v>1</v>
      </c>
    </row>
    <row r="2621" spans="1:10" x14ac:dyDescent="0.3">
      <c r="A2621">
        <v>218814342</v>
      </c>
      <c r="B2621" s="1">
        <v>45126</v>
      </c>
      <c r="D2621">
        <v>39</v>
      </c>
      <c r="E2621" t="s">
        <v>6</v>
      </c>
      <c r="F2621" t="s">
        <v>7</v>
      </c>
      <c r="G2621" s="1">
        <f t="shared" si="120"/>
        <v>45199</v>
      </c>
      <c r="H2621">
        <f t="shared" si="121"/>
        <v>2</v>
      </c>
      <c r="I2621">
        <f t="shared" si="122"/>
        <v>0</v>
      </c>
      <c r="J2621">
        <f>IF(Table1[[#This Row],[Active_months]]&gt;=1, 1, 0)</f>
        <v>1</v>
      </c>
    </row>
    <row r="2622" spans="1:10" x14ac:dyDescent="0.3">
      <c r="A2622">
        <v>218764310</v>
      </c>
      <c r="B2622" s="1">
        <v>45126</v>
      </c>
      <c r="D2622">
        <v>39</v>
      </c>
      <c r="E2622" t="s">
        <v>6</v>
      </c>
      <c r="F2622" t="s">
        <v>7</v>
      </c>
      <c r="G2622" s="1">
        <f t="shared" si="120"/>
        <v>45199</v>
      </c>
      <c r="H2622">
        <f t="shared" si="121"/>
        <v>2</v>
      </c>
      <c r="I2622">
        <f t="shared" si="122"/>
        <v>0</v>
      </c>
      <c r="J2622">
        <f>IF(Table1[[#This Row],[Active_months]]&gt;=1, 1, 0)</f>
        <v>1</v>
      </c>
    </row>
    <row r="2623" spans="1:10" x14ac:dyDescent="0.3">
      <c r="A2623">
        <v>218814328</v>
      </c>
      <c r="B2623" s="1">
        <v>45126</v>
      </c>
      <c r="D2623">
        <v>39</v>
      </c>
      <c r="E2623" t="s">
        <v>6</v>
      </c>
      <c r="F2623" t="s">
        <v>7</v>
      </c>
      <c r="G2623" s="1">
        <f t="shared" si="120"/>
        <v>45199</v>
      </c>
      <c r="H2623">
        <f t="shared" si="121"/>
        <v>2</v>
      </c>
      <c r="I2623">
        <f t="shared" si="122"/>
        <v>0</v>
      </c>
      <c r="J2623">
        <f>IF(Table1[[#This Row],[Active_months]]&gt;=1, 1, 0)</f>
        <v>1</v>
      </c>
    </row>
    <row r="2624" spans="1:10" x14ac:dyDescent="0.3">
      <c r="A2624">
        <v>149144586</v>
      </c>
      <c r="B2624" s="1">
        <v>45126</v>
      </c>
      <c r="D2624">
        <v>39</v>
      </c>
      <c r="E2624" t="s">
        <v>6</v>
      </c>
      <c r="F2624" t="s">
        <v>7</v>
      </c>
      <c r="G2624" s="1">
        <f t="shared" si="120"/>
        <v>45199</v>
      </c>
      <c r="H2624">
        <f t="shared" si="121"/>
        <v>2</v>
      </c>
      <c r="I2624">
        <f t="shared" si="122"/>
        <v>0</v>
      </c>
      <c r="J2624">
        <f>IF(Table1[[#This Row],[Active_months]]&gt;=1, 1, 0)</f>
        <v>1</v>
      </c>
    </row>
    <row r="2625" spans="1:10" x14ac:dyDescent="0.3">
      <c r="A2625">
        <v>217635511</v>
      </c>
      <c r="B2625" s="1">
        <v>45126</v>
      </c>
      <c r="D2625">
        <v>39</v>
      </c>
      <c r="E2625" t="s">
        <v>6</v>
      </c>
      <c r="F2625" t="s">
        <v>7</v>
      </c>
      <c r="G2625" s="1">
        <f t="shared" si="120"/>
        <v>45199</v>
      </c>
      <c r="H2625">
        <f t="shared" si="121"/>
        <v>2</v>
      </c>
      <c r="I2625">
        <f t="shared" si="122"/>
        <v>0</v>
      </c>
      <c r="J2625">
        <f>IF(Table1[[#This Row],[Active_months]]&gt;=1, 1, 0)</f>
        <v>1</v>
      </c>
    </row>
    <row r="2626" spans="1:10" x14ac:dyDescent="0.3">
      <c r="A2626">
        <v>218924256</v>
      </c>
      <c r="B2626" s="1">
        <v>45126</v>
      </c>
      <c r="C2626" s="1">
        <v>45152</v>
      </c>
      <c r="D2626">
        <v>39</v>
      </c>
      <c r="E2626" t="s">
        <v>6</v>
      </c>
      <c r="F2626" t="s">
        <v>7</v>
      </c>
      <c r="G2626" s="1">
        <f t="shared" si="120"/>
        <v>45152</v>
      </c>
      <c r="H2626">
        <f t="shared" si="121"/>
        <v>1</v>
      </c>
      <c r="I2626">
        <f t="shared" si="122"/>
        <v>0</v>
      </c>
      <c r="J2626">
        <f>IF(Table1[[#This Row],[Active_months]]&gt;=1, 1, 0)</f>
        <v>1</v>
      </c>
    </row>
    <row r="2627" spans="1:10" x14ac:dyDescent="0.3">
      <c r="A2627">
        <v>218898552</v>
      </c>
      <c r="B2627" s="1">
        <v>45126</v>
      </c>
      <c r="C2627" s="1">
        <v>45155</v>
      </c>
      <c r="D2627">
        <v>39</v>
      </c>
      <c r="E2627" t="s">
        <v>6</v>
      </c>
      <c r="F2627" t="s">
        <v>7</v>
      </c>
      <c r="G2627" s="1">
        <f t="shared" ref="G2627:G2690" si="123">IF(ISBLANK(C2627), DATE(2023,9,30), C2627)</f>
        <v>45155</v>
      </c>
      <c r="H2627">
        <f t="shared" ref="H2627:H2690" si="124">(YEAR(G2627)-YEAR(B2627))*12 + (MONTH(G2627)-MONTH(B2627))</f>
        <v>1</v>
      </c>
      <c r="I2627">
        <f t="shared" ref="I2627:I2690" si="125">IF(H2627 &gt;=5, 1, 0)</f>
        <v>0</v>
      </c>
      <c r="J2627">
        <f>IF(Table1[[#This Row],[Active_months]]&gt;=1, 1, 0)</f>
        <v>1</v>
      </c>
    </row>
    <row r="2628" spans="1:10" x14ac:dyDescent="0.3">
      <c r="A2628">
        <v>149657162</v>
      </c>
      <c r="B2628" s="1">
        <v>45126</v>
      </c>
      <c r="C2628" s="1">
        <v>45172</v>
      </c>
      <c r="D2628">
        <v>39</v>
      </c>
      <c r="E2628" t="s">
        <v>6</v>
      </c>
      <c r="F2628" t="s">
        <v>7</v>
      </c>
      <c r="G2628" s="1">
        <f t="shared" si="123"/>
        <v>45172</v>
      </c>
      <c r="H2628">
        <f t="shared" si="124"/>
        <v>2</v>
      </c>
      <c r="I2628">
        <f t="shared" si="125"/>
        <v>0</v>
      </c>
      <c r="J2628">
        <f>IF(Table1[[#This Row],[Active_months]]&gt;=1, 1, 0)</f>
        <v>1</v>
      </c>
    </row>
    <row r="2629" spans="1:10" x14ac:dyDescent="0.3">
      <c r="A2629">
        <v>218581958</v>
      </c>
      <c r="B2629" s="1">
        <v>45126</v>
      </c>
      <c r="C2629" s="1">
        <v>45133</v>
      </c>
      <c r="D2629">
        <v>39</v>
      </c>
      <c r="E2629" t="s">
        <v>6</v>
      </c>
      <c r="F2629" t="s">
        <v>7</v>
      </c>
      <c r="G2629" s="1">
        <f t="shared" si="123"/>
        <v>45133</v>
      </c>
      <c r="H2629">
        <f t="shared" si="124"/>
        <v>0</v>
      </c>
      <c r="I2629">
        <f t="shared" si="125"/>
        <v>0</v>
      </c>
      <c r="J2629">
        <f>IF(Table1[[#This Row],[Active_months]]&gt;=1, 1, 0)</f>
        <v>0</v>
      </c>
    </row>
    <row r="2630" spans="1:10" x14ac:dyDescent="0.3">
      <c r="A2630">
        <v>214943384</v>
      </c>
      <c r="B2630" s="1">
        <v>45127</v>
      </c>
      <c r="D2630">
        <v>39</v>
      </c>
      <c r="E2630" t="s">
        <v>6</v>
      </c>
      <c r="F2630" t="s">
        <v>7</v>
      </c>
      <c r="G2630" s="1">
        <f t="shared" si="123"/>
        <v>45199</v>
      </c>
      <c r="H2630">
        <f t="shared" si="124"/>
        <v>2</v>
      </c>
      <c r="I2630">
        <f t="shared" si="125"/>
        <v>0</v>
      </c>
      <c r="J2630">
        <f>IF(Table1[[#This Row],[Active_months]]&gt;=1, 1, 0)</f>
        <v>1</v>
      </c>
    </row>
    <row r="2631" spans="1:10" x14ac:dyDescent="0.3">
      <c r="A2631">
        <v>147832373</v>
      </c>
      <c r="B2631" s="1">
        <v>45127</v>
      </c>
      <c r="D2631">
        <v>39</v>
      </c>
      <c r="E2631" t="s">
        <v>6</v>
      </c>
      <c r="F2631" t="s">
        <v>7</v>
      </c>
      <c r="G2631" s="1">
        <f t="shared" si="123"/>
        <v>45199</v>
      </c>
      <c r="H2631">
        <f t="shared" si="124"/>
        <v>2</v>
      </c>
      <c r="I2631">
        <f t="shared" si="125"/>
        <v>0</v>
      </c>
      <c r="J2631">
        <f>IF(Table1[[#This Row],[Active_months]]&gt;=1, 1, 0)</f>
        <v>1</v>
      </c>
    </row>
    <row r="2632" spans="1:10" x14ac:dyDescent="0.3">
      <c r="A2632">
        <v>204362311</v>
      </c>
      <c r="B2632" s="1">
        <v>45127</v>
      </c>
      <c r="D2632">
        <v>39</v>
      </c>
      <c r="E2632" t="s">
        <v>6</v>
      </c>
      <c r="F2632" t="s">
        <v>7</v>
      </c>
      <c r="G2632" s="1">
        <f t="shared" si="123"/>
        <v>45199</v>
      </c>
      <c r="H2632">
        <f t="shared" si="124"/>
        <v>2</v>
      </c>
      <c r="I2632">
        <f t="shared" si="125"/>
        <v>0</v>
      </c>
      <c r="J2632">
        <f>IF(Table1[[#This Row],[Active_months]]&gt;=1, 1, 0)</f>
        <v>1</v>
      </c>
    </row>
    <row r="2633" spans="1:10" x14ac:dyDescent="0.3">
      <c r="A2633">
        <v>217137211</v>
      </c>
      <c r="B2633" s="1">
        <v>45127</v>
      </c>
      <c r="D2633">
        <v>39</v>
      </c>
      <c r="E2633" t="s">
        <v>6</v>
      </c>
      <c r="F2633" t="s">
        <v>7</v>
      </c>
      <c r="G2633" s="1">
        <f t="shared" si="123"/>
        <v>45199</v>
      </c>
      <c r="H2633">
        <f t="shared" si="124"/>
        <v>2</v>
      </c>
      <c r="I2633">
        <f t="shared" si="125"/>
        <v>0</v>
      </c>
      <c r="J2633">
        <f>IF(Table1[[#This Row],[Active_months]]&gt;=1, 1, 0)</f>
        <v>1</v>
      </c>
    </row>
    <row r="2634" spans="1:10" x14ac:dyDescent="0.3">
      <c r="A2634">
        <v>218942852</v>
      </c>
      <c r="B2634" s="1">
        <v>45127</v>
      </c>
      <c r="D2634">
        <v>39</v>
      </c>
      <c r="E2634" t="s">
        <v>6</v>
      </c>
      <c r="F2634" t="s">
        <v>7</v>
      </c>
      <c r="G2634" s="1">
        <f t="shared" si="123"/>
        <v>45199</v>
      </c>
      <c r="H2634">
        <f t="shared" si="124"/>
        <v>2</v>
      </c>
      <c r="I2634">
        <f t="shared" si="125"/>
        <v>0</v>
      </c>
      <c r="J2634">
        <f>IF(Table1[[#This Row],[Active_months]]&gt;=1, 1, 0)</f>
        <v>1</v>
      </c>
    </row>
    <row r="2635" spans="1:10" x14ac:dyDescent="0.3">
      <c r="A2635">
        <v>218715020</v>
      </c>
      <c r="B2635" s="1">
        <v>45127</v>
      </c>
      <c r="C2635" s="1">
        <v>45174</v>
      </c>
      <c r="D2635">
        <v>39</v>
      </c>
      <c r="E2635" t="s">
        <v>6</v>
      </c>
      <c r="F2635" t="s">
        <v>7</v>
      </c>
      <c r="G2635" s="1">
        <f t="shared" si="123"/>
        <v>45174</v>
      </c>
      <c r="H2635">
        <f t="shared" si="124"/>
        <v>2</v>
      </c>
      <c r="I2635">
        <f t="shared" si="125"/>
        <v>0</v>
      </c>
      <c r="J2635">
        <f>IF(Table1[[#This Row],[Active_months]]&gt;=1, 1, 0)</f>
        <v>1</v>
      </c>
    </row>
    <row r="2636" spans="1:10" x14ac:dyDescent="0.3">
      <c r="A2636">
        <v>218701308</v>
      </c>
      <c r="B2636" s="1">
        <v>45127</v>
      </c>
      <c r="C2636" s="1">
        <v>45128</v>
      </c>
      <c r="D2636">
        <v>39</v>
      </c>
      <c r="E2636" t="s">
        <v>6</v>
      </c>
      <c r="F2636" t="s">
        <v>7</v>
      </c>
      <c r="G2636" s="1">
        <f t="shared" si="123"/>
        <v>45128</v>
      </c>
      <c r="H2636">
        <f t="shared" si="124"/>
        <v>0</v>
      </c>
      <c r="I2636">
        <f t="shared" si="125"/>
        <v>0</v>
      </c>
      <c r="J2636">
        <f>IF(Table1[[#This Row],[Active_months]]&gt;=1, 1, 0)</f>
        <v>0</v>
      </c>
    </row>
    <row r="2637" spans="1:10" x14ac:dyDescent="0.3">
      <c r="A2637">
        <v>218979443</v>
      </c>
      <c r="B2637" s="1">
        <v>45127</v>
      </c>
      <c r="C2637" s="1">
        <v>45153</v>
      </c>
      <c r="D2637">
        <v>39</v>
      </c>
      <c r="E2637" t="s">
        <v>6</v>
      </c>
      <c r="F2637" t="s">
        <v>7</v>
      </c>
      <c r="G2637" s="1">
        <f t="shared" si="123"/>
        <v>45153</v>
      </c>
      <c r="H2637">
        <f t="shared" si="124"/>
        <v>1</v>
      </c>
      <c r="I2637">
        <f t="shared" si="125"/>
        <v>0</v>
      </c>
      <c r="J2637">
        <f>IF(Table1[[#This Row],[Active_months]]&gt;=1, 1, 0)</f>
        <v>1</v>
      </c>
    </row>
    <row r="2638" spans="1:10" x14ac:dyDescent="0.3">
      <c r="A2638">
        <v>218543315</v>
      </c>
      <c r="B2638" s="1">
        <v>45127</v>
      </c>
      <c r="C2638" s="1">
        <v>45173</v>
      </c>
      <c r="D2638">
        <v>39</v>
      </c>
      <c r="E2638" t="s">
        <v>6</v>
      </c>
      <c r="F2638" t="s">
        <v>7</v>
      </c>
      <c r="G2638" s="1">
        <f t="shared" si="123"/>
        <v>45173</v>
      </c>
      <c r="H2638">
        <f t="shared" si="124"/>
        <v>2</v>
      </c>
      <c r="I2638">
        <f t="shared" si="125"/>
        <v>0</v>
      </c>
      <c r="J2638">
        <f>IF(Table1[[#This Row],[Active_months]]&gt;=1, 1, 0)</f>
        <v>1</v>
      </c>
    </row>
    <row r="2639" spans="1:10" x14ac:dyDescent="0.3">
      <c r="A2639">
        <v>218281726</v>
      </c>
      <c r="B2639" s="1">
        <v>45128</v>
      </c>
      <c r="D2639">
        <v>39</v>
      </c>
      <c r="E2639" t="s">
        <v>6</v>
      </c>
      <c r="F2639" t="s">
        <v>7</v>
      </c>
      <c r="G2639" s="1">
        <f t="shared" si="123"/>
        <v>45199</v>
      </c>
      <c r="H2639">
        <f t="shared" si="124"/>
        <v>2</v>
      </c>
      <c r="I2639">
        <f t="shared" si="125"/>
        <v>0</v>
      </c>
      <c r="J2639">
        <f>IF(Table1[[#This Row],[Active_months]]&gt;=1, 1, 0)</f>
        <v>1</v>
      </c>
    </row>
    <row r="2640" spans="1:10" x14ac:dyDescent="0.3">
      <c r="A2640">
        <v>144972422</v>
      </c>
      <c r="B2640" s="1">
        <v>45128</v>
      </c>
      <c r="D2640">
        <v>39</v>
      </c>
      <c r="E2640" t="s">
        <v>6</v>
      </c>
      <c r="F2640" t="s">
        <v>7</v>
      </c>
      <c r="G2640" s="1">
        <f t="shared" si="123"/>
        <v>45199</v>
      </c>
      <c r="H2640">
        <f t="shared" si="124"/>
        <v>2</v>
      </c>
      <c r="I2640">
        <f t="shared" si="125"/>
        <v>0</v>
      </c>
      <c r="J2640">
        <f>IF(Table1[[#This Row],[Active_months]]&gt;=1, 1, 0)</f>
        <v>1</v>
      </c>
    </row>
    <row r="2641" spans="1:10" x14ac:dyDescent="0.3">
      <c r="A2641">
        <v>219017513</v>
      </c>
      <c r="B2641" s="1">
        <v>45128</v>
      </c>
      <c r="D2641">
        <v>39</v>
      </c>
      <c r="E2641" t="s">
        <v>6</v>
      </c>
      <c r="F2641" t="s">
        <v>7</v>
      </c>
      <c r="G2641" s="1">
        <f t="shared" si="123"/>
        <v>45199</v>
      </c>
      <c r="H2641">
        <f t="shared" si="124"/>
        <v>2</v>
      </c>
      <c r="I2641">
        <f t="shared" si="125"/>
        <v>0</v>
      </c>
      <c r="J2641">
        <f>IF(Table1[[#This Row],[Active_months]]&gt;=1, 1, 0)</f>
        <v>1</v>
      </c>
    </row>
    <row r="2642" spans="1:10" x14ac:dyDescent="0.3">
      <c r="A2642">
        <v>218096762</v>
      </c>
      <c r="B2642" s="1">
        <v>45128</v>
      </c>
      <c r="D2642">
        <v>39</v>
      </c>
      <c r="E2642" t="s">
        <v>6</v>
      </c>
      <c r="F2642" t="s">
        <v>7</v>
      </c>
      <c r="G2642" s="1">
        <f t="shared" si="123"/>
        <v>45199</v>
      </c>
      <c r="H2642">
        <f t="shared" si="124"/>
        <v>2</v>
      </c>
      <c r="I2642">
        <f t="shared" si="125"/>
        <v>0</v>
      </c>
      <c r="J2642">
        <f>IF(Table1[[#This Row],[Active_months]]&gt;=1, 1, 0)</f>
        <v>1</v>
      </c>
    </row>
    <row r="2643" spans="1:10" x14ac:dyDescent="0.3">
      <c r="A2643">
        <v>134289850</v>
      </c>
      <c r="B2643" s="1">
        <v>45128</v>
      </c>
      <c r="D2643">
        <v>39</v>
      </c>
      <c r="E2643" t="s">
        <v>6</v>
      </c>
      <c r="F2643" t="s">
        <v>7</v>
      </c>
      <c r="G2643" s="1">
        <f t="shared" si="123"/>
        <v>45199</v>
      </c>
      <c r="H2643">
        <f t="shared" si="124"/>
        <v>2</v>
      </c>
      <c r="I2643">
        <f t="shared" si="125"/>
        <v>0</v>
      </c>
      <c r="J2643">
        <f>IF(Table1[[#This Row],[Active_months]]&gt;=1, 1, 0)</f>
        <v>1</v>
      </c>
    </row>
    <row r="2644" spans="1:10" x14ac:dyDescent="0.3">
      <c r="A2644">
        <v>205210815</v>
      </c>
      <c r="B2644" s="1">
        <v>45128</v>
      </c>
      <c r="C2644" s="1">
        <v>45129</v>
      </c>
      <c r="D2644">
        <v>39</v>
      </c>
      <c r="E2644" t="s">
        <v>6</v>
      </c>
      <c r="F2644" t="s">
        <v>7</v>
      </c>
      <c r="G2644" s="1">
        <f t="shared" si="123"/>
        <v>45129</v>
      </c>
      <c r="H2644">
        <f t="shared" si="124"/>
        <v>0</v>
      </c>
      <c r="I2644">
        <f t="shared" si="125"/>
        <v>0</v>
      </c>
      <c r="J2644">
        <f>IF(Table1[[#This Row],[Active_months]]&gt;=1, 1, 0)</f>
        <v>0</v>
      </c>
    </row>
    <row r="2645" spans="1:10" x14ac:dyDescent="0.3">
      <c r="A2645">
        <v>218684970</v>
      </c>
      <c r="B2645" s="1">
        <v>45128</v>
      </c>
      <c r="C2645" s="1">
        <v>45166</v>
      </c>
      <c r="D2645">
        <v>39</v>
      </c>
      <c r="E2645" t="s">
        <v>6</v>
      </c>
      <c r="F2645" t="s">
        <v>7</v>
      </c>
      <c r="G2645" s="1">
        <f t="shared" si="123"/>
        <v>45166</v>
      </c>
      <c r="H2645">
        <f t="shared" si="124"/>
        <v>1</v>
      </c>
      <c r="I2645">
        <f t="shared" si="125"/>
        <v>0</v>
      </c>
      <c r="J2645">
        <f>IF(Table1[[#This Row],[Active_months]]&gt;=1, 1, 0)</f>
        <v>1</v>
      </c>
    </row>
    <row r="2646" spans="1:10" x14ac:dyDescent="0.3">
      <c r="A2646">
        <v>219045318</v>
      </c>
      <c r="B2646" s="1">
        <v>45129</v>
      </c>
      <c r="D2646">
        <v>39</v>
      </c>
      <c r="E2646" t="s">
        <v>6</v>
      </c>
      <c r="F2646" t="s">
        <v>7</v>
      </c>
      <c r="G2646" s="1">
        <f t="shared" si="123"/>
        <v>45199</v>
      </c>
      <c r="H2646">
        <f t="shared" si="124"/>
        <v>2</v>
      </c>
      <c r="I2646">
        <f t="shared" si="125"/>
        <v>0</v>
      </c>
      <c r="J2646">
        <f>IF(Table1[[#This Row],[Active_months]]&gt;=1, 1, 0)</f>
        <v>1</v>
      </c>
    </row>
    <row r="2647" spans="1:10" x14ac:dyDescent="0.3">
      <c r="A2647">
        <v>218428977</v>
      </c>
      <c r="B2647" s="1">
        <v>45129</v>
      </c>
      <c r="D2647">
        <v>39</v>
      </c>
      <c r="E2647" t="s">
        <v>6</v>
      </c>
      <c r="F2647" t="s">
        <v>7</v>
      </c>
      <c r="G2647" s="1">
        <f t="shared" si="123"/>
        <v>45199</v>
      </c>
      <c r="H2647">
        <f t="shared" si="124"/>
        <v>2</v>
      </c>
      <c r="I2647">
        <f t="shared" si="125"/>
        <v>0</v>
      </c>
      <c r="J2647">
        <f>IF(Table1[[#This Row],[Active_months]]&gt;=1, 1, 0)</f>
        <v>1</v>
      </c>
    </row>
    <row r="2648" spans="1:10" x14ac:dyDescent="0.3">
      <c r="A2648">
        <v>156587706</v>
      </c>
      <c r="B2648" s="1">
        <v>45129</v>
      </c>
      <c r="C2648" s="1">
        <v>45130</v>
      </c>
      <c r="D2648">
        <v>39</v>
      </c>
      <c r="E2648" t="s">
        <v>6</v>
      </c>
      <c r="F2648" t="s">
        <v>8</v>
      </c>
      <c r="G2648" s="1">
        <f t="shared" si="123"/>
        <v>45130</v>
      </c>
      <c r="H2648">
        <f t="shared" si="124"/>
        <v>0</v>
      </c>
      <c r="I2648">
        <f t="shared" si="125"/>
        <v>0</v>
      </c>
      <c r="J2648">
        <f>IF(Table1[[#This Row],[Active_months]]&gt;=1, 1, 0)</f>
        <v>0</v>
      </c>
    </row>
    <row r="2649" spans="1:10" x14ac:dyDescent="0.3">
      <c r="A2649">
        <v>219034826</v>
      </c>
      <c r="B2649" s="1">
        <v>45129</v>
      </c>
      <c r="C2649" s="1">
        <v>45130</v>
      </c>
      <c r="D2649">
        <v>39</v>
      </c>
      <c r="E2649" t="s">
        <v>6</v>
      </c>
      <c r="F2649" t="s">
        <v>8</v>
      </c>
      <c r="G2649" s="1">
        <f t="shared" si="123"/>
        <v>45130</v>
      </c>
      <c r="H2649">
        <f t="shared" si="124"/>
        <v>0</v>
      </c>
      <c r="I2649">
        <f t="shared" si="125"/>
        <v>0</v>
      </c>
      <c r="J2649">
        <f>IF(Table1[[#This Row],[Active_months]]&gt;=1, 1, 0)</f>
        <v>0</v>
      </c>
    </row>
    <row r="2650" spans="1:10" x14ac:dyDescent="0.3">
      <c r="A2650">
        <v>204380751</v>
      </c>
      <c r="B2650" s="1">
        <v>45129</v>
      </c>
      <c r="C2650" s="1">
        <v>45159</v>
      </c>
      <c r="D2650">
        <v>39</v>
      </c>
      <c r="E2650" t="s">
        <v>6</v>
      </c>
      <c r="F2650" t="s">
        <v>7</v>
      </c>
      <c r="G2650" s="1">
        <f t="shared" si="123"/>
        <v>45159</v>
      </c>
      <c r="H2650">
        <f t="shared" si="124"/>
        <v>1</v>
      </c>
      <c r="I2650">
        <f t="shared" si="125"/>
        <v>0</v>
      </c>
      <c r="J2650">
        <f>IF(Table1[[#This Row],[Active_months]]&gt;=1, 1, 0)</f>
        <v>1</v>
      </c>
    </row>
    <row r="2651" spans="1:10" x14ac:dyDescent="0.3">
      <c r="A2651">
        <v>215315438</v>
      </c>
      <c r="B2651" s="1">
        <v>45129</v>
      </c>
      <c r="C2651" s="1">
        <v>45160</v>
      </c>
      <c r="D2651">
        <v>39</v>
      </c>
      <c r="E2651" t="s">
        <v>6</v>
      </c>
      <c r="F2651" t="s">
        <v>7</v>
      </c>
      <c r="G2651" s="1">
        <f t="shared" si="123"/>
        <v>45160</v>
      </c>
      <c r="H2651">
        <f t="shared" si="124"/>
        <v>1</v>
      </c>
      <c r="I2651">
        <f t="shared" si="125"/>
        <v>0</v>
      </c>
      <c r="J2651">
        <f>IF(Table1[[#This Row],[Active_months]]&gt;=1, 1, 0)</f>
        <v>1</v>
      </c>
    </row>
    <row r="2652" spans="1:10" x14ac:dyDescent="0.3">
      <c r="A2652">
        <v>213774184</v>
      </c>
      <c r="B2652" s="1">
        <v>45129</v>
      </c>
      <c r="C2652" s="1">
        <v>45167</v>
      </c>
      <c r="D2652">
        <v>39</v>
      </c>
      <c r="E2652" t="s">
        <v>6</v>
      </c>
      <c r="F2652" t="s">
        <v>7</v>
      </c>
      <c r="G2652" s="1">
        <f t="shared" si="123"/>
        <v>45167</v>
      </c>
      <c r="H2652">
        <f t="shared" si="124"/>
        <v>1</v>
      </c>
      <c r="I2652">
        <f t="shared" si="125"/>
        <v>0</v>
      </c>
      <c r="J2652">
        <f>IF(Table1[[#This Row],[Active_months]]&gt;=1, 1, 0)</f>
        <v>1</v>
      </c>
    </row>
    <row r="2653" spans="1:10" x14ac:dyDescent="0.3">
      <c r="A2653">
        <v>206121650</v>
      </c>
      <c r="B2653" s="1">
        <v>45130</v>
      </c>
      <c r="D2653">
        <v>39</v>
      </c>
      <c r="E2653" t="s">
        <v>6</v>
      </c>
      <c r="F2653" t="s">
        <v>7</v>
      </c>
      <c r="G2653" s="1">
        <f t="shared" si="123"/>
        <v>45199</v>
      </c>
      <c r="H2653">
        <f t="shared" si="124"/>
        <v>2</v>
      </c>
      <c r="I2653">
        <f t="shared" si="125"/>
        <v>0</v>
      </c>
      <c r="J2653">
        <f>IF(Table1[[#This Row],[Active_months]]&gt;=1, 1, 0)</f>
        <v>1</v>
      </c>
    </row>
    <row r="2654" spans="1:10" x14ac:dyDescent="0.3">
      <c r="A2654">
        <v>219059958</v>
      </c>
      <c r="B2654" s="1">
        <v>45130</v>
      </c>
      <c r="D2654">
        <v>39</v>
      </c>
      <c r="E2654" t="s">
        <v>6</v>
      </c>
      <c r="F2654" t="s">
        <v>7</v>
      </c>
      <c r="G2654" s="1">
        <f t="shared" si="123"/>
        <v>45199</v>
      </c>
      <c r="H2654">
        <f t="shared" si="124"/>
        <v>2</v>
      </c>
      <c r="I2654">
        <f t="shared" si="125"/>
        <v>0</v>
      </c>
      <c r="J2654">
        <f>IF(Table1[[#This Row],[Active_months]]&gt;=1, 1, 0)</f>
        <v>1</v>
      </c>
    </row>
    <row r="2655" spans="1:10" x14ac:dyDescent="0.3">
      <c r="A2655">
        <v>204639997</v>
      </c>
      <c r="B2655" s="1">
        <v>45130</v>
      </c>
      <c r="C2655" s="1">
        <v>45130</v>
      </c>
      <c r="D2655">
        <v>39</v>
      </c>
      <c r="E2655" t="s">
        <v>6</v>
      </c>
      <c r="F2655" t="s">
        <v>7</v>
      </c>
      <c r="G2655" s="1">
        <f t="shared" si="123"/>
        <v>45130</v>
      </c>
      <c r="H2655">
        <f t="shared" si="124"/>
        <v>0</v>
      </c>
      <c r="I2655">
        <f t="shared" si="125"/>
        <v>0</v>
      </c>
      <c r="J2655">
        <f>IF(Table1[[#This Row],[Active_months]]&gt;=1, 1, 0)</f>
        <v>0</v>
      </c>
    </row>
    <row r="2656" spans="1:10" x14ac:dyDescent="0.3">
      <c r="A2656">
        <v>201817514</v>
      </c>
      <c r="B2656" s="1">
        <v>45130</v>
      </c>
      <c r="C2656" s="1">
        <v>45160</v>
      </c>
      <c r="D2656">
        <v>39</v>
      </c>
      <c r="E2656" t="s">
        <v>6</v>
      </c>
      <c r="F2656" t="s">
        <v>7</v>
      </c>
      <c r="G2656" s="1">
        <f t="shared" si="123"/>
        <v>45160</v>
      </c>
      <c r="H2656">
        <f t="shared" si="124"/>
        <v>1</v>
      </c>
      <c r="I2656">
        <f t="shared" si="125"/>
        <v>0</v>
      </c>
      <c r="J2656">
        <f>IF(Table1[[#This Row],[Active_months]]&gt;=1, 1, 0)</f>
        <v>1</v>
      </c>
    </row>
    <row r="2657" spans="1:10" x14ac:dyDescent="0.3">
      <c r="A2657">
        <v>219065931</v>
      </c>
      <c r="B2657" s="1">
        <v>45130</v>
      </c>
      <c r="C2657" s="1">
        <v>45168</v>
      </c>
      <c r="D2657">
        <v>39</v>
      </c>
      <c r="E2657" t="s">
        <v>6</v>
      </c>
      <c r="F2657" t="s">
        <v>7</v>
      </c>
      <c r="G2657" s="1">
        <f t="shared" si="123"/>
        <v>45168</v>
      </c>
      <c r="H2657">
        <f t="shared" si="124"/>
        <v>1</v>
      </c>
      <c r="I2657">
        <f t="shared" si="125"/>
        <v>0</v>
      </c>
      <c r="J2657">
        <f>IF(Table1[[#This Row],[Active_months]]&gt;=1, 1, 0)</f>
        <v>1</v>
      </c>
    </row>
    <row r="2658" spans="1:10" x14ac:dyDescent="0.3">
      <c r="A2658">
        <v>143627373</v>
      </c>
      <c r="B2658" s="1">
        <v>45131</v>
      </c>
      <c r="D2658">
        <v>39</v>
      </c>
      <c r="E2658" t="s">
        <v>6</v>
      </c>
      <c r="F2658" t="s">
        <v>7</v>
      </c>
      <c r="G2658" s="1">
        <f t="shared" si="123"/>
        <v>45199</v>
      </c>
      <c r="H2658">
        <f t="shared" si="124"/>
        <v>2</v>
      </c>
      <c r="I2658">
        <f t="shared" si="125"/>
        <v>0</v>
      </c>
      <c r="J2658">
        <f>IF(Table1[[#This Row],[Active_months]]&gt;=1, 1, 0)</f>
        <v>1</v>
      </c>
    </row>
    <row r="2659" spans="1:10" x14ac:dyDescent="0.3">
      <c r="A2659">
        <v>218675428</v>
      </c>
      <c r="B2659" s="1">
        <v>45131</v>
      </c>
      <c r="D2659">
        <v>39</v>
      </c>
      <c r="E2659" t="s">
        <v>6</v>
      </c>
      <c r="F2659" t="s">
        <v>7</v>
      </c>
      <c r="G2659" s="1">
        <f t="shared" si="123"/>
        <v>45199</v>
      </c>
      <c r="H2659">
        <f t="shared" si="124"/>
        <v>2</v>
      </c>
      <c r="I2659">
        <f t="shared" si="125"/>
        <v>0</v>
      </c>
      <c r="J2659">
        <f>IF(Table1[[#This Row],[Active_months]]&gt;=1, 1, 0)</f>
        <v>1</v>
      </c>
    </row>
    <row r="2660" spans="1:10" x14ac:dyDescent="0.3">
      <c r="A2660">
        <v>219057820</v>
      </c>
      <c r="B2660" s="1">
        <v>45131</v>
      </c>
      <c r="D2660">
        <v>39</v>
      </c>
      <c r="E2660" t="s">
        <v>6</v>
      </c>
      <c r="F2660" t="s">
        <v>7</v>
      </c>
      <c r="G2660" s="1">
        <f t="shared" si="123"/>
        <v>45199</v>
      </c>
      <c r="H2660">
        <f t="shared" si="124"/>
        <v>2</v>
      </c>
      <c r="I2660">
        <f t="shared" si="125"/>
        <v>0</v>
      </c>
      <c r="J2660">
        <f>IF(Table1[[#This Row],[Active_months]]&gt;=1, 1, 0)</f>
        <v>1</v>
      </c>
    </row>
    <row r="2661" spans="1:10" x14ac:dyDescent="0.3">
      <c r="A2661">
        <v>219115854</v>
      </c>
      <c r="B2661" s="1">
        <v>45131</v>
      </c>
      <c r="D2661">
        <v>39</v>
      </c>
      <c r="E2661" t="s">
        <v>6</v>
      </c>
      <c r="F2661" t="s">
        <v>7</v>
      </c>
      <c r="G2661" s="1">
        <f t="shared" si="123"/>
        <v>45199</v>
      </c>
      <c r="H2661">
        <f t="shared" si="124"/>
        <v>2</v>
      </c>
      <c r="I2661">
        <f t="shared" si="125"/>
        <v>0</v>
      </c>
      <c r="J2661">
        <f>IF(Table1[[#This Row],[Active_months]]&gt;=1, 1, 0)</f>
        <v>1</v>
      </c>
    </row>
    <row r="2662" spans="1:10" x14ac:dyDescent="0.3">
      <c r="A2662">
        <v>204826054</v>
      </c>
      <c r="B2662" s="1">
        <v>45131</v>
      </c>
      <c r="D2662">
        <v>39</v>
      </c>
      <c r="E2662" t="s">
        <v>6</v>
      </c>
      <c r="F2662" t="s">
        <v>7</v>
      </c>
      <c r="G2662" s="1">
        <f t="shared" si="123"/>
        <v>45199</v>
      </c>
      <c r="H2662">
        <f t="shared" si="124"/>
        <v>2</v>
      </c>
      <c r="I2662">
        <f t="shared" si="125"/>
        <v>0</v>
      </c>
      <c r="J2662">
        <f>IF(Table1[[#This Row],[Active_months]]&gt;=1, 1, 0)</f>
        <v>1</v>
      </c>
    </row>
    <row r="2663" spans="1:10" x14ac:dyDescent="0.3">
      <c r="A2663">
        <v>219072554</v>
      </c>
      <c r="B2663" s="1">
        <v>45131</v>
      </c>
      <c r="D2663">
        <v>39</v>
      </c>
      <c r="E2663" t="s">
        <v>6</v>
      </c>
      <c r="F2663" t="s">
        <v>7</v>
      </c>
      <c r="G2663" s="1">
        <f t="shared" si="123"/>
        <v>45199</v>
      </c>
      <c r="H2663">
        <f t="shared" si="124"/>
        <v>2</v>
      </c>
      <c r="I2663">
        <f t="shared" si="125"/>
        <v>0</v>
      </c>
      <c r="J2663">
        <f>IF(Table1[[#This Row],[Active_months]]&gt;=1, 1, 0)</f>
        <v>1</v>
      </c>
    </row>
    <row r="2664" spans="1:10" x14ac:dyDescent="0.3">
      <c r="A2664">
        <v>219088631</v>
      </c>
      <c r="B2664" s="1">
        <v>45131</v>
      </c>
      <c r="D2664">
        <v>39</v>
      </c>
      <c r="E2664" t="s">
        <v>6</v>
      </c>
      <c r="F2664" t="s">
        <v>7</v>
      </c>
      <c r="G2664" s="1">
        <f t="shared" si="123"/>
        <v>45199</v>
      </c>
      <c r="H2664">
        <f t="shared" si="124"/>
        <v>2</v>
      </c>
      <c r="I2664">
        <f t="shared" si="125"/>
        <v>0</v>
      </c>
      <c r="J2664">
        <f>IF(Table1[[#This Row],[Active_months]]&gt;=1, 1, 0)</f>
        <v>1</v>
      </c>
    </row>
    <row r="2665" spans="1:10" x14ac:dyDescent="0.3">
      <c r="A2665">
        <v>218861750</v>
      </c>
      <c r="B2665" s="1">
        <v>45131</v>
      </c>
      <c r="C2665" s="1">
        <v>45169</v>
      </c>
      <c r="D2665">
        <v>39</v>
      </c>
      <c r="E2665" t="s">
        <v>6</v>
      </c>
      <c r="F2665" t="s">
        <v>7</v>
      </c>
      <c r="G2665" s="1">
        <f t="shared" si="123"/>
        <v>45169</v>
      </c>
      <c r="H2665">
        <f t="shared" si="124"/>
        <v>1</v>
      </c>
      <c r="I2665">
        <f t="shared" si="125"/>
        <v>0</v>
      </c>
      <c r="J2665">
        <f>IF(Table1[[#This Row],[Active_months]]&gt;=1, 1, 0)</f>
        <v>1</v>
      </c>
    </row>
    <row r="2666" spans="1:10" x14ac:dyDescent="0.3">
      <c r="A2666">
        <v>217513777</v>
      </c>
      <c r="B2666" s="1">
        <v>45131</v>
      </c>
      <c r="C2666" s="1">
        <v>45140</v>
      </c>
      <c r="D2666">
        <v>39</v>
      </c>
      <c r="E2666" t="s">
        <v>6</v>
      </c>
      <c r="F2666" t="s">
        <v>7</v>
      </c>
      <c r="G2666" s="1">
        <f t="shared" si="123"/>
        <v>45140</v>
      </c>
      <c r="H2666">
        <f t="shared" si="124"/>
        <v>1</v>
      </c>
      <c r="I2666">
        <f t="shared" si="125"/>
        <v>0</v>
      </c>
      <c r="J2666">
        <f>IF(Table1[[#This Row],[Active_months]]&gt;=1, 1, 0)</f>
        <v>1</v>
      </c>
    </row>
    <row r="2667" spans="1:10" x14ac:dyDescent="0.3">
      <c r="A2667">
        <v>218805370</v>
      </c>
      <c r="B2667" s="1">
        <v>45131</v>
      </c>
      <c r="C2667" s="1">
        <v>45146</v>
      </c>
      <c r="D2667">
        <v>39</v>
      </c>
      <c r="E2667" t="s">
        <v>6</v>
      </c>
      <c r="F2667" t="s">
        <v>7</v>
      </c>
      <c r="G2667" s="1">
        <f t="shared" si="123"/>
        <v>45146</v>
      </c>
      <c r="H2667">
        <f t="shared" si="124"/>
        <v>1</v>
      </c>
      <c r="I2667">
        <f t="shared" si="125"/>
        <v>0</v>
      </c>
      <c r="J2667">
        <f>IF(Table1[[#This Row],[Active_months]]&gt;=1, 1, 0)</f>
        <v>1</v>
      </c>
    </row>
    <row r="2668" spans="1:10" x14ac:dyDescent="0.3">
      <c r="A2668">
        <v>219128709</v>
      </c>
      <c r="B2668" s="1">
        <v>45132</v>
      </c>
      <c r="D2668">
        <v>39</v>
      </c>
      <c r="E2668" t="s">
        <v>6</v>
      </c>
      <c r="F2668" t="s">
        <v>7</v>
      </c>
      <c r="G2668" s="1">
        <f t="shared" si="123"/>
        <v>45199</v>
      </c>
      <c r="H2668">
        <f t="shared" si="124"/>
        <v>2</v>
      </c>
      <c r="I2668">
        <f t="shared" si="125"/>
        <v>0</v>
      </c>
      <c r="J2668">
        <f>IF(Table1[[#This Row],[Active_months]]&gt;=1, 1, 0)</f>
        <v>1</v>
      </c>
    </row>
    <row r="2669" spans="1:10" x14ac:dyDescent="0.3">
      <c r="A2669">
        <v>217998036</v>
      </c>
      <c r="B2669" s="1">
        <v>45132</v>
      </c>
      <c r="D2669">
        <v>39</v>
      </c>
      <c r="E2669" t="s">
        <v>6</v>
      </c>
      <c r="F2669" t="s">
        <v>7</v>
      </c>
      <c r="G2669" s="1">
        <f t="shared" si="123"/>
        <v>45199</v>
      </c>
      <c r="H2669">
        <f t="shared" si="124"/>
        <v>2</v>
      </c>
      <c r="I2669">
        <f t="shared" si="125"/>
        <v>0</v>
      </c>
      <c r="J2669">
        <f>IF(Table1[[#This Row],[Active_months]]&gt;=1, 1, 0)</f>
        <v>1</v>
      </c>
    </row>
    <row r="2670" spans="1:10" x14ac:dyDescent="0.3">
      <c r="A2670">
        <v>219100886</v>
      </c>
      <c r="B2670" s="1">
        <v>45132</v>
      </c>
      <c r="D2670">
        <v>39</v>
      </c>
      <c r="E2670" t="s">
        <v>6</v>
      </c>
      <c r="F2670" t="s">
        <v>7</v>
      </c>
      <c r="G2670" s="1">
        <f t="shared" si="123"/>
        <v>45199</v>
      </c>
      <c r="H2670">
        <f t="shared" si="124"/>
        <v>2</v>
      </c>
      <c r="I2670">
        <f t="shared" si="125"/>
        <v>0</v>
      </c>
      <c r="J2670">
        <f>IF(Table1[[#This Row],[Active_months]]&gt;=1, 1, 0)</f>
        <v>1</v>
      </c>
    </row>
    <row r="2671" spans="1:10" x14ac:dyDescent="0.3">
      <c r="A2671">
        <v>214586480</v>
      </c>
      <c r="B2671" s="1">
        <v>45132</v>
      </c>
      <c r="D2671">
        <v>39</v>
      </c>
      <c r="E2671" t="s">
        <v>6</v>
      </c>
      <c r="F2671" t="s">
        <v>7</v>
      </c>
      <c r="G2671" s="1">
        <f t="shared" si="123"/>
        <v>45199</v>
      </c>
      <c r="H2671">
        <f t="shared" si="124"/>
        <v>2</v>
      </c>
      <c r="I2671">
        <f t="shared" si="125"/>
        <v>0</v>
      </c>
      <c r="J2671">
        <f>IF(Table1[[#This Row],[Active_months]]&gt;=1, 1, 0)</f>
        <v>1</v>
      </c>
    </row>
    <row r="2672" spans="1:10" x14ac:dyDescent="0.3">
      <c r="A2672">
        <v>219110064</v>
      </c>
      <c r="B2672" s="1">
        <v>45132</v>
      </c>
      <c r="D2672">
        <v>39</v>
      </c>
      <c r="E2672" t="s">
        <v>6</v>
      </c>
      <c r="F2672" t="s">
        <v>7</v>
      </c>
      <c r="G2672" s="1">
        <f t="shared" si="123"/>
        <v>45199</v>
      </c>
      <c r="H2672">
        <f t="shared" si="124"/>
        <v>2</v>
      </c>
      <c r="I2672">
        <f t="shared" si="125"/>
        <v>0</v>
      </c>
      <c r="J2672">
        <f>IF(Table1[[#This Row],[Active_months]]&gt;=1, 1, 0)</f>
        <v>1</v>
      </c>
    </row>
    <row r="2673" spans="1:10" x14ac:dyDescent="0.3">
      <c r="A2673">
        <v>157374056</v>
      </c>
      <c r="B2673" s="1">
        <v>45132</v>
      </c>
      <c r="D2673">
        <v>39</v>
      </c>
      <c r="E2673" t="s">
        <v>6</v>
      </c>
      <c r="F2673" t="s">
        <v>7</v>
      </c>
      <c r="G2673" s="1">
        <f t="shared" si="123"/>
        <v>45199</v>
      </c>
      <c r="H2673">
        <f t="shared" si="124"/>
        <v>2</v>
      </c>
      <c r="I2673">
        <f t="shared" si="125"/>
        <v>0</v>
      </c>
      <c r="J2673">
        <f>IF(Table1[[#This Row],[Active_months]]&gt;=1, 1, 0)</f>
        <v>1</v>
      </c>
    </row>
    <row r="2674" spans="1:10" x14ac:dyDescent="0.3">
      <c r="A2674">
        <v>219058076</v>
      </c>
      <c r="B2674" s="1">
        <v>45132</v>
      </c>
      <c r="D2674">
        <v>39</v>
      </c>
      <c r="E2674" t="s">
        <v>6</v>
      </c>
      <c r="F2674" t="s">
        <v>7</v>
      </c>
      <c r="G2674" s="1">
        <f t="shared" si="123"/>
        <v>45199</v>
      </c>
      <c r="H2674">
        <f t="shared" si="124"/>
        <v>2</v>
      </c>
      <c r="I2674">
        <f t="shared" si="125"/>
        <v>0</v>
      </c>
      <c r="J2674">
        <f>IF(Table1[[#This Row],[Active_months]]&gt;=1, 1, 0)</f>
        <v>1</v>
      </c>
    </row>
    <row r="2675" spans="1:10" x14ac:dyDescent="0.3">
      <c r="A2675">
        <v>218011483</v>
      </c>
      <c r="B2675" s="1">
        <v>45132</v>
      </c>
      <c r="D2675">
        <v>39</v>
      </c>
      <c r="E2675" t="s">
        <v>6</v>
      </c>
      <c r="F2675" t="s">
        <v>7</v>
      </c>
      <c r="G2675" s="1">
        <f t="shared" si="123"/>
        <v>45199</v>
      </c>
      <c r="H2675">
        <f t="shared" si="124"/>
        <v>2</v>
      </c>
      <c r="I2675">
        <f t="shared" si="125"/>
        <v>0</v>
      </c>
      <c r="J2675">
        <f>IF(Table1[[#This Row],[Active_months]]&gt;=1, 1, 0)</f>
        <v>1</v>
      </c>
    </row>
    <row r="2676" spans="1:10" x14ac:dyDescent="0.3">
      <c r="A2676">
        <v>216543186</v>
      </c>
      <c r="B2676" s="1">
        <v>45132</v>
      </c>
      <c r="D2676">
        <v>39</v>
      </c>
      <c r="E2676" t="s">
        <v>6</v>
      </c>
      <c r="F2676" t="s">
        <v>7</v>
      </c>
      <c r="G2676" s="1">
        <f t="shared" si="123"/>
        <v>45199</v>
      </c>
      <c r="H2676">
        <f t="shared" si="124"/>
        <v>2</v>
      </c>
      <c r="I2676">
        <f t="shared" si="125"/>
        <v>0</v>
      </c>
      <c r="J2676">
        <f>IF(Table1[[#This Row],[Active_months]]&gt;=1, 1, 0)</f>
        <v>1</v>
      </c>
    </row>
    <row r="2677" spans="1:10" x14ac:dyDescent="0.3">
      <c r="A2677">
        <v>151239214</v>
      </c>
      <c r="B2677" s="1">
        <v>45132</v>
      </c>
      <c r="D2677">
        <v>39</v>
      </c>
      <c r="E2677" t="s">
        <v>6</v>
      </c>
      <c r="F2677" t="s">
        <v>7</v>
      </c>
      <c r="G2677" s="1">
        <f t="shared" si="123"/>
        <v>45199</v>
      </c>
      <c r="H2677">
        <f t="shared" si="124"/>
        <v>2</v>
      </c>
      <c r="I2677">
        <f t="shared" si="125"/>
        <v>0</v>
      </c>
      <c r="J2677">
        <f>IF(Table1[[#This Row],[Active_months]]&gt;=1, 1, 0)</f>
        <v>1</v>
      </c>
    </row>
    <row r="2678" spans="1:10" x14ac:dyDescent="0.3">
      <c r="A2678">
        <v>152760748</v>
      </c>
      <c r="B2678" s="1">
        <v>45132</v>
      </c>
      <c r="C2678" s="1">
        <v>45158</v>
      </c>
      <c r="D2678">
        <v>39</v>
      </c>
      <c r="E2678" t="s">
        <v>6</v>
      </c>
      <c r="F2678" t="s">
        <v>7</v>
      </c>
      <c r="G2678" s="1">
        <f t="shared" si="123"/>
        <v>45158</v>
      </c>
      <c r="H2678">
        <f t="shared" si="124"/>
        <v>1</v>
      </c>
      <c r="I2678">
        <f t="shared" si="125"/>
        <v>0</v>
      </c>
      <c r="J2678">
        <f>IF(Table1[[#This Row],[Active_months]]&gt;=1, 1, 0)</f>
        <v>1</v>
      </c>
    </row>
    <row r="2679" spans="1:10" x14ac:dyDescent="0.3">
      <c r="A2679">
        <v>182102820</v>
      </c>
      <c r="B2679" s="1">
        <v>45132</v>
      </c>
      <c r="C2679" s="1">
        <v>45170</v>
      </c>
      <c r="D2679">
        <v>39</v>
      </c>
      <c r="E2679" t="s">
        <v>6</v>
      </c>
      <c r="F2679" t="s">
        <v>7</v>
      </c>
      <c r="G2679" s="1">
        <f t="shared" si="123"/>
        <v>45170</v>
      </c>
      <c r="H2679">
        <f t="shared" si="124"/>
        <v>2</v>
      </c>
      <c r="I2679">
        <f t="shared" si="125"/>
        <v>0</v>
      </c>
      <c r="J2679">
        <f>IF(Table1[[#This Row],[Active_months]]&gt;=1, 1, 0)</f>
        <v>1</v>
      </c>
    </row>
    <row r="2680" spans="1:10" x14ac:dyDescent="0.3">
      <c r="A2680">
        <v>215005163</v>
      </c>
      <c r="B2680" s="1">
        <v>45132</v>
      </c>
      <c r="C2680" s="1">
        <v>45155</v>
      </c>
      <c r="D2680">
        <v>39</v>
      </c>
      <c r="E2680" t="s">
        <v>6</v>
      </c>
      <c r="F2680" t="s">
        <v>7</v>
      </c>
      <c r="G2680" s="1">
        <f t="shared" si="123"/>
        <v>45155</v>
      </c>
      <c r="H2680">
        <f t="shared" si="124"/>
        <v>1</v>
      </c>
      <c r="I2680">
        <f t="shared" si="125"/>
        <v>0</v>
      </c>
      <c r="J2680">
        <f>IF(Table1[[#This Row],[Active_months]]&gt;=1, 1, 0)</f>
        <v>1</v>
      </c>
    </row>
    <row r="2681" spans="1:10" x14ac:dyDescent="0.3">
      <c r="A2681">
        <v>219136846</v>
      </c>
      <c r="B2681" s="1">
        <v>45132</v>
      </c>
      <c r="C2681" s="1">
        <v>45140</v>
      </c>
      <c r="D2681">
        <v>39</v>
      </c>
      <c r="E2681" t="s">
        <v>6</v>
      </c>
      <c r="F2681" t="s">
        <v>7</v>
      </c>
      <c r="G2681" s="1">
        <f t="shared" si="123"/>
        <v>45140</v>
      </c>
      <c r="H2681">
        <f t="shared" si="124"/>
        <v>1</v>
      </c>
      <c r="I2681">
        <f t="shared" si="125"/>
        <v>0</v>
      </c>
      <c r="J2681">
        <f>IF(Table1[[#This Row],[Active_months]]&gt;=1, 1, 0)</f>
        <v>1</v>
      </c>
    </row>
    <row r="2682" spans="1:10" x14ac:dyDescent="0.3">
      <c r="A2682">
        <v>218795222</v>
      </c>
      <c r="B2682" s="1">
        <v>45132</v>
      </c>
      <c r="C2682" s="1">
        <v>45161</v>
      </c>
      <c r="D2682">
        <v>39</v>
      </c>
      <c r="E2682" t="s">
        <v>6</v>
      </c>
      <c r="F2682" t="s">
        <v>7</v>
      </c>
      <c r="G2682" s="1">
        <f t="shared" si="123"/>
        <v>45161</v>
      </c>
      <c r="H2682">
        <f t="shared" si="124"/>
        <v>1</v>
      </c>
      <c r="I2682">
        <f t="shared" si="125"/>
        <v>0</v>
      </c>
      <c r="J2682">
        <f>IF(Table1[[#This Row],[Active_months]]&gt;=1, 1, 0)</f>
        <v>1</v>
      </c>
    </row>
    <row r="2683" spans="1:10" x14ac:dyDescent="0.3">
      <c r="A2683">
        <v>208706876</v>
      </c>
      <c r="B2683" s="1">
        <v>45132</v>
      </c>
      <c r="C2683" s="1">
        <v>45159</v>
      </c>
      <c r="D2683">
        <v>39</v>
      </c>
      <c r="E2683" t="s">
        <v>6</v>
      </c>
      <c r="F2683" t="s">
        <v>7</v>
      </c>
      <c r="G2683" s="1">
        <f t="shared" si="123"/>
        <v>45159</v>
      </c>
      <c r="H2683">
        <f t="shared" si="124"/>
        <v>1</v>
      </c>
      <c r="I2683">
        <f t="shared" si="125"/>
        <v>0</v>
      </c>
      <c r="J2683">
        <f>IF(Table1[[#This Row],[Active_months]]&gt;=1, 1, 0)</f>
        <v>1</v>
      </c>
    </row>
    <row r="2684" spans="1:10" x14ac:dyDescent="0.3">
      <c r="A2684">
        <v>218701308</v>
      </c>
      <c r="B2684" s="1">
        <v>45132</v>
      </c>
      <c r="C2684" s="1">
        <v>45170</v>
      </c>
      <c r="D2684">
        <v>39</v>
      </c>
      <c r="E2684" t="s">
        <v>6</v>
      </c>
      <c r="F2684" t="s">
        <v>7</v>
      </c>
      <c r="G2684" s="1">
        <f t="shared" si="123"/>
        <v>45170</v>
      </c>
      <c r="H2684">
        <f t="shared" si="124"/>
        <v>2</v>
      </c>
      <c r="I2684">
        <f t="shared" si="125"/>
        <v>0</v>
      </c>
      <c r="J2684">
        <f>IF(Table1[[#This Row],[Active_months]]&gt;=1, 1, 0)</f>
        <v>1</v>
      </c>
    </row>
    <row r="2685" spans="1:10" x14ac:dyDescent="0.3">
      <c r="A2685">
        <v>219136623</v>
      </c>
      <c r="B2685" s="1">
        <v>45132</v>
      </c>
      <c r="C2685" s="1">
        <v>45170</v>
      </c>
      <c r="D2685">
        <v>39</v>
      </c>
      <c r="E2685" t="s">
        <v>6</v>
      </c>
      <c r="F2685" t="s">
        <v>7</v>
      </c>
      <c r="G2685" s="1">
        <f t="shared" si="123"/>
        <v>45170</v>
      </c>
      <c r="H2685">
        <f t="shared" si="124"/>
        <v>2</v>
      </c>
      <c r="I2685">
        <f t="shared" si="125"/>
        <v>0</v>
      </c>
      <c r="J2685">
        <f>IF(Table1[[#This Row],[Active_months]]&gt;=1, 1, 0)</f>
        <v>1</v>
      </c>
    </row>
    <row r="2686" spans="1:10" x14ac:dyDescent="0.3">
      <c r="A2686">
        <v>219153922</v>
      </c>
      <c r="B2686" s="1">
        <v>45133</v>
      </c>
      <c r="D2686">
        <v>39</v>
      </c>
      <c r="E2686" t="s">
        <v>6</v>
      </c>
      <c r="F2686" t="s">
        <v>7</v>
      </c>
      <c r="G2686" s="1">
        <f t="shared" si="123"/>
        <v>45199</v>
      </c>
      <c r="H2686">
        <f t="shared" si="124"/>
        <v>2</v>
      </c>
      <c r="I2686">
        <f t="shared" si="125"/>
        <v>0</v>
      </c>
      <c r="J2686">
        <f>IF(Table1[[#This Row],[Active_months]]&gt;=1, 1, 0)</f>
        <v>1</v>
      </c>
    </row>
    <row r="2687" spans="1:10" x14ac:dyDescent="0.3">
      <c r="A2687">
        <v>165529460</v>
      </c>
      <c r="B2687" s="1">
        <v>45133</v>
      </c>
      <c r="D2687">
        <v>39</v>
      </c>
      <c r="E2687" t="s">
        <v>6</v>
      </c>
      <c r="F2687" t="s">
        <v>7</v>
      </c>
      <c r="G2687" s="1">
        <f t="shared" si="123"/>
        <v>45199</v>
      </c>
      <c r="H2687">
        <f t="shared" si="124"/>
        <v>2</v>
      </c>
      <c r="I2687">
        <f t="shared" si="125"/>
        <v>0</v>
      </c>
      <c r="J2687">
        <f>IF(Table1[[#This Row],[Active_months]]&gt;=1, 1, 0)</f>
        <v>1</v>
      </c>
    </row>
    <row r="2688" spans="1:10" x14ac:dyDescent="0.3">
      <c r="A2688">
        <v>218715792</v>
      </c>
      <c r="B2688" s="1">
        <v>45133</v>
      </c>
      <c r="D2688">
        <v>39</v>
      </c>
      <c r="E2688" t="s">
        <v>6</v>
      </c>
      <c r="F2688" t="s">
        <v>7</v>
      </c>
      <c r="G2688" s="1">
        <f t="shared" si="123"/>
        <v>45199</v>
      </c>
      <c r="H2688">
        <f t="shared" si="124"/>
        <v>2</v>
      </c>
      <c r="I2688">
        <f t="shared" si="125"/>
        <v>0</v>
      </c>
      <c r="J2688">
        <f>IF(Table1[[#This Row],[Active_months]]&gt;=1, 1, 0)</f>
        <v>1</v>
      </c>
    </row>
    <row r="2689" spans="1:10" x14ac:dyDescent="0.3">
      <c r="A2689">
        <v>218985028</v>
      </c>
      <c r="B2689" s="1">
        <v>45133</v>
      </c>
      <c r="D2689">
        <v>39</v>
      </c>
      <c r="E2689" t="s">
        <v>6</v>
      </c>
      <c r="F2689" t="s">
        <v>7</v>
      </c>
      <c r="G2689" s="1">
        <f t="shared" si="123"/>
        <v>45199</v>
      </c>
      <c r="H2689">
        <f t="shared" si="124"/>
        <v>2</v>
      </c>
      <c r="I2689">
        <f t="shared" si="125"/>
        <v>0</v>
      </c>
      <c r="J2689">
        <f>IF(Table1[[#This Row],[Active_months]]&gt;=1, 1, 0)</f>
        <v>1</v>
      </c>
    </row>
    <row r="2690" spans="1:10" x14ac:dyDescent="0.3">
      <c r="A2690">
        <v>218986352</v>
      </c>
      <c r="B2690" s="1">
        <v>45133</v>
      </c>
      <c r="D2690">
        <v>39</v>
      </c>
      <c r="E2690" t="s">
        <v>6</v>
      </c>
      <c r="F2690" t="s">
        <v>7</v>
      </c>
      <c r="G2690" s="1">
        <f t="shared" si="123"/>
        <v>45199</v>
      </c>
      <c r="H2690">
        <f t="shared" si="124"/>
        <v>2</v>
      </c>
      <c r="I2690">
        <f t="shared" si="125"/>
        <v>0</v>
      </c>
      <c r="J2690">
        <f>IF(Table1[[#This Row],[Active_months]]&gt;=1, 1, 0)</f>
        <v>1</v>
      </c>
    </row>
    <row r="2691" spans="1:10" x14ac:dyDescent="0.3">
      <c r="A2691">
        <v>219152822</v>
      </c>
      <c r="B2691" s="1">
        <v>45133</v>
      </c>
      <c r="C2691" s="1">
        <v>45174</v>
      </c>
      <c r="D2691">
        <v>39</v>
      </c>
      <c r="E2691" t="s">
        <v>6</v>
      </c>
      <c r="F2691" t="s">
        <v>7</v>
      </c>
      <c r="G2691" s="1">
        <f t="shared" ref="G2691:G2754" si="126">IF(ISBLANK(C2691), DATE(2023,9,30), C2691)</f>
        <v>45174</v>
      </c>
      <c r="H2691">
        <f t="shared" ref="H2691:H2754" si="127">(YEAR(G2691)-YEAR(B2691))*12 + (MONTH(G2691)-MONTH(B2691))</f>
        <v>2</v>
      </c>
      <c r="I2691">
        <f t="shared" ref="I2691:I2754" si="128">IF(H2691 &gt;=5, 1, 0)</f>
        <v>0</v>
      </c>
      <c r="J2691">
        <f>IF(Table1[[#This Row],[Active_months]]&gt;=1, 1, 0)</f>
        <v>1</v>
      </c>
    </row>
    <row r="2692" spans="1:10" x14ac:dyDescent="0.3">
      <c r="A2692">
        <v>219084587</v>
      </c>
      <c r="B2692" s="1">
        <v>45133</v>
      </c>
      <c r="C2692" s="1">
        <v>45134</v>
      </c>
      <c r="D2692">
        <v>39</v>
      </c>
      <c r="E2692" t="s">
        <v>6</v>
      </c>
      <c r="F2692" t="s">
        <v>8</v>
      </c>
      <c r="G2692" s="1">
        <f t="shared" si="126"/>
        <v>45134</v>
      </c>
      <c r="H2692">
        <f t="shared" si="127"/>
        <v>0</v>
      </c>
      <c r="I2692">
        <f t="shared" si="128"/>
        <v>0</v>
      </c>
      <c r="J2692">
        <f>IF(Table1[[#This Row],[Active_months]]&gt;=1, 1, 0)</f>
        <v>0</v>
      </c>
    </row>
    <row r="2693" spans="1:10" x14ac:dyDescent="0.3">
      <c r="A2693">
        <v>219200064</v>
      </c>
      <c r="B2693" s="1">
        <v>45133</v>
      </c>
      <c r="C2693" s="1">
        <v>45171</v>
      </c>
      <c r="D2693">
        <v>39</v>
      </c>
      <c r="E2693" t="s">
        <v>6</v>
      </c>
      <c r="F2693" t="s">
        <v>7</v>
      </c>
      <c r="G2693" s="1">
        <f t="shared" si="126"/>
        <v>45171</v>
      </c>
      <c r="H2693">
        <f t="shared" si="127"/>
        <v>2</v>
      </c>
      <c r="I2693">
        <f t="shared" si="128"/>
        <v>0</v>
      </c>
      <c r="J2693">
        <f>IF(Table1[[#This Row],[Active_months]]&gt;=1, 1, 0)</f>
        <v>1</v>
      </c>
    </row>
    <row r="2694" spans="1:10" x14ac:dyDescent="0.3">
      <c r="A2694">
        <v>219224963</v>
      </c>
      <c r="B2694" s="1">
        <v>45134</v>
      </c>
      <c r="D2694">
        <v>39</v>
      </c>
      <c r="E2694" t="s">
        <v>6</v>
      </c>
      <c r="F2694" t="s">
        <v>7</v>
      </c>
      <c r="G2694" s="1">
        <f t="shared" si="126"/>
        <v>45199</v>
      </c>
      <c r="H2694">
        <f t="shared" si="127"/>
        <v>2</v>
      </c>
      <c r="I2694">
        <f t="shared" si="128"/>
        <v>0</v>
      </c>
      <c r="J2694">
        <f>IF(Table1[[#This Row],[Active_months]]&gt;=1, 1, 0)</f>
        <v>1</v>
      </c>
    </row>
    <row r="2695" spans="1:10" x14ac:dyDescent="0.3">
      <c r="A2695">
        <v>219172302</v>
      </c>
      <c r="B2695" s="1">
        <v>45134</v>
      </c>
      <c r="D2695">
        <v>39</v>
      </c>
      <c r="E2695" t="s">
        <v>6</v>
      </c>
      <c r="F2695" t="s">
        <v>7</v>
      </c>
      <c r="G2695" s="1">
        <f t="shared" si="126"/>
        <v>45199</v>
      </c>
      <c r="H2695">
        <f t="shared" si="127"/>
        <v>2</v>
      </c>
      <c r="I2695">
        <f t="shared" si="128"/>
        <v>0</v>
      </c>
      <c r="J2695">
        <f>IF(Table1[[#This Row],[Active_months]]&gt;=1, 1, 0)</f>
        <v>1</v>
      </c>
    </row>
    <row r="2696" spans="1:10" x14ac:dyDescent="0.3">
      <c r="A2696">
        <v>219244336</v>
      </c>
      <c r="B2696" s="1">
        <v>45134</v>
      </c>
      <c r="D2696">
        <v>39</v>
      </c>
      <c r="E2696" t="s">
        <v>6</v>
      </c>
      <c r="F2696" t="s">
        <v>7</v>
      </c>
      <c r="G2696" s="1">
        <f t="shared" si="126"/>
        <v>45199</v>
      </c>
      <c r="H2696">
        <f t="shared" si="127"/>
        <v>2</v>
      </c>
      <c r="I2696">
        <f t="shared" si="128"/>
        <v>0</v>
      </c>
      <c r="J2696">
        <f>IF(Table1[[#This Row],[Active_months]]&gt;=1, 1, 0)</f>
        <v>1</v>
      </c>
    </row>
    <row r="2697" spans="1:10" x14ac:dyDescent="0.3">
      <c r="A2697">
        <v>150342446</v>
      </c>
      <c r="B2697" s="1">
        <v>45134</v>
      </c>
      <c r="D2697">
        <v>39</v>
      </c>
      <c r="E2697" t="s">
        <v>6</v>
      </c>
      <c r="F2697" t="s">
        <v>7</v>
      </c>
      <c r="G2697" s="1">
        <f t="shared" si="126"/>
        <v>45199</v>
      </c>
      <c r="H2697">
        <f t="shared" si="127"/>
        <v>2</v>
      </c>
      <c r="I2697">
        <f t="shared" si="128"/>
        <v>0</v>
      </c>
      <c r="J2697">
        <f>IF(Table1[[#This Row],[Active_months]]&gt;=1, 1, 0)</f>
        <v>1</v>
      </c>
    </row>
    <row r="2698" spans="1:10" x14ac:dyDescent="0.3">
      <c r="A2698">
        <v>210432172</v>
      </c>
      <c r="B2698" s="1">
        <v>45134</v>
      </c>
      <c r="D2698">
        <v>39</v>
      </c>
      <c r="E2698" t="s">
        <v>6</v>
      </c>
      <c r="F2698" t="s">
        <v>7</v>
      </c>
      <c r="G2698" s="1">
        <f t="shared" si="126"/>
        <v>45199</v>
      </c>
      <c r="H2698">
        <f t="shared" si="127"/>
        <v>2</v>
      </c>
      <c r="I2698">
        <f t="shared" si="128"/>
        <v>0</v>
      </c>
      <c r="J2698">
        <f>IF(Table1[[#This Row],[Active_months]]&gt;=1, 1, 0)</f>
        <v>1</v>
      </c>
    </row>
    <row r="2699" spans="1:10" x14ac:dyDescent="0.3">
      <c r="A2699">
        <v>145614180</v>
      </c>
      <c r="B2699" s="1">
        <v>45134</v>
      </c>
      <c r="D2699">
        <v>39</v>
      </c>
      <c r="E2699" t="s">
        <v>6</v>
      </c>
      <c r="F2699" t="s">
        <v>7</v>
      </c>
      <c r="G2699" s="1">
        <f t="shared" si="126"/>
        <v>45199</v>
      </c>
      <c r="H2699">
        <f t="shared" si="127"/>
        <v>2</v>
      </c>
      <c r="I2699">
        <f t="shared" si="128"/>
        <v>0</v>
      </c>
      <c r="J2699">
        <f>IF(Table1[[#This Row],[Active_months]]&gt;=1, 1, 0)</f>
        <v>1</v>
      </c>
    </row>
    <row r="2700" spans="1:10" x14ac:dyDescent="0.3">
      <c r="A2700">
        <v>218318466</v>
      </c>
      <c r="B2700" s="1">
        <v>45134</v>
      </c>
      <c r="D2700">
        <v>39</v>
      </c>
      <c r="E2700" t="s">
        <v>6</v>
      </c>
      <c r="F2700" t="s">
        <v>7</v>
      </c>
      <c r="G2700" s="1">
        <f t="shared" si="126"/>
        <v>45199</v>
      </c>
      <c r="H2700">
        <f t="shared" si="127"/>
        <v>2</v>
      </c>
      <c r="I2700">
        <f t="shared" si="128"/>
        <v>0</v>
      </c>
      <c r="J2700">
        <f>IF(Table1[[#This Row],[Active_months]]&gt;=1, 1, 0)</f>
        <v>1</v>
      </c>
    </row>
    <row r="2701" spans="1:10" x14ac:dyDescent="0.3">
      <c r="A2701">
        <v>131984682</v>
      </c>
      <c r="B2701" s="1">
        <v>45134</v>
      </c>
      <c r="D2701">
        <v>39</v>
      </c>
      <c r="E2701" t="s">
        <v>6</v>
      </c>
      <c r="F2701" t="s">
        <v>7</v>
      </c>
      <c r="G2701" s="1">
        <f t="shared" si="126"/>
        <v>45199</v>
      </c>
      <c r="H2701">
        <f t="shared" si="127"/>
        <v>2</v>
      </c>
      <c r="I2701">
        <f t="shared" si="128"/>
        <v>0</v>
      </c>
      <c r="J2701">
        <f>IF(Table1[[#This Row],[Active_months]]&gt;=1, 1, 0)</f>
        <v>1</v>
      </c>
    </row>
    <row r="2702" spans="1:10" x14ac:dyDescent="0.3">
      <c r="A2702">
        <v>219243156</v>
      </c>
      <c r="B2702" s="1">
        <v>45134</v>
      </c>
      <c r="C2702" s="1">
        <v>45134</v>
      </c>
      <c r="D2702">
        <v>39</v>
      </c>
      <c r="E2702" t="s">
        <v>6</v>
      </c>
      <c r="F2702" t="s">
        <v>7</v>
      </c>
      <c r="G2702" s="1">
        <f t="shared" si="126"/>
        <v>45134</v>
      </c>
      <c r="H2702">
        <f t="shared" si="127"/>
        <v>0</v>
      </c>
      <c r="I2702">
        <f t="shared" si="128"/>
        <v>0</v>
      </c>
      <c r="J2702">
        <f>IF(Table1[[#This Row],[Active_months]]&gt;=1, 1, 0)</f>
        <v>0</v>
      </c>
    </row>
    <row r="2703" spans="1:10" x14ac:dyDescent="0.3">
      <c r="A2703">
        <v>219301778</v>
      </c>
      <c r="B2703" s="1">
        <v>45135</v>
      </c>
      <c r="D2703">
        <v>39</v>
      </c>
      <c r="E2703" t="s">
        <v>6</v>
      </c>
      <c r="F2703" t="s">
        <v>7</v>
      </c>
      <c r="G2703" s="1">
        <f t="shared" si="126"/>
        <v>45199</v>
      </c>
      <c r="H2703">
        <f t="shared" si="127"/>
        <v>2</v>
      </c>
      <c r="I2703">
        <f t="shared" si="128"/>
        <v>0</v>
      </c>
      <c r="J2703">
        <f>IF(Table1[[#This Row],[Active_months]]&gt;=1, 1, 0)</f>
        <v>1</v>
      </c>
    </row>
    <row r="2704" spans="1:10" x14ac:dyDescent="0.3">
      <c r="A2704">
        <v>153004062</v>
      </c>
      <c r="B2704" s="1">
        <v>45135</v>
      </c>
      <c r="D2704">
        <v>39</v>
      </c>
      <c r="E2704" t="s">
        <v>6</v>
      </c>
      <c r="F2704" t="s">
        <v>7</v>
      </c>
      <c r="G2704" s="1">
        <f t="shared" si="126"/>
        <v>45199</v>
      </c>
      <c r="H2704">
        <f t="shared" si="127"/>
        <v>2</v>
      </c>
      <c r="I2704">
        <f t="shared" si="128"/>
        <v>0</v>
      </c>
      <c r="J2704">
        <f>IF(Table1[[#This Row],[Active_months]]&gt;=1, 1, 0)</f>
        <v>1</v>
      </c>
    </row>
    <row r="2705" spans="1:10" x14ac:dyDescent="0.3">
      <c r="A2705">
        <v>151015350</v>
      </c>
      <c r="B2705" s="1">
        <v>45135</v>
      </c>
      <c r="D2705">
        <v>39</v>
      </c>
      <c r="E2705" t="s">
        <v>6</v>
      </c>
      <c r="F2705" t="s">
        <v>7</v>
      </c>
      <c r="G2705" s="1">
        <f t="shared" si="126"/>
        <v>45199</v>
      </c>
      <c r="H2705">
        <f t="shared" si="127"/>
        <v>2</v>
      </c>
      <c r="I2705">
        <f t="shared" si="128"/>
        <v>0</v>
      </c>
      <c r="J2705">
        <f>IF(Table1[[#This Row],[Active_months]]&gt;=1, 1, 0)</f>
        <v>1</v>
      </c>
    </row>
    <row r="2706" spans="1:10" x14ac:dyDescent="0.3">
      <c r="A2706">
        <v>147696294</v>
      </c>
      <c r="B2706" s="1">
        <v>45135</v>
      </c>
      <c r="D2706">
        <v>39</v>
      </c>
      <c r="E2706" t="s">
        <v>6</v>
      </c>
      <c r="F2706" t="s">
        <v>7</v>
      </c>
      <c r="G2706" s="1">
        <f t="shared" si="126"/>
        <v>45199</v>
      </c>
      <c r="H2706">
        <f t="shared" si="127"/>
        <v>2</v>
      </c>
      <c r="I2706">
        <f t="shared" si="128"/>
        <v>0</v>
      </c>
      <c r="J2706">
        <f>IF(Table1[[#This Row],[Active_months]]&gt;=1, 1, 0)</f>
        <v>1</v>
      </c>
    </row>
    <row r="2707" spans="1:10" x14ac:dyDescent="0.3">
      <c r="A2707">
        <v>218255956</v>
      </c>
      <c r="B2707" s="1">
        <v>45135</v>
      </c>
      <c r="D2707">
        <v>39</v>
      </c>
      <c r="E2707" t="s">
        <v>6</v>
      </c>
      <c r="F2707" t="s">
        <v>7</v>
      </c>
      <c r="G2707" s="1">
        <f t="shared" si="126"/>
        <v>45199</v>
      </c>
      <c r="H2707">
        <f t="shared" si="127"/>
        <v>2</v>
      </c>
      <c r="I2707">
        <f t="shared" si="128"/>
        <v>0</v>
      </c>
      <c r="J2707">
        <f>IF(Table1[[#This Row],[Active_months]]&gt;=1, 1, 0)</f>
        <v>1</v>
      </c>
    </row>
    <row r="2708" spans="1:10" x14ac:dyDescent="0.3">
      <c r="A2708">
        <v>218510841</v>
      </c>
      <c r="B2708" s="1">
        <v>45135</v>
      </c>
      <c r="D2708">
        <v>39</v>
      </c>
      <c r="E2708" t="s">
        <v>6</v>
      </c>
      <c r="F2708" t="s">
        <v>7</v>
      </c>
      <c r="G2708" s="1">
        <f t="shared" si="126"/>
        <v>45199</v>
      </c>
      <c r="H2708">
        <f t="shared" si="127"/>
        <v>2</v>
      </c>
      <c r="I2708">
        <f t="shared" si="128"/>
        <v>0</v>
      </c>
      <c r="J2708">
        <f>IF(Table1[[#This Row],[Active_months]]&gt;=1, 1, 0)</f>
        <v>1</v>
      </c>
    </row>
    <row r="2709" spans="1:10" x14ac:dyDescent="0.3">
      <c r="A2709">
        <v>130864124</v>
      </c>
      <c r="B2709" s="1">
        <v>45135</v>
      </c>
      <c r="D2709">
        <v>39</v>
      </c>
      <c r="E2709" t="s">
        <v>6</v>
      </c>
      <c r="F2709" t="s">
        <v>7</v>
      </c>
      <c r="G2709" s="1">
        <f t="shared" si="126"/>
        <v>45199</v>
      </c>
      <c r="H2709">
        <f t="shared" si="127"/>
        <v>2</v>
      </c>
      <c r="I2709">
        <f t="shared" si="128"/>
        <v>0</v>
      </c>
      <c r="J2709">
        <f>IF(Table1[[#This Row],[Active_months]]&gt;=1, 1, 0)</f>
        <v>1</v>
      </c>
    </row>
    <row r="2710" spans="1:10" x14ac:dyDescent="0.3">
      <c r="A2710">
        <v>219194059</v>
      </c>
      <c r="B2710" s="1">
        <v>45135</v>
      </c>
      <c r="D2710">
        <v>39</v>
      </c>
      <c r="E2710" t="s">
        <v>6</v>
      </c>
      <c r="F2710" t="s">
        <v>7</v>
      </c>
      <c r="G2710" s="1">
        <f t="shared" si="126"/>
        <v>45199</v>
      </c>
      <c r="H2710">
        <f t="shared" si="127"/>
        <v>2</v>
      </c>
      <c r="I2710">
        <f t="shared" si="128"/>
        <v>0</v>
      </c>
      <c r="J2710">
        <f>IF(Table1[[#This Row],[Active_months]]&gt;=1, 1, 0)</f>
        <v>1</v>
      </c>
    </row>
    <row r="2711" spans="1:10" x14ac:dyDescent="0.3">
      <c r="A2711">
        <v>219254134</v>
      </c>
      <c r="B2711" s="1">
        <v>45135</v>
      </c>
      <c r="D2711">
        <v>39</v>
      </c>
      <c r="E2711" t="s">
        <v>6</v>
      </c>
      <c r="F2711" t="s">
        <v>7</v>
      </c>
      <c r="G2711" s="1">
        <f t="shared" si="126"/>
        <v>45199</v>
      </c>
      <c r="H2711">
        <f t="shared" si="127"/>
        <v>2</v>
      </c>
      <c r="I2711">
        <f t="shared" si="128"/>
        <v>0</v>
      </c>
      <c r="J2711">
        <f>IF(Table1[[#This Row],[Active_months]]&gt;=1, 1, 0)</f>
        <v>1</v>
      </c>
    </row>
    <row r="2712" spans="1:10" x14ac:dyDescent="0.3">
      <c r="A2712">
        <v>215881016</v>
      </c>
      <c r="B2712" s="1">
        <v>45135</v>
      </c>
      <c r="D2712">
        <v>39</v>
      </c>
      <c r="E2712" t="s">
        <v>6</v>
      </c>
      <c r="F2712" t="s">
        <v>7</v>
      </c>
      <c r="G2712" s="1">
        <f t="shared" si="126"/>
        <v>45199</v>
      </c>
      <c r="H2712">
        <f t="shared" si="127"/>
        <v>2</v>
      </c>
      <c r="I2712">
        <f t="shared" si="128"/>
        <v>0</v>
      </c>
      <c r="J2712">
        <f>IF(Table1[[#This Row],[Active_months]]&gt;=1, 1, 0)</f>
        <v>1</v>
      </c>
    </row>
    <row r="2713" spans="1:10" x14ac:dyDescent="0.3">
      <c r="A2713">
        <v>217361520</v>
      </c>
      <c r="B2713" s="1">
        <v>45135</v>
      </c>
      <c r="D2713">
        <v>39</v>
      </c>
      <c r="E2713" t="s">
        <v>6</v>
      </c>
      <c r="F2713" t="s">
        <v>7</v>
      </c>
      <c r="G2713" s="1">
        <f t="shared" si="126"/>
        <v>45199</v>
      </c>
      <c r="H2713">
        <f t="shared" si="127"/>
        <v>2</v>
      </c>
      <c r="I2713">
        <f t="shared" si="128"/>
        <v>0</v>
      </c>
      <c r="J2713">
        <f>IF(Table1[[#This Row],[Active_months]]&gt;=1, 1, 0)</f>
        <v>1</v>
      </c>
    </row>
    <row r="2714" spans="1:10" x14ac:dyDescent="0.3">
      <c r="A2714">
        <v>219265654</v>
      </c>
      <c r="B2714" s="1">
        <v>45135</v>
      </c>
      <c r="D2714">
        <v>39</v>
      </c>
      <c r="E2714" t="s">
        <v>6</v>
      </c>
      <c r="F2714" t="s">
        <v>7</v>
      </c>
      <c r="G2714" s="1">
        <f t="shared" si="126"/>
        <v>45199</v>
      </c>
      <c r="H2714">
        <f t="shared" si="127"/>
        <v>2</v>
      </c>
      <c r="I2714">
        <f t="shared" si="128"/>
        <v>0</v>
      </c>
      <c r="J2714">
        <f>IF(Table1[[#This Row],[Active_months]]&gt;=1, 1, 0)</f>
        <v>1</v>
      </c>
    </row>
    <row r="2715" spans="1:10" x14ac:dyDescent="0.3">
      <c r="A2715">
        <v>175491846</v>
      </c>
      <c r="B2715" s="1">
        <v>45135</v>
      </c>
      <c r="C2715" s="1">
        <v>45136</v>
      </c>
      <c r="D2715">
        <v>39</v>
      </c>
      <c r="E2715" t="s">
        <v>6</v>
      </c>
      <c r="F2715" t="s">
        <v>7</v>
      </c>
      <c r="G2715" s="1">
        <f t="shared" si="126"/>
        <v>45136</v>
      </c>
      <c r="H2715">
        <f t="shared" si="127"/>
        <v>0</v>
      </c>
      <c r="I2715">
        <f t="shared" si="128"/>
        <v>0</v>
      </c>
      <c r="J2715">
        <f>IF(Table1[[#This Row],[Active_months]]&gt;=1, 1, 0)</f>
        <v>0</v>
      </c>
    </row>
    <row r="2716" spans="1:10" x14ac:dyDescent="0.3">
      <c r="A2716">
        <v>212603850</v>
      </c>
      <c r="B2716" s="1">
        <v>45135</v>
      </c>
      <c r="C2716" s="1">
        <v>45164</v>
      </c>
      <c r="D2716">
        <v>39</v>
      </c>
      <c r="E2716" t="s">
        <v>6</v>
      </c>
      <c r="F2716" t="s">
        <v>7</v>
      </c>
      <c r="G2716" s="1">
        <f t="shared" si="126"/>
        <v>45164</v>
      </c>
      <c r="H2716">
        <f t="shared" si="127"/>
        <v>1</v>
      </c>
      <c r="I2716">
        <f t="shared" si="128"/>
        <v>0</v>
      </c>
      <c r="J2716">
        <f>IF(Table1[[#This Row],[Active_months]]&gt;=1, 1, 0)</f>
        <v>1</v>
      </c>
    </row>
    <row r="2717" spans="1:10" x14ac:dyDescent="0.3">
      <c r="A2717">
        <v>219307145</v>
      </c>
      <c r="B2717" s="1">
        <v>45136</v>
      </c>
      <c r="D2717">
        <v>39</v>
      </c>
      <c r="E2717" t="s">
        <v>6</v>
      </c>
      <c r="F2717" t="s">
        <v>7</v>
      </c>
      <c r="G2717" s="1">
        <f t="shared" si="126"/>
        <v>45199</v>
      </c>
      <c r="H2717">
        <f t="shared" si="127"/>
        <v>2</v>
      </c>
      <c r="I2717">
        <f t="shared" si="128"/>
        <v>0</v>
      </c>
      <c r="J2717">
        <f>IF(Table1[[#This Row],[Active_months]]&gt;=1, 1, 0)</f>
        <v>1</v>
      </c>
    </row>
    <row r="2718" spans="1:10" x14ac:dyDescent="0.3">
      <c r="A2718">
        <v>212937420</v>
      </c>
      <c r="B2718" s="1">
        <v>45136</v>
      </c>
      <c r="C2718" s="1">
        <v>45174</v>
      </c>
      <c r="D2718">
        <v>39</v>
      </c>
      <c r="E2718" t="s">
        <v>6</v>
      </c>
      <c r="F2718" t="s">
        <v>7</v>
      </c>
      <c r="G2718" s="1">
        <f t="shared" si="126"/>
        <v>45174</v>
      </c>
      <c r="H2718">
        <f t="shared" si="127"/>
        <v>2</v>
      </c>
      <c r="I2718">
        <f t="shared" si="128"/>
        <v>0</v>
      </c>
      <c r="J2718">
        <f>IF(Table1[[#This Row],[Active_months]]&gt;=1, 1, 0)</f>
        <v>1</v>
      </c>
    </row>
    <row r="2719" spans="1:10" x14ac:dyDescent="0.3">
      <c r="A2719">
        <v>219318511</v>
      </c>
      <c r="B2719" s="1">
        <v>45136</v>
      </c>
      <c r="C2719" s="1">
        <v>45156</v>
      </c>
      <c r="D2719">
        <v>39</v>
      </c>
      <c r="E2719" t="s">
        <v>6</v>
      </c>
      <c r="F2719" t="s">
        <v>7</v>
      </c>
      <c r="G2719" s="1">
        <f t="shared" si="126"/>
        <v>45156</v>
      </c>
      <c r="H2719">
        <f t="shared" si="127"/>
        <v>1</v>
      </c>
      <c r="I2719">
        <f t="shared" si="128"/>
        <v>0</v>
      </c>
      <c r="J2719">
        <f>IF(Table1[[#This Row],[Active_months]]&gt;=1, 1, 0)</f>
        <v>1</v>
      </c>
    </row>
    <row r="2720" spans="1:10" x14ac:dyDescent="0.3">
      <c r="A2720">
        <v>218513479</v>
      </c>
      <c r="B2720" s="1">
        <v>45136</v>
      </c>
      <c r="C2720" s="1">
        <v>45163</v>
      </c>
      <c r="D2720">
        <v>39</v>
      </c>
      <c r="E2720" t="s">
        <v>6</v>
      </c>
      <c r="F2720" t="s">
        <v>7</v>
      </c>
      <c r="G2720" s="1">
        <f t="shared" si="126"/>
        <v>45163</v>
      </c>
      <c r="H2720">
        <f t="shared" si="127"/>
        <v>1</v>
      </c>
      <c r="I2720">
        <f t="shared" si="128"/>
        <v>0</v>
      </c>
      <c r="J2720">
        <f>IF(Table1[[#This Row],[Active_months]]&gt;=1, 1, 0)</f>
        <v>1</v>
      </c>
    </row>
    <row r="2721" spans="1:10" x14ac:dyDescent="0.3">
      <c r="A2721">
        <v>219301764</v>
      </c>
      <c r="B2721" s="1">
        <v>45136</v>
      </c>
      <c r="C2721" s="1">
        <v>45165</v>
      </c>
      <c r="D2721">
        <v>39</v>
      </c>
      <c r="E2721" t="s">
        <v>6</v>
      </c>
      <c r="F2721" t="s">
        <v>7</v>
      </c>
      <c r="G2721" s="1">
        <f t="shared" si="126"/>
        <v>45165</v>
      </c>
      <c r="H2721">
        <f t="shared" si="127"/>
        <v>1</v>
      </c>
      <c r="I2721">
        <f t="shared" si="128"/>
        <v>0</v>
      </c>
      <c r="J2721">
        <f>IF(Table1[[#This Row],[Active_months]]&gt;=1, 1, 0)</f>
        <v>1</v>
      </c>
    </row>
    <row r="2722" spans="1:10" x14ac:dyDescent="0.3">
      <c r="A2722">
        <v>125038257</v>
      </c>
      <c r="B2722" s="1">
        <v>45137</v>
      </c>
      <c r="D2722">
        <v>39</v>
      </c>
      <c r="E2722" t="s">
        <v>6</v>
      </c>
      <c r="F2722" t="s">
        <v>7</v>
      </c>
      <c r="G2722" s="1">
        <f t="shared" si="126"/>
        <v>45199</v>
      </c>
      <c r="H2722">
        <f t="shared" si="127"/>
        <v>2</v>
      </c>
      <c r="I2722">
        <f t="shared" si="128"/>
        <v>0</v>
      </c>
      <c r="J2722">
        <f>IF(Table1[[#This Row],[Active_months]]&gt;=1, 1, 0)</f>
        <v>1</v>
      </c>
    </row>
    <row r="2723" spans="1:10" x14ac:dyDescent="0.3">
      <c r="A2723">
        <v>217813451</v>
      </c>
      <c r="B2723" s="1">
        <v>45137</v>
      </c>
      <c r="D2723">
        <v>39</v>
      </c>
      <c r="E2723" t="s">
        <v>6</v>
      </c>
      <c r="F2723" t="s">
        <v>7</v>
      </c>
      <c r="G2723" s="1">
        <f t="shared" si="126"/>
        <v>45199</v>
      </c>
      <c r="H2723">
        <f t="shared" si="127"/>
        <v>2</v>
      </c>
      <c r="I2723">
        <f t="shared" si="128"/>
        <v>0</v>
      </c>
      <c r="J2723">
        <f>IF(Table1[[#This Row],[Active_months]]&gt;=1, 1, 0)</f>
        <v>1</v>
      </c>
    </row>
    <row r="2724" spans="1:10" x14ac:dyDescent="0.3">
      <c r="A2724">
        <v>162859352</v>
      </c>
      <c r="B2724" s="1">
        <v>45137</v>
      </c>
      <c r="C2724" s="1">
        <v>45138</v>
      </c>
      <c r="D2724">
        <v>39</v>
      </c>
      <c r="E2724" t="s">
        <v>6</v>
      </c>
      <c r="F2724" t="s">
        <v>8</v>
      </c>
      <c r="G2724" s="1">
        <f t="shared" si="126"/>
        <v>45138</v>
      </c>
      <c r="H2724">
        <f t="shared" si="127"/>
        <v>0</v>
      </c>
      <c r="I2724">
        <f t="shared" si="128"/>
        <v>0</v>
      </c>
      <c r="J2724">
        <f>IF(Table1[[#This Row],[Active_months]]&gt;=1, 1, 0)</f>
        <v>0</v>
      </c>
    </row>
    <row r="2725" spans="1:10" x14ac:dyDescent="0.3">
      <c r="A2725">
        <v>146923161</v>
      </c>
      <c r="B2725" s="1">
        <v>45137</v>
      </c>
      <c r="C2725" s="1">
        <v>45175</v>
      </c>
      <c r="D2725">
        <v>39</v>
      </c>
      <c r="E2725" t="s">
        <v>6</v>
      </c>
      <c r="F2725" t="s">
        <v>7</v>
      </c>
      <c r="G2725" s="1">
        <f t="shared" si="126"/>
        <v>45175</v>
      </c>
      <c r="H2725">
        <f t="shared" si="127"/>
        <v>2</v>
      </c>
      <c r="I2725">
        <f t="shared" si="128"/>
        <v>0</v>
      </c>
      <c r="J2725">
        <f>IF(Table1[[#This Row],[Active_months]]&gt;=1, 1, 0)</f>
        <v>1</v>
      </c>
    </row>
    <row r="2726" spans="1:10" x14ac:dyDescent="0.3">
      <c r="A2726">
        <v>206699284</v>
      </c>
      <c r="B2726" s="1">
        <v>45137</v>
      </c>
      <c r="C2726" s="1">
        <v>45166</v>
      </c>
      <c r="D2726">
        <v>39</v>
      </c>
      <c r="E2726" t="s">
        <v>6</v>
      </c>
      <c r="F2726" t="s">
        <v>7</v>
      </c>
      <c r="G2726" s="1">
        <f t="shared" si="126"/>
        <v>45166</v>
      </c>
      <c r="H2726">
        <f t="shared" si="127"/>
        <v>1</v>
      </c>
      <c r="I2726">
        <f t="shared" si="128"/>
        <v>0</v>
      </c>
      <c r="J2726">
        <f>IF(Table1[[#This Row],[Active_months]]&gt;=1, 1, 0)</f>
        <v>1</v>
      </c>
    </row>
    <row r="2727" spans="1:10" x14ac:dyDescent="0.3">
      <c r="A2727">
        <v>219330169</v>
      </c>
      <c r="B2727" s="1">
        <v>45137</v>
      </c>
      <c r="C2727" s="1">
        <v>45166</v>
      </c>
      <c r="D2727">
        <v>39</v>
      </c>
      <c r="E2727" t="s">
        <v>6</v>
      </c>
      <c r="F2727" t="s">
        <v>7</v>
      </c>
      <c r="G2727" s="1">
        <f t="shared" si="126"/>
        <v>45166</v>
      </c>
      <c r="H2727">
        <f t="shared" si="127"/>
        <v>1</v>
      </c>
      <c r="I2727">
        <f t="shared" si="128"/>
        <v>0</v>
      </c>
      <c r="J2727">
        <f>IF(Table1[[#This Row],[Active_months]]&gt;=1, 1, 0)</f>
        <v>1</v>
      </c>
    </row>
    <row r="2728" spans="1:10" x14ac:dyDescent="0.3">
      <c r="A2728">
        <v>219404710</v>
      </c>
      <c r="B2728" s="1">
        <v>45138</v>
      </c>
      <c r="D2728">
        <v>39</v>
      </c>
      <c r="E2728" t="s">
        <v>6</v>
      </c>
      <c r="F2728" t="s">
        <v>7</v>
      </c>
      <c r="G2728" s="1">
        <f t="shared" si="126"/>
        <v>45199</v>
      </c>
      <c r="H2728">
        <f t="shared" si="127"/>
        <v>2</v>
      </c>
      <c r="I2728">
        <f t="shared" si="128"/>
        <v>0</v>
      </c>
      <c r="J2728">
        <f>IF(Table1[[#This Row],[Active_months]]&gt;=1, 1, 0)</f>
        <v>1</v>
      </c>
    </row>
    <row r="2729" spans="1:10" x14ac:dyDescent="0.3">
      <c r="A2729">
        <v>219402896</v>
      </c>
      <c r="B2729" s="1">
        <v>45138</v>
      </c>
      <c r="D2729">
        <v>39</v>
      </c>
      <c r="E2729" t="s">
        <v>6</v>
      </c>
      <c r="F2729" t="s">
        <v>7</v>
      </c>
      <c r="G2729" s="1">
        <f t="shared" si="126"/>
        <v>45199</v>
      </c>
      <c r="H2729">
        <f t="shared" si="127"/>
        <v>2</v>
      </c>
      <c r="I2729">
        <f t="shared" si="128"/>
        <v>0</v>
      </c>
      <c r="J2729">
        <f>IF(Table1[[#This Row],[Active_months]]&gt;=1, 1, 0)</f>
        <v>1</v>
      </c>
    </row>
    <row r="2730" spans="1:10" x14ac:dyDescent="0.3">
      <c r="A2730">
        <v>214129448</v>
      </c>
      <c r="B2730" s="1">
        <v>45138</v>
      </c>
      <c r="D2730">
        <v>39</v>
      </c>
      <c r="E2730" t="s">
        <v>6</v>
      </c>
      <c r="F2730" t="s">
        <v>7</v>
      </c>
      <c r="G2730" s="1">
        <f t="shared" si="126"/>
        <v>45199</v>
      </c>
      <c r="H2730">
        <f t="shared" si="127"/>
        <v>2</v>
      </c>
      <c r="I2730">
        <f t="shared" si="128"/>
        <v>0</v>
      </c>
      <c r="J2730">
        <f>IF(Table1[[#This Row],[Active_months]]&gt;=1, 1, 0)</f>
        <v>1</v>
      </c>
    </row>
    <row r="2731" spans="1:10" x14ac:dyDescent="0.3">
      <c r="A2731">
        <v>219218929</v>
      </c>
      <c r="B2731" s="1">
        <v>45138</v>
      </c>
      <c r="D2731">
        <v>39</v>
      </c>
      <c r="E2731" t="s">
        <v>6</v>
      </c>
      <c r="F2731" t="s">
        <v>7</v>
      </c>
      <c r="G2731" s="1">
        <f t="shared" si="126"/>
        <v>45199</v>
      </c>
      <c r="H2731">
        <f t="shared" si="127"/>
        <v>2</v>
      </c>
      <c r="I2731">
        <f t="shared" si="128"/>
        <v>0</v>
      </c>
      <c r="J2731">
        <f>IF(Table1[[#This Row],[Active_months]]&gt;=1, 1, 0)</f>
        <v>1</v>
      </c>
    </row>
    <row r="2732" spans="1:10" x14ac:dyDescent="0.3">
      <c r="A2732">
        <v>219385880</v>
      </c>
      <c r="B2732" s="1">
        <v>45138</v>
      </c>
      <c r="D2732">
        <v>39</v>
      </c>
      <c r="E2732" t="s">
        <v>6</v>
      </c>
      <c r="F2732" t="s">
        <v>7</v>
      </c>
      <c r="G2732" s="1">
        <f t="shared" si="126"/>
        <v>45199</v>
      </c>
      <c r="H2732">
        <f t="shared" si="127"/>
        <v>2</v>
      </c>
      <c r="I2732">
        <f t="shared" si="128"/>
        <v>0</v>
      </c>
      <c r="J2732">
        <f>IF(Table1[[#This Row],[Active_months]]&gt;=1, 1, 0)</f>
        <v>1</v>
      </c>
    </row>
    <row r="2733" spans="1:10" x14ac:dyDescent="0.3">
      <c r="A2733">
        <v>219368039</v>
      </c>
      <c r="B2733" s="1">
        <v>45138</v>
      </c>
      <c r="D2733">
        <v>39</v>
      </c>
      <c r="E2733" t="s">
        <v>6</v>
      </c>
      <c r="F2733" t="s">
        <v>7</v>
      </c>
      <c r="G2733" s="1">
        <f t="shared" si="126"/>
        <v>45199</v>
      </c>
      <c r="H2733">
        <f t="shared" si="127"/>
        <v>2</v>
      </c>
      <c r="I2733">
        <f t="shared" si="128"/>
        <v>0</v>
      </c>
      <c r="J2733">
        <f>IF(Table1[[#This Row],[Active_months]]&gt;=1, 1, 0)</f>
        <v>1</v>
      </c>
    </row>
    <row r="2734" spans="1:10" x14ac:dyDescent="0.3">
      <c r="A2734">
        <v>219328313</v>
      </c>
      <c r="B2734" s="1">
        <v>45138</v>
      </c>
      <c r="D2734">
        <v>39</v>
      </c>
      <c r="E2734" t="s">
        <v>6</v>
      </c>
      <c r="F2734" t="s">
        <v>7</v>
      </c>
      <c r="G2734" s="1">
        <f t="shared" si="126"/>
        <v>45199</v>
      </c>
      <c r="H2734">
        <f t="shared" si="127"/>
        <v>2</v>
      </c>
      <c r="I2734">
        <f t="shared" si="128"/>
        <v>0</v>
      </c>
      <c r="J2734">
        <f>IF(Table1[[#This Row],[Active_months]]&gt;=1, 1, 0)</f>
        <v>1</v>
      </c>
    </row>
    <row r="2735" spans="1:10" x14ac:dyDescent="0.3">
      <c r="A2735">
        <v>219185386</v>
      </c>
      <c r="B2735" s="1">
        <v>45138</v>
      </c>
      <c r="C2735" s="1">
        <v>45139</v>
      </c>
      <c r="D2735">
        <v>39</v>
      </c>
      <c r="E2735" t="s">
        <v>6</v>
      </c>
      <c r="F2735" t="s">
        <v>8</v>
      </c>
      <c r="G2735" s="1">
        <f t="shared" si="126"/>
        <v>45139</v>
      </c>
      <c r="H2735">
        <f t="shared" si="127"/>
        <v>1</v>
      </c>
      <c r="I2735">
        <f t="shared" si="128"/>
        <v>0</v>
      </c>
      <c r="J2735">
        <f>IF(Table1[[#This Row],[Active_months]]&gt;=1, 1, 0)</f>
        <v>1</v>
      </c>
    </row>
    <row r="2736" spans="1:10" x14ac:dyDescent="0.3">
      <c r="A2736">
        <v>183712256</v>
      </c>
      <c r="B2736" s="1">
        <v>45138</v>
      </c>
      <c r="C2736" s="1">
        <v>45146</v>
      </c>
      <c r="D2736">
        <v>39</v>
      </c>
      <c r="E2736" t="s">
        <v>6</v>
      </c>
      <c r="F2736" t="s">
        <v>7</v>
      </c>
      <c r="G2736" s="1">
        <f t="shared" si="126"/>
        <v>45146</v>
      </c>
      <c r="H2736">
        <f t="shared" si="127"/>
        <v>1</v>
      </c>
      <c r="I2736">
        <f t="shared" si="128"/>
        <v>0</v>
      </c>
      <c r="J2736">
        <f>IF(Table1[[#This Row],[Active_months]]&gt;=1, 1, 0)</f>
        <v>1</v>
      </c>
    </row>
    <row r="2737" spans="1:10" x14ac:dyDescent="0.3">
      <c r="A2737">
        <v>217624207</v>
      </c>
      <c r="B2737" s="1">
        <v>45139</v>
      </c>
      <c r="D2737">
        <v>39</v>
      </c>
      <c r="E2737" t="s">
        <v>6</v>
      </c>
      <c r="F2737" t="s">
        <v>7</v>
      </c>
      <c r="G2737" s="1">
        <f t="shared" si="126"/>
        <v>45199</v>
      </c>
      <c r="H2737">
        <f t="shared" si="127"/>
        <v>1</v>
      </c>
      <c r="I2737">
        <f t="shared" si="128"/>
        <v>0</v>
      </c>
      <c r="J2737">
        <f>IF(Table1[[#This Row],[Active_months]]&gt;=1, 1, 0)</f>
        <v>1</v>
      </c>
    </row>
    <row r="2738" spans="1:10" x14ac:dyDescent="0.3">
      <c r="A2738">
        <v>218938921</v>
      </c>
      <c r="B2738" s="1">
        <v>45139</v>
      </c>
      <c r="D2738">
        <v>39</v>
      </c>
      <c r="E2738" t="s">
        <v>6</v>
      </c>
      <c r="F2738" t="s">
        <v>7</v>
      </c>
      <c r="G2738" s="1">
        <f t="shared" si="126"/>
        <v>45199</v>
      </c>
      <c r="H2738">
        <f t="shared" si="127"/>
        <v>1</v>
      </c>
      <c r="I2738">
        <f t="shared" si="128"/>
        <v>0</v>
      </c>
      <c r="J2738">
        <f>IF(Table1[[#This Row],[Active_months]]&gt;=1, 1, 0)</f>
        <v>1</v>
      </c>
    </row>
    <row r="2739" spans="1:10" x14ac:dyDescent="0.3">
      <c r="A2739">
        <v>147145693</v>
      </c>
      <c r="B2739" s="1">
        <v>45139</v>
      </c>
      <c r="D2739">
        <v>39</v>
      </c>
      <c r="E2739" t="s">
        <v>6</v>
      </c>
      <c r="F2739" t="s">
        <v>7</v>
      </c>
      <c r="G2739" s="1">
        <f t="shared" si="126"/>
        <v>45199</v>
      </c>
      <c r="H2739">
        <f t="shared" si="127"/>
        <v>1</v>
      </c>
      <c r="I2739">
        <f t="shared" si="128"/>
        <v>0</v>
      </c>
      <c r="J2739">
        <f>IF(Table1[[#This Row],[Active_months]]&gt;=1, 1, 0)</f>
        <v>1</v>
      </c>
    </row>
    <row r="2740" spans="1:10" x14ac:dyDescent="0.3">
      <c r="A2740">
        <v>218459038</v>
      </c>
      <c r="B2740" s="1">
        <v>45139</v>
      </c>
      <c r="D2740">
        <v>39</v>
      </c>
      <c r="E2740" t="s">
        <v>6</v>
      </c>
      <c r="F2740" t="s">
        <v>7</v>
      </c>
      <c r="G2740" s="1">
        <f t="shared" si="126"/>
        <v>45199</v>
      </c>
      <c r="H2740">
        <f t="shared" si="127"/>
        <v>1</v>
      </c>
      <c r="I2740">
        <f t="shared" si="128"/>
        <v>0</v>
      </c>
      <c r="J2740">
        <f>IF(Table1[[#This Row],[Active_months]]&gt;=1, 1, 0)</f>
        <v>1</v>
      </c>
    </row>
    <row r="2741" spans="1:10" x14ac:dyDescent="0.3">
      <c r="A2741">
        <v>219395734</v>
      </c>
      <c r="B2741" s="1">
        <v>45139</v>
      </c>
      <c r="D2741">
        <v>39</v>
      </c>
      <c r="E2741" t="s">
        <v>6</v>
      </c>
      <c r="F2741" t="s">
        <v>7</v>
      </c>
      <c r="G2741" s="1">
        <f t="shared" si="126"/>
        <v>45199</v>
      </c>
      <c r="H2741">
        <f t="shared" si="127"/>
        <v>1</v>
      </c>
      <c r="I2741">
        <f t="shared" si="128"/>
        <v>0</v>
      </c>
      <c r="J2741">
        <f>IF(Table1[[#This Row],[Active_months]]&gt;=1, 1, 0)</f>
        <v>1</v>
      </c>
    </row>
    <row r="2742" spans="1:10" x14ac:dyDescent="0.3">
      <c r="A2742">
        <v>219413956</v>
      </c>
      <c r="B2742" s="1">
        <v>45139</v>
      </c>
      <c r="D2742">
        <v>39</v>
      </c>
      <c r="E2742" t="s">
        <v>6</v>
      </c>
      <c r="F2742" t="s">
        <v>7</v>
      </c>
      <c r="G2742" s="1">
        <f t="shared" si="126"/>
        <v>45199</v>
      </c>
      <c r="H2742">
        <f t="shared" si="127"/>
        <v>1</v>
      </c>
      <c r="I2742">
        <f t="shared" si="128"/>
        <v>0</v>
      </c>
      <c r="J2742">
        <f>IF(Table1[[#This Row],[Active_months]]&gt;=1, 1, 0)</f>
        <v>1</v>
      </c>
    </row>
    <row r="2743" spans="1:10" x14ac:dyDescent="0.3">
      <c r="A2743">
        <v>218562434</v>
      </c>
      <c r="B2743" s="1">
        <v>45139</v>
      </c>
      <c r="C2743" s="1">
        <v>45170</v>
      </c>
      <c r="D2743">
        <v>39</v>
      </c>
      <c r="E2743" t="s">
        <v>6</v>
      </c>
      <c r="F2743" t="s">
        <v>7</v>
      </c>
      <c r="G2743" s="1">
        <f t="shared" si="126"/>
        <v>45170</v>
      </c>
      <c r="H2743">
        <f t="shared" si="127"/>
        <v>1</v>
      </c>
      <c r="I2743">
        <f t="shared" si="128"/>
        <v>0</v>
      </c>
      <c r="J2743">
        <f>IF(Table1[[#This Row],[Active_months]]&gt;=1, 1, 0)</f>
        <v>1</v>
      </c>
    </row>
    <row r="2744" spans="1:10" x14ac:dyDescent="0.3">
      <c r="A2744">
        <v>135521927</v>
      </c>
      <c r="B2744" s="1">
        <v>45139</v>
      </c>
      <c r="C2744" s="1">
        <v>45171</v>
      </c>
      <c r="D2744">
        <v>39</v>
      </c>
      <c r="E2744" t="s">
        <v>6</v>
      </c>
      <c r="F2744" t="s">
        <v>7</v>
      </c>
      <c r="G2744" s="1">
        <f t="shared" si="126"/>
        <v>45171</v>
      </c>
      <c r="H2744">
        <f t="shared" si="127"/>
        <v>1</v>
      </c>
      <c r="I2744">
        <f t="shared" si="128"/>
        <v>0</v>
      </c>
      <c r="J2744">
        <f>IF(Table1[[#This Row],[Active_months]]&gt;=1, 1, 0)</f>
        <v>1</v>
      </c>
    </row>
    <row r="2745" spans="1:10" x14ac:dyDescent="0.3">
      <c r="A2745">
        <v>157035378</v>
      </c>
      <c r="B2745" s="1">
        <v>45139</v>
      </c>
      <c r="C2745" s="1">
        <v>45169</v>
      </c>
      <c r="D2745">
        <v>39</v>
      </c>
      <c r="E2745" t="s">
        <v>6</v>
      </c>
      <c r="F2745" t="s">
        <v>7</v>
      </c>
      <c r="G2745" s="1">
        <f t="shared" si="126"/>
        <v>45169</v>
      </c>
      <c r="H2745">
        <f t="shared" si="127"/>
        <v>0</v>
      </c>
      <c r="I2745">
        <f t="shared" si="128"/>
        <v>0</v>
      </c>
      <c r="J2745">
        <f>IF(Table1[[#This Row],[Active_months]]&gt;=1, 1, 0)</f>
        <v>0</v>
      </c>
    </row>
    <row r="2746" spans="1:10" x14ac:dyDescent="0.3">
      <c r="A2746">
        <v>219382434</v>
      </c>
      <c r="B2746" s="1">
        <v>45139</v>
      </c>
      <c r="C2746" s="1">
        <v>45169</v>
      </c>
      <c r="D2746">
        <v>39</v>
      </c>
      <c r="E2746" t="s">
        <v>6</v>
      </c>
      <c r="F2746" t="s">
        <v>7</v>
      </c>
      <c r="G2746" s="1">
        <f t="shared" si="126"/>
        <v>45169</v>
      </c>
      <c r="H2746">
        <f t="shared" si="127"/>
        <v>0</v>
      </c>
      <c r="I2746">
        <f t="shared" si="128"/>
        <v>0</v>
      </c>
      <c r="J2746">
        <f>IF(Table1[[#This Row],[Active_months]]&gt;=1, 1, 0)</f>
        <v>0</v>
      </c>
    </row>
    <row r="2747" spans="1:10" x14ac:dyDescent="0.3">
      <c r="A2747">
        <v>208762353</v>
      </c>
      <c r="B2747" s="1">
        <v>45140</v>
      </c>
      <c r="D2747">
        <v>39</v>
      </c>
      <c r="E2747" t="s">
        <v>6</v>
      </c>
      <c r="F2747" t="s">
        <v>7</v>
      </c>
      <c r="G2747" s="1">
        <f t="shared" si="126"/>
        <v>45199</v>
      </c>
      <c r="H2747">
        <f t="shared" si="127"/>
        <v>1</v>
      </c>
      <c r="I2747">
        <f t="shared" si="128"/>
        <v>0</v>
      </c>
      <c r="J2747">
        <f>IF(Table1[[#This Row],[Active_months]]&gt;=1, 1, 0)</f>
        <v>1</v>
      </c>
    </row>
    <row r="2748" spans="1:10" x14ac:dyDescent="0.3">
      <c r="A2748">
        <v>218346336</v>
      </c>
      <c r="B2748" s="1">
        <v>45140</v>
      </c>
      <c r="D2748">
        <v>39</v>
      </c>
      <c r="E2748" t="s">
        <v>6</v>
      </c>
      <c r="F2748" t="s">
        <v>7</v>
      </c>
      <c r="G2748" s="1">
        <f t="shared" si="126"/>
        <v>45199</v>
      </c>
      <c r="H2748">
        <f t="shared" si="127"/>
        <v>1</v>
      </c>
      <c r="I2748">
        <f t="shared" si="128"/>
        <v>0</v>
      </c>
      <c r="J2748">
        <f>IF(Table1[[#This Row],[Active_months]]&gt;=1, 1, 0)</f>
        <v>1</v>
      </c>
    </row>
    <row r="2749" spans="1:10" x14ac:dyDescent="0.3">
      <c r="A2749">
        <v>219226230</v>
      </c>
      <c r="B2749" s="1">
        <v>45140</v>
      </c>
      <c r="D2749">
        <v>39</v>
      </c>
      <c r="E2749" t="s">
        <v>6</v>
      </c>
      <c r="F2749" t="s">
        <v>7</v>
      </c>
      <c r="G2749" s="1">
        <f t="shared" si="126"/>
        <v>45199</v>
      </c>
      <c r="H2749">
        <f t="shared" si="127"/>
        <v>1</v>
      </c>
      <c r="I2749">
        <f t="shared" si="128"/>
        <v>0</v>
      </c>
      <c r="J2749">
        <f>IF(Table1[[#This Row],[Active_months]]&gt;=1, 1, 0)</f>
        <v>1</v>
      </c>
    </row>
    <row r="2750" spans="1:10" x14ac:dyDescent="0.3">
      <c r="A2750">
        <v>219369515</v>
      </c>
      <c r="B2750" s="1">
        <v>45140</v>
      </c>
      <c r="D2750">
        <v>39</v>
      </c>
      <c r="E2750" t="s">
        <v>6</v>
      </c>
      <c r="F2750" t="s">
        <v>7</v>
      </c>
      <c r="G2750" s="1">
        <f t="shared" si="126"/>
        <v>45199</v>
      </c>
      <c r="H2750">
        <f t="shared" si="127"/>
        <v>1</v>
      </c>
      <c r="I2750">
        <f t="shared" si="128"/>
        <v>0</v>
      </c>
      <c r="J2750">
        <f>IF(Table1[[#This Row],[Active_months]]&gt;=1, 1, 0)</f>
        <v>1</v>
      </c>
    </row>
    <row r="2751" spans="1:10" x14ac:dyDescent="0.3">
      <c r="A2751">
        <v>204947361</v>
      </c>
      <c r="B2751" s="1">
        <v>45140</v>
      </c>
      <c r="D2751">
        <v>39</v>
      </c>
      <c r="E2751" t="s">
        <v>6</v>
      </c>
      <c r="F2751" t="s">
        <v>7</v>
      </c>
      <c r="G2751" s="1">
        <f t="shared" si="126"/>
        <v>45199</v>
      </c>
      <c r="H2751">
        <f t="shared" si="127"/>
        <v>1</v>
      </c>
      <c r="I2751">
        <f t="shared" si="128"/>
        <v>0</v>
      </c>
      <c r="J2751">
        <f>IF(Table1[[#This Row],[Active_months]]&gt;=1, 1, 0)</f>
        <v>1</v>
      </c>
    </row>
    <row r="2752" spans="1:10" x14ac:dyDescent="0.3">
      <c r="A2752">
        <v>212977568</v>
      </c>
      <c r="B2752" s="1">
        <v>45140</v>
      </c>
      <c r="D2752">
        <v>39</v>
      </c>
      <c r="E2752" t="s">
        <v>6</v>
      </c>
      <c r="F2752" t="s">
        <v>7</v>
      </c>
      <c r="G2752" s="1">
        <f t="shared" si="126"/>
        <v>45199</v>
      </c>
      <c r="H2752">
        <f t="shared" si="127"/>
        <v>1</v>
      </c>
      <c r="I2752">
        <f t="shared" si="128"/>
        <v>0</v>
      </c>
      <c r="J2752">
        <f>IF(Table1[[#This Row],[Active_months]]&gt;=1, 1, 0)</f>
        <v>1</v>
      </c>
    </row>
    <row r="2753" spans="1:10" x14ac:dyDescent="0.3">
      <c r="A2753">
        <v>217981717</v>
      </c>
      <c r="B2753" s="1">
        <v>45140</v>
      </c>
      <c r="D2753">
        <v>39</v>
      </c>
      <c r="E2753" t="s">
        <v>6</v>
      </c>
      <c r="F2753" t="s">
        <v>7</v>
      </c>
      <c r="G2753" s="1">
        <f t="shared" si="126"/>
        <v>45199</v>
      </c>
      <c r="H2753">
        <f t="shared" si="127"/>
        <v>1</v>
      </c>
      <c r="I2753">
        <f t="shared" si="128"/>
        <v>0</v>
      </c>
      <c r="J2753">
        <f>IF(Table1[[#This Row],[Active_months]]&gt;=1, 1, 0)</f>
        <v>1</v>
      </c>
    </row>
    <row r="2754" spans="1:10" x14ac:dyDescent="0.3">
      <c r="A2754">
        <v>219459089</v>
      </c>
      <c r="B2754" s="1">
        <v>45140</v>
      </c>
      <c r="D2754">
        <v>39</v>
      </c>
      <c r="E2754" t="s">
        <v>6</v>
      </c>
      <c r="F2754" t="s">
        <v>7</v>
      </c>
      <c r="G2754" s="1">
        <f t="shared" si="126"/>
        <v>45199</v>
      </c>
      <c r="H2754">
        <f t="shared" si="127"/>
        <v>1</v>
      </c>
      <c r="I2754">
        <f t="shared" si="128"/>
        <v>0</v>
      </c>
      <c r="J2754">
        <f>IF(Table1[[#This Row],[Active_months]]&gt;=1, 1, 0)</f>
        <v>1</v>
      </c>
    </row>
    <row r="2755" spans="1:10" x14ac:dyDescent="0.3">
      <c r="A2755">
        <v>193483420</v>
      </c>
      <c r="B2755" s="1">
        <v>45140</v>
      </c>
      <c r="D2755">
        <v>39</v>
      </c>
      <c r="E2755" t="s">
        <v>6</v>
      </c>
      <c r="F2755" t="s">
        <v>7</v>
      </c>
      <c r="G2755" s="1">
        <f t="shared" ref="G2755:G2818" si="129">IF(ISBLANK(C2755), DATE(2023,9,30), C2755)</f>
        <v>45199</v>
      </c>
      <c r="H2755">
        <f t="shared" ref="H2755:H2818" si="130">(YEAR(G2755)-YEAR(B2755))*12 + (MONTH(G2755)-MONTH(B2755))</f>
        <v>1</v>
      </c>
      <c r="I2755">
        <f t="shared" ref="I2755:I2818" si="131">IF(H2755 &gt;=5, 1, 0)</f>
        <v>0</v>
      </c>
      <c r="J2755">
        <f>IF(Table1[[#This Row],[Active_months]]&gt;=1, 1, 0)</f>
        <v>1</v>
      </c>
    </row>
    <row r="2756" spans="1:10" x14ac:dyDescent="0.3">
      <c r="A2756">
        <v>219496362</v>
      </c>
      <c r="B2756" s="1">
        <v>45140</v>
      </c>
      <c r="C2756" s="1">
        <v>45173</v>
      </c>
      <c r="D2756">
        <v>39</v>
      </c>
      <c r="E2756" t="s">
        <v>6</v>
      </c>
      <c r="F2756" t="s">
        <v>7</v>
      </c>
      <c r="G2756" s="1">
        <f t="shared" si="129"/>
        <v>45173</v>
      </c>
      <c r="H2756">
        <f t="shared" si="130"/>
        <v>1</v>
      </c>
      <c r="I2756">
        <f t="shared" si="131"/>
        <v>0</v>
      </c>
      <c r="J2756">
        <f>IF(Table1[[#This Row],[Active_months]]&gt;=1, 1, 0)</f>
        <v>1</v>
      </c>
    </row>
    <row r="2757" spans="1:10" x14ac:dyDescent="0.3">
      <c r="A2757">
        <v>219398902</v>
      </c>
      <c r="B2757" s="1">
        <v>45140</v>
      </c>
      <c r="C2757" s="1">
        <v>45174</v>
      </c>
      <c r="D2757">
        <v>39</v>
      </c>
      <c r="E2757" t="s">
        <v>6</v>
      </c>
      <c r="F2757" t="s">
        <v>7</v>
      </c>
      <c r="G2757" s="1">
        <f t="shared" si="129"/>
        <v>45174</v>
      </c>
      <c r="H2757">
        <f t="shared" si="130"/>
        <v>1</v>
      </c>
      <c r="I2757">
        <f t="shared" si="131"/>
        <v>0</v>
      </c>
      <c r="J2757">
        <f>IF(Table1[[#This Row],[Active_months]]&gt;=1, 1, 0)</f>
        <v>1</v>
      </c>
    </row>
    <row r="2758" spans="1:10" x14ac:dyDescent="0.3">
      <c r="A2758">
        <v>219497152</v>
      </c>
      <c r="B2758" s="1">
        <v>45140</v>
      </c>
      <c r="C2758" s="1">
        <v>45161</v>
      </c>
      <c r="D2758">
        <v>39</v>
      </c>
      <c r="E2758" t="s">
        <v>6</v>
      </c>
      <c r="F2758" t="s">
        <v>7</v>
      </c>
      <c r="G2758" s="1">
        <f t="shared" si="129"/>
        <v>45161</v>
      </c>
      <c r="H2758">
        <f t="shared" si="130"/>
        <v>0</v>
      </c>
      <c r="I2758">
        <f t="shared" si="131"/>
        <v>0</v>
      </c>
      <c r="J2758">
        <f>IF(Table1[[#This Row],[Active_months]]&gt;=1, 1, 0)</f>
        <v>0</v>
      </c>
    </row>
    <row r="2759" spans="1:10" x14ac:dyDescent="0.3">
      <c r="A2759">
        <v>188426619</v>
      </c>
      <c r="B2759" s="1">
        <v>45140</v>
      </c>
      <c r="C2759" s="1">
        <v>45170</v>
      </c>
      <c r="D2759">
        <v>39</v>
      </c>
      <c r="E2759" t="s">
        <v>6</v>
      </c>
      <c r="F2759" t="s">
        <v>7</v>
      </c>
      <c r="G2759" s="1">
        <f t="shared" si="129"/>
        <v>45170</v>
      </c>
      <c r="H2759">
        <f t="shared" si="130"/>
        <v>1</v>
      </c>
      <c r="I2759">
        <f t="shared" si="131"/>
        <v>0</v>
      </c>
      <c r="J2759">
        <f>IF(Table1[[#This Row],[Active_months]]&gt;=1, 1, 0)</f>
        <v>1</v>
      </c>
    </row>
    <row r="2760" spans="1:10" x14ac:dyDescent="0.3">
      <c r="A2760">
        <v>219470485</v>
      </c>
      <c r="B2760" s="1">
        <v>45140</v>
      </c>
      <c r="C2760" s="1">
        <v>45154</v>
      </c>
      <c r="D2760">
        <v>39</v>
      </c>
      <c r="E2760" t="s">
        <v>6</v>
      </c>
      <c r="F2760" t="s">
        <v>7</v>
      </c>
      <c r="G2760" s="1">
        <f t="shared" si="129"/>
        <v>45154</v>
      </c>
      <c r="H2760">
        <f t="shared" si="130"/>
        <v>0</v>
      </c>
      <c r="I2760">
        <f t="shared" si="131"/>
        <v>0</v>
      </c>
      <c r="J2760">
        <f>IF(Table1[[#This Row],[Active_months]]&gt;=1, 1, 0)</f>
        <v>0</v>
      </c>
    </row>
    <row r="2761" spans="1:10" x14ac:dyDescent="0.3">
      <c r="A2761">
        <v>219460783</v>
      </c>
      <c r="B2761" s="1">
        <v>45140</v>
      </c>
      <c r="C2761" s="1">
        <v>45166</v>
      </c>
      <c r="D2761">
        <v>39</v>
      </c>
      <c r="E2761" t="s">
        <v>6</v>
      </c>
      <c r="F2761" t="s">
        <v>7</v>
      </c>
      <c r="G2761" s="1">
        <f t="shared" si="129"/>
        <v>45166</v>
      </c>
      <c r="H2761">
        <f t="shared" si="130"/>
        <v>0</v>
      </c>
      <c r="I2761">
        <f t="shared" si="131"/>
        <v>0</v>
      </c>
      <c r="J2761">
        <f>IF(Table1[[#This Row],[Active_months]]&gt;=1, 1, 0)</f>
        <v>0</v>
      </c>
    </row>
    <row r="2762" spans="1:10" x14ac:dyDescent="0.3">
      <c r="A2762">
        <v>219512722</v>
      </c>
      <c r="B2762" s="1">
        <v>45141</v>
      </c>
      <c r="D2762">
        <v>39</v>
      </c>
      <c r="E2762" t="s">
        <v>6</v>
      </c>
      <c r="F2762" t="s">
        <v>7</v>
      </c>
      <c r="G2762" s="1">
        <f t="shared" si="129"/>
        <v>45199</v>
      </c>
      <c r="H2762">
        <f t="shared" si="130"/>
        <v>1</v>
      </c>
      <c r="I2762">
        <f t="shared" si="131"/>
        <v>0</v>
      </c>
      <c r="J2762">
        <f>IF(Table1[[#This Row],[Active_months]]&gt;=1, 1, 0)</f>
        <v>1</v>
      </c>
    </row>
    <row r="2763" spans="1:10" x14ac:dyDescent="0.3">
      <c r="A2763">
        <v>199393176</v>
      </c>
      <c r="B2763" s="1">
        <v>45141</v>
      </c>
      <c r="D2763">
        <v>39</v>
      </c>
      <c r="E2763" t="s">
        <v>6</v>
      </c>
      <c r="F2763" t="s">
        <v>7</v>
      </c>
      <c r="G2763" s="1">
        <f t="shared" si="129"/>
        <v>45199</v>
      </c>
      <c r="H2763">
        <f t="shared" si="130"/>
        <v>1</v>
      </c>
      <c r="I2763">
        <f t="shared" si="131"/>
        <v>0</v>
      </c>
      <c r="J2763">
        <f>IF(Table1[[#This Row],[Active_months]]&gt;=1, 1, 0)</f>
        <v>1</v>
      </c>
    </row>
    <row r="2764" spans="1:10" x14ac:dyDescent="0.3">
      <c r="A2764">
        <v>217368686</v>
      </c>
      <c r="B2764" s="1">
        <v>45141</v>
      </c>
      <c r="D2764">
        <v>39</v>
      </c>
      <c r="E2764" t="s">
        <v>6</v>
      </c>
      <c r="F2764" t="s">
        <v>7</v>
      </c>
      <c r="G2764" s="1">
        <f t="shared" si="129"/>
        <v>45199</v>
      </c>
      <c r="H2764">
        <f t="shared" si="130"/>
        <v>1</v>
      </c>
      <c r="I2764">
        <f t="shared" si="131"/>
        <v>0</v>
      </c>
      <c r="J2764">
        <f>IF(Table1[[#This Row],[Active_months]]&gt;=1, 1, 0)</f>
        <v>1</v>
      </c>
    </row>
    <row r="2765" spans="1:10" x14ac:dyDescent="0.3">
      <c r="A2765">
        <v>218247056</v>
      </c>
      <c r="B2765" s="1">
        <v>45141</v>
      </c>
      <c r="D2765">
        <v>39</v>
      </c>
      <c r="E2765" t="s">
        <v>6</v>
      </c>
      <c r="F2765" t="s">
        <v>7</v>
      </c>
      <c r="G2765" s="1">
        <f t="shared" si="129"/>
        <v>45199</v>
      </c>
      <c r="H2765">
        <f t="shared" si="130"/>
        <v>1</v>
      </c>
      <c r="I2765">
        <f t="shared" si="131"/>
        <v>0</v>
      </c>
      <c r="J2765">
        <f>IF(Table1[[#This Row],[Active_months]]&gt;=1, 1, 0)</f>
        <v>1</v>
      </c>
    </row>
    <row r="2766" spans="1:10" x14ac:dyDescent="0.3">
      <c r="A2766">
        <v>219439239</v>
      </c>
      <c r="B2766" s="1">
        <v>45141</v>
      </c>
      <c r="D2766">
        <v>39</v>
      </c>
      <c r="E2766" t="s">
        <v>6</v>
      </c>
      <c r="F2766" t="s">
        <v>7</v>
      </c>
      <c r="G2766" s="1">
        <f t="shared" si="129"/>
        <v>45199</v>
      </c>
      <c r="H2766">
        <f t="shared" si="130"/>
        <v>1</v>
      </c>
      <c r="I2766">
        <f t="shared" si="131"/>
        <v>0</v>
      </c>
      <c r="J2766">
        <f>IF(Table1[[#This Row],[Active_months]]&gt;=1, 1, 0)</f>
        <v>1</v>
      </c>
    </row>
    <row r="2767" spans="1:10" x14ac:dyDescent="0.3">
      <c r="A2767">
        <v>188206991</v>
      </c>
      <c r="B2767" s="1">
        <v>45141</v>
      </c>
      <c r="D2767">
        <v>39</v>
      </c>
      <c r="E2767" t="s">
        <v>6</v>
      </c>
      <c r="F2767" t="s">
        <v>7</v>
      </c>
      <c r="G2767" s="1">
        <f t="shared" si="129"/>
        <v>45199</v>
      </c>
      <c r="H2767">
        <f t="shared" si="130"/>
        <v>1</v>
      </c>
      <c r="I2767">
        <f t="shared" si="131"/>
        <v>0</v>
      </c>
      <c r="J2767">
        <f>IF(Table1[[#This Row],[Active_months]]&gt;=1, 1, 0)</f>
        <v>1</v>
      </c>
    </row>
    <row r="2768" spans="1:10" x14ac:dyDescent="0.3">
      <c r="A2768">
        <v>206470657</v>
      </c>
      <c r="B2768" s="1">
        <v>45141</v>
      </c>
      <c r="D2768">
        <v>39</v>
      </c>
      <c r="E2768" t="s">
        <v>6</v>
      </c>
      <c r="F2768" t="s">
        <v>7</v>
      </c>
      <c r="G2768" s="1">
        <f t="shared" si="129"/>
        <v>45199</v>
      </c>
      <c r="H2768">
        <f t="shared" si="130"/>
        <v>1</v>
      </c>
      <c r="I2768">
        <f t="shared" si="131"/>
        <v>0</v>
      </c>
      <c r="J2768">
        <f>IF(Table1[[#This Row],[Active_months]]&gt;=1, 1, 0)</f>
        <v>1</v>
      </c>
    </row>
    <row r="2769" spans="1:10" x14ac:dyDescent="0.3">
      <c r="A2769">
        <v>218706730</v>
      </c>
      <c r="B2769" s="1">
        <v>45141</v>
      </c>
      <c r="D2769">
        <v>39</v>
      </c>
      <c r="E2769" t="s">
        <v>6</v>
      </c>
      <c r="F2769" t="s">
        <v>7</v>
      </c>
      <c r="G2769" s="1">
        <f t="shared" si="129"/>
        <v>45199</v>
      </c>
      <c r="H2769">
        <f t="shared" si="130"/>
        <v>1</v>
      </c>
      <c r="I2769">
        <f t="shared" si="131"/>
        <v>0</v>
      </c>
      <c r="J2769">
        <f>IF(Table1[[#This Row],[Active_months]]&gt;=1, 1, 0)</f>
        <v>1</v>
      </c>
    </row>
    <row r="2770" spans="1:10" x14ac:dyDescent="0.3">
      <c r="A2770">
        <v>219512680</v>
      </c>
      <c r="B2770" s="1">
        <v>45141</v>
      </c>
      <c r="D2770">
        <v>39</v>
      </c>
      <c r="E2770" t="s">
        <v>6</v>
      </c>
      <c r="F2770" t="s">
        <v>7</v>
      </c>
      <c r="G2770" s="1">
        <f t="shared" si="129"/>
        <v>45199</v>
      </c>
      <c r="H2770">
        <f t="shared" si="130"/>
        <v>1</v>
      </c>
      <c r="I2770">
        <f t="shared" si="131"/>
        <v>0</v>
      </c>
      <c r="J2770">
        <f>IF(Table1[[#This Row],[Active_months]]&gt;=1, 1, 0)</f>
        <v>1</v>
      </c>
    </row>
    <row r="2771" spans="1:10" x14ac:dyDescent="0.3">
      <c r="A2771">
        <v>125335731</v>
      </c>
      <c r="B2771" s="1">
        <v>45141</v>
      </c>
      <c r="D2771">
        <v>39</v>
      </c>
      <c r="E2771" t="s">
        <v>6</v>
      </c>
      <c r="F2771" t="s">
        <v>7</v>
      </c>
      <c r="G2771" s="1">
        <f t="shared" si="129"/>
        <v>45199</v>
      </c>
      <c r="H2771">
        <f t="shared" si="130"/>
        <v>1</v>
      </c>
      <c r="I2771">
        <f t="shared" si="131"/>
        <v>0</v>
      </c>
      <c r="J2771">
        <f>IF(Table1[[#This Row],[Active_months]]&gt;=1, 1, 0)</f>
        <v>1</v>
      </c>
    </row>
    <row r="2772" spans="1:10" x14ac:dyDescent="0.3">
      <c r="A2772">
        <v>160598122</v>
      </c>
      <c r="B2772" s="1">
        <v>45141</v>
      </c>
      <c r="D2772">
        <v>39</v>
      </c>
      <c r="E2772" t="s">
        <v>6</v>
      </c>
      <c r="F2772" t="s">
        <v>7</v>
      </c>
      <c r="G2772" s="1">
        <f t="shared" si="129"/>
        <v>45199</v>
      </c>
      <c r="H2772">
        <f t="shared" si="130"/>
        <v>1</v>
      </c>
      <c r="I2772">
        <f t="shared" si="131"/>
        <v>0</v>
      </c>
      <c r="J2772">
        <f>IF(Table1[[#This Row],[Active_months]]&gt;=1, 1, 0)</f>
        <v>1</v>
      </c>
    </row>
    <row r="2773" spans="1:10" x14ac:dyDescent="0.3">
      <c r="A2773">
        <v>218414156</v>
      </c>
      <c r="B2773" s="1">
        <v>45141</v>
      </c>
      <c r="D2773">
        <v>39</v>
      </c>
      <c r="E2773" t="s">
        <v>6</v>
      </c>
      <c r="F2773" t="s">
        <v>7</v>
      </c>
      <c r="G2773" s="1">
        <f t="shared" si="129"/>
        <v>45199</v>
      </c>
      <c r="H2773">
        <f t="shared" si="130"/>
        <v>1</v>
      </c>
      <c r="I2773">
        <f t="shared" si="131"/>
        <v>0</v>
      </c>
      <c r="J2773">
        <f>IF(Table1[[#This Row],[Active_months]]&gt;=1, 1, 0)</f>
        <v>1</v>
      </c>
    </row>
    <row r="2774" spans="1:10" x14ac:dyDescent="0.3">
      <c r="A2774">
        <v>206455504</v>
      </c>
      <c r="B2774" s="1">
        <v>45141</v>
      </c>
      <c r="C2774" s="1">
        <v>45170</v>
      </c>
      <c r="D2774">
        <v>39</v>
      </c>
      <c r="E2774" t="s">
        <v>6</v>
      </c>
      <c r="F2774" t="s">
        <v>7</v>
      </c>
      <c r="G2774" s="1">
        <f t="shared" si="129"/>
        <v>45170</v>
      </c>
      <c r="H2774">
        <f t="shared" si="130"/>
        <v>1</v>
      </c>
      <c r="I2774">
        <f t="shared" si="131"/>
        <v>0</v>
      </c>
      <c r="J2774">
        <f>IF(Table1[[#This Row],[Active_months]]&gt;=1, 1, 0)</f>
        <v>1</v>
      </c>
    </row>
    <row r="2775" spans="1:10" x14ac:dyDescent="0.3">
      <c r="A2775">
        <v>202589094</v>
      </c>
      <c r="B2775" s="1">
        <v>45141</v>
      </c>
      <c r="C2775" s="1">
        <v>45172</v>
      </c>
      <c r="D2775">
        <v>39</v>
      </c>
      <c r="E2775" t="s">
        <v>6</v>
      </c>
      <c r="F2775" t="s">
        <v>7</v>
      </c>
      <c r="G2775" s="1">
        <f t="shared" si="129"/>
        <v>45172</v>
      </c>
      <c r="H2775">
        <f t="shared" si="130"/>
        <v>1</v>
      </c>
      <c r="I2775">
        <f t="shared" si="131"/>
        <v>0</v>
      </c>
      <c r="J2775">
        <f>IF(Table1[[#This Row],[Active_months]]&gt;=1, 1, 0)</f>
        <v>1</v>
      </c>
    </row>
    <row r="2776" spans="1:10" x14ac:dyDescent="0.3">
      <c r="A2776">
        <v>129747676</v>
      </c>
      <c r="B2776" s="1">
        <v>45141</v>
      </c>
      <c r="C2776" s="1">
        <v>45175</v>
      </c>
      <c r="D2776">
        <v>39</v>
      </c>
      <c r="E2776" t="s">
        <v>6</v>
      </c>
      <c r="F2776" t="s">
        <v>7</v>
      </c>
      <c r="G2776" s="1">
        <f t="shared" si="129"/>
        <v>45175</v>
      </c>
      <c r="H2776">
        <f t="shared" si="130"/>
        <v>1</v>
      </c>
      <c r="I2776">
        <f t="shared" si="131"/>
        <v>0</v>
      </c>
      <c r="J2776">
        <f>IF(Table1[[#This Row],[Active_months]]&gt;=1, 1, 0)</f>
        <v>1</v>
      </c>
    </row>
    <row r="2777" spans="1:10" x14ac:dyDescent="0.3">
      <c r="A2777">
        <v>219511614</v>
      </c>
      <c r="B2777" s="1">
        <v>45141</v>
      </c>
      <c r="C2777" s="1">
        <v>45170</v>
      </c>
      <c r="D2777">
        <v>39</v>
      </c>
      <c r="E2777" t="s">
        <v>6</v>
      </c>
      <c r="F2777" t="s">
        <v>7</v>
      </c>
      <c r="G2777" s="1">
        <f t="shared" si="129"/>
        <v>45170</v>
      </c>
      <c r="H2777">
        <f t="shared" si="130"/>
        <v>1</v>
      </c>
      <c r="I2777">
        <f t="shared" si="131"/>
        <v>0</v>
      </c>
      <c r="J2777">
        <f>IF(Table1[[#This Row],[Active_months]]&gt;=1, 1, 0)</f>
        <v>1</v>
      </c>
    </row>
    <row r="2778" spans="1:10" x14ac:dyDescent="0.3">
      <c r="A2778">
        <v>219491158</v>
      </c>
      <c r="B2778" s="1">
        <v>45142</v>
      </c>
      <c r="D2778">
        <v>39</v>
      </c>
      <c r="E2778" t="s">
        <v>6</v>
      </c>
      <c r="F2778" t="s">
        <v>7</v>
      </c>
      <c r="G2778" s="1">
        <f t="shared" si="129"/>
        <v>45199</v>
      </c>
      <c r="H2778">
        <f t="shared" si="130"/>
        <v>1</v>
      </c>
      <c r="I2778">
        <f t="shared" si="131"/>
        <v>0</v>
      </c>
      <c r="J2778">
        <f>IF(Table1[[#This Row],[Active_months]]&gt;=1, 1, 0)</f>
        <v>1</v>
      </c>
    </row>
    <row r="2779" spans="1:10" x14ac:dyDescent="0.3">
      <c r="A2779">
        <v>218790626</v>
      </c>
      <c r="B2779" s="1">
        <v>45142</v>
      </c>
      <c r="D2779">
        <v>39</v>
      </c>
      <c r="E2779" t="s">
        <v>6</v>
      </c>
      <c r="F2779" t="s">
        <v>7</v>
      </c>
      <c r="G2779" s="1">
        <f t="shared" si="129"/>
        <v>45199</v>
      </c>
      <c r="H2779">
        <f t="shared" si="130"/>
        <v>1</v>
      </c>
      <c r="I2779">
        <f t="shared" si="131"/>
        <v>0</v>
      </c>
      <c r="J2779">
        <f>IF(Table1[[#This Row],[Active_months]]&gt;=1, 1, 0)</f>
        <v>1</v>
      </c>
    </row>
    <row r="2780" spans="1:10" x14ac:dyDescent="0.3">
      <c r="A2780">
        <v>219476808</v>
      </c>
      <c r="B2780" s="1">
        <v>45142</v>
      </c>
      <c r="D2780">
        <v>39</v>
      </c>
      <c r="E2780" t="s">
        <v>6</v>
      </c>
      <c r="F2780" t="s">
        <v>7</v>
      </c>
      <c r="G2780" s="1">
        <f t="shared" si="129"/>
        <v>45199</v>
      </c>
      <c r="H2780">
        <f t="shared" si="130"/>
        <v>1</v>
      </c>
      <c r="I2780">
        <f t="shared" si="131"/>
        <v>0</v>
      </c>
      <c r="J2780">
        <f>IF(Table1[[#This Row],[Active_months]]&gt;=1, 1, 0)</f>
        <v>1</v>
      </c>
    </row>
    <row r="2781" spans="1:10" x14ac:dyDescent="0.3">
      <c r="A2781">
        <v>218585706</v>
      </c>
      <c r="B2781" s="1">
        <v>45142</v>
      </c>
      <c r="D2781">
        <v>39</v>
      </c>
      <c r="E2781" t="s">
        <v>6</v>
      </c>
      <c r="F2781" t="s">
        <v>7</v>
      </c>
      <c r="G2781" s="1">
        <f t="shared" si="129"/>
        <v>45199</v>
      </c>
      <c r="H2781">
        <f t="shared" si="130"/>
        <v>1</v>
      </c>
      <c r="I2781">
        <f t="shared" si="131"/>
        <v>0</v>
      </c>
      <c r="J2781">
        <f>IF(Table1[[#This Row],[Active_months]]&gt;=1, 1, 0)</f>
        <v>1</v>
      </c>
    </row>
    <row r="2782" spans="1:10" x14ac:dyDescent="0.3">
      <c r="A2782">
        <v>219316901</v>
      </c>
      <c r="B2782" s="1">
        <v>45142</v>
      </c>
      <c r="D2782">
        <v>39</v>
      </c>
      <c r="E2782" t="s">
        <v>6</v>
      </c>
      <c r="F2782" t="s">
        <v>7</v>
      </c>
      <c r="G2782" s="1">
        <f t="shared" si="129"/>
        <v>45199</v>
      </c>
      <c r="H2782">
        <f t="shared" si="130"/>
        <v>1</v>
      </c>
      <c r="I2782">
        <f t="shared" si="131"/>
        <v>0</v>
      </c>
      <c r="J2782">
        <f>IF(Table1[[#This Row],[Active_months]]&gt;=1, 1, 0)</f>
        <v>1</v>
      </c>
    </row>
    <row r="2783" spans="1:10" x14ac:dyDescent="0.3">
      <c r="A2783">
        <v>217724278</v>
      </c>
      <c r="B2783" s="1">
        <v>45142</v>
      </c>
      <c r="D2783">
        <v>39</v>
      </c>
      <c r="E2783" t="s">
        <v>6</v>
      </c>
      <c r="F2783" t="s">
        <v>7</v>
      </c>
      <c r="G2783" s="1">
        <f t="shared" si="129"/>
        <v>45199</v>
      </c>
      <c r="H2783">
        <f t="shared" si="130"/>
        <v>1</v>
      </c>
      <c r="I2783">
        <f t="shared" si="131"/>
        <v>0</v>
      </c>
      <c r="J2783">
        <f>IF(Table1[[#This Row],[Active_months]]&gt;=1, 1, 0)</f>
        <v>1</v>
      </c>
    </row>
    <row r="2784" spans="1:10" x14ac:dyDescent="0.3">
      <c r="A2784">
        <v>155869412</v>
      </c>
      <c r="B2784" s="1">
        <v>45142</v>
      </c>
      <c r="D2784">
        <v>39</v>
      </c>
      <c r="E2784" t="s">
        <v>6</v>
      </c>
      <c r="F2784" t="s">
        <v>7</v>
      </c>
      <c r="G2784" s="1">
        <f t="shared" si="129"/>
        <v>45199</v>
      </c>
      <c r="H2784">
        <f t="shared" si="130"/>
        <v>1</v>
      </c>
      <c r="I2784">
        <f t="shared" si="131"/>
        <v>0</v>
      </c>
      <c r="J2784">
        <f>IF(Table1[[#This Row],[Active_months]]&gt;=1, 1, 0)</f>
        <v>1</v>
      </c>
    </row>
    <row r="2785" spans="1:10" x14ac:dyDescent="0.3">
      <c r="A2785">
        <v>164535832</v>
      </c>
      <c r="B2785" s="1">
        <v>45142</v>
      </c>
      <c r="D2785">
        <v>39</v>
      </c>
      <c r="E2785" t="s">
        <v>6</v>
      </c>
      <c r="F2785" t="s">
        <v>7</v>
      </c>
      <c r="G2785" s="1">
        <f t="shared" si="129"/>
        <v>45199</v>
      </c>
      <c r="H2785">
        <f t="shared" si="130"/>
        <v>1</v>
      </c>
      <c r="I2785">
        <f t="shared" si="131"/>
        <v>0</v>
      </c>
      <c r="J2785">
        <f>IF(Table1[[#This Row],[Active_months]]&gt;=1, 1, 0)</f>
        <v>1</v>
      </c>
    </row>
    <row r="2786" spans="1:10" x14ac:dyDescent="0.3">
      <c r="A2786">
        <v>219388064</v>
      </c>
      <c r="B2786" s="1">
        <v>45142</v>
      </c>
      <c r="D2786">
        <v>39</v>
      </c>
      <c r="E2786" t="s">
        <v>6</v>
      </c>
      <c r="F2786" t="s">
        <v>7</v>
      </c>
      <c r="G2786" s="1">
        <f t="shared" si="129"/>
        <v>45199</v>
      </c>
      <c r="H2786">
        <f t="shared" si="130"/>
        <v>1</v>
      </c>
      <c r="I2786">
        <f t="shared" si="131"/>
        <v>0</v>
      </c>
      <c r="J2786">
        <f>IF(Table1[[#This Row],[Active_months]]&gt;=1, 1, 0)</f>
        <v>1</v>
      </c>
    </row>
    <row r="2787" spans="1:10" x14ac:dyDescent="0.3">
      <c r="A2787">
        <v>218884048</v>
      </c>
      <c r="B2787" s="1">
        <v>45142</v>
      </c>
      <c r="C2787" s="1">
        <v>45160</v>
      </c>
      <c r="D2787">
        <v>39</v>
      </c>
      <c r="E2787" t="s">
        <v>6</v>
      </c>
      <c r="F2787" t="s">
        <v>7</v>
      </c>
      <c r="G2787" s="1">
        <f t="shared" si="129"/>
        <v>45160</v>
      </c>
      <c r="H2787">
        <f t="shared" si="130"/>
        <v>0</v>
      </c>
      <c r="I2787">
        <f t="shared" si="131"/>
        <v>0</v>
      </c>
      <c r="J2787">
        <f>IF(Table1[[#This Row],[Active_months]]&gt;=1, 1, 0)</f>
        <v>0</v>
      </c>
    </row>
    <row r="2788" spans="1:10" x14ac:dyDescent="0.3">
      <c r="A2788">
        <v>219603078</v>
      </c>
      <c r="B2788" s="1">
        <v>45143</v>
      </c>
      <c r="D2788">
        <v>39</v>
      </c>
      <c r="E2788" t="s">
        <v>6</v>
      </c>
      <c r="F2788" t="s">
        <v>7</v>
      </c>
      <c r="G2788" s="1">
        <f t="shared" si="129"/>
        <v>45199</v>
      </c>
      <c r="H2788">
        <f t="shared" si="130"/>
        <v>1</v>
      </c>
      <c r="I2788">
        <f t="shared" si="131"/>
        <v>0</v>
      </c>
      <c r="J2788">
        <f>IF(Table1[[#This Row],[Active_months]]&gt;=1, 1, 0)</f>
        <v>1</v>
      </c>
    </row>
    <row r="2789" spans="1:10" x14ac:dyDescent="0.3">
      <c r="A2789">
        <v>219146842</v>
      </c>
      <c r="B2789" s="1">
        <v>45143</v>
      </c>
      <c r="D2789">
        <v>39</v>
      </c>
      <c r="E2789" t="s">
        <v>6</v>
      </c>
      <c r="F2789" t="s">
        <v>7</v>
      </c>
      <c r="G2789" s="1">
        <f t="shared" si="129"/>
        <v>45199</v>
      </c>
      <c r="H2789">
        <f t="shared" si="130"/>
        <v>1</v>
      </c>
      <c r="I2789">
        <f t="shared" si="131"/>
        <v>0</v>
      </c>
      <c r="J2789">
        <f>IF(Table1[[#This Row],[Active_months]]&gt;=1, 1, 0)</f>
        <v>1</v>
      </c>
    </row>
    <row r="2790" spans="1:10" x14ac:dyDescent="0.3">
      <c r="A2790">
        <v>206676416</v>
      </c>
      <c r="B2790" s="1">
        <v>45143</v>
      </c>
      <c r="D2790">
        <v>39</v>
      </c>
      <c r="E2790" t="s">
        <v>6</v>
      </c>
      <c r="F2790" t="s">
        <v>7</v>
      </c>
      <c r="G2790" s="1">
        <f t="shared" si="129"/>
        <v>45199</v>
      </c>
      <c r="H2790">
        <f t="shared" si="130"/>
        <v>1</v>
      </c>
      <c r="I2790">
        <f t="shared" si="131"/>
        <v>0</v>
      </c>
      <c r="J2790">
        <f>IF(Table1[[#This Row],[Active_months]]&gt;=1, 1, 0)</f>
        <v>1</v>
      </c>
    </row>
    <row r="2791" spans="1:10" x14ac:dyDescent="0.3">
      <c r="A2791">
        <v>219615770</v>
      </c>
      <c r="B2791" s="1">
        <v>45143</v>
      </c>
      <c r="D2791">
        <v>39</v>
      </c>
      <c r="E2791" t="s">
        <v>6</v>
      </c>
      <c r="F2791" t="s">
        <v>7</v>
      </c>
      <c r="G2791" s="1">
        <f t="shared" si="129"/>
        <v>45199</v>
      </c>
      <c r="H2791">
        <f t="shared" si="130"/>
        <v>1</v>
      </c>
      <c r="I2791">
        <f t="shared" si="131"/>
        <v>0</v>
      </c>
      <c r="J2791">
        <f>IF(Table1[[#This Row],[Active_months]]&gt;=1, 1, 0)</f>
        <v>1</v>
      </c>
    </row>
    <row r="2792" spans="1:10" x14ac:dyDescent="0.3">
      <c r="A2792">
        <v>219630379</v>
      </c>
      <c r="B2792" s="1">
        <v>45144</v>
      </c>
      <c r="D2792">
        <v>39</v>
      </c>
      <c r="E2792" t="s">
        <v>6</v>
      </c>
      <c r="F2792" t="s">
        <v>7</v>
      </c>
      <c r="G2792" s="1">
        <f t="shared" si="129"/>
        <v>45199</v>
      </c>
      <c r="H2792">
        <f t="shared" si="130"/>
        <v>1</v>
      </c>
      <c r="I2792">
        <f t="shared" si="131"/>
        <v>0</v>
      </c>
      <c r="J2792">
        <f>IF(Table1[[#This Row],[Active_months]]&gt;=1, 1, 0)</f>
        <v>1</v>
      </c>
    </row>
    <row r="2793" spans="1:10" x14ac:dyDescent="0.3">
      <c r="A2793">
        <v>145096572</v>
      </c>
      <c r="B2793" s="1">
        <v>45144</v>
      </c>
      <c r="D2793">
        <v>39</v>
      </c>
      <c r="E2793" t="s">
        <v>6</v>
      </c>
      <c r="F2793" t="s">
        <v>7</v>
      </c>
      <c r="G2793" s="1">
        <f t="shared" si="129"/>
        <v>45199</v>
      </c>
      <c r="H2793">
        <f t="shared" si="130"/>
        <v>1</v>
      </c>
      <c r="I2793">
        <f t="shared" si="131"/>
        <v>0</v>
      </c>
      <c r="J2793">
        <f>IF(Table1[[#This Row],[Active_months]]&gt;=1, 1, 0)</f>
        <v>1</v>
      </c>
    </row>
    <row r="2794" spans="1:10" x14ac:dyDescent="0.3">
      <c r="A2794">
        <v>144005898</v>
      </c>
      <c r="B2794" s="1">
        <v>45144</v>
      </c>
      <c r="D2794">
        <v>39</v>
      </c>
      <c r="E2794" t="s">
        <v>6</v>
      </c>
      <c r="F2794" t="s">
        <v>7</v>
      </c>
      <c r="G2794" s="1">
        <f t="shared" si="129"/>
        <v>45199</v>
      </c>
      <c r="H2794">
        <f t="shared" si="130"/>
        <v>1</v>
      </c>
      <c r="I2794">
        <f t="shared" si="131"/>
        <v>0</v>
      </c>
      <c r="J2794">
        <f>IF(Table1[[#This Row],[Active_months]]&gt;=1, 1, 0)</f>
        <v>1</v>
      </c>
    </row>
    <row r="2795" spans="1:10" x14ac:dyDescent="0.3">
      <c r="A2795">
        <v>215189020</v>
      </c>
      <c r="B2795" s="1">
        <v>45144</v>
      </c>
      <c r="D2795">
        <v>39</v>
      </c>
      <c r="E2795" t="s">
        <v>6</v>
      </c>
      <c r="F2795" t="s">
        <v>7</v>
      </c>
      <c r="G2795" s="1">
        <f t="shared" si="129"/>
        <v>45199</v>
      </c>
      <c r="H2795">
        <f t="shared" si="130"/>
        <v>1</v>
      </c>
      <c r="I2795">
        <f t="shared" si="131"/>
        <v>0</v>
      </c>
      <c r="J2795">
        <f>IF(Table1[[#This Row],[Active_months]]&gt;=1, 1, 0)</f>
        <v>1</v>
      </c>
    </row>
    <row r="2796" spans="1:10" x14ac:dyDescent="0.3">
      <c r="A2796">
        <v>188354637</v>
      </c>
      <c r="B2796" s="1">
        <v>45144</v>
      </c>
      <c r="C2796" s="1">
        <v>45158</v>
      </c>
      <c r="D2796">
        <v>39</v>
      </c>
      <c r="E2796" t="s">
        <v>6</v>
      </c>
      <c r="F2796" t="s">
        <v>7</v>
      </c>
      <c r="G2796" s="1">
        <f t="shared" si="129"/>
        <v>45158</v>
      </c>
      <c r="H2796">
        <f t="shared" si="130"/>
        <v>0</v>
      </c>
      <c r="I2796">
        <f t="shared" si="131"/>
        <v>0</v>
      </c>
      <c r="J2796">
        <f>IF(Table1[[#This Row],[Active_months]]&gt;=1, 1, 0)</f>
        <v>0</v>
      </c>
    </row>
    <row r="2797" spans="1:10" x14ac:dyDescent="0.3">
      <c r="A2797">
        <v>219668475</v>
      </c>
      <c r="B2797" s="1">
        <v>45145</v>
      </c>
      <c r="D2797">
        <v>39</v>
      </c>
      <c r="E2797" t="s">
        <v>6</v>
      </c>
      <c r="F2797" t="s">
        <v>7</v>
      </c>
      <c r="G2797" s="1">
        <f t="shared" si="129"/>
        <v>45199</v>
      </c>
      <c r="H2797">
        <f t="shared" si="130"/>
        <v>1</v>
      </c>
      <c r="I2797">
        <f t="shared" si="131"/>
        <v>0</v>
      </c>
      <c r="J2797">
        <f>IF(Table1[[#This Row],[Active_months]]&gt;=1, 1, 0)</f>
        <v>1</v>
      </c>
    </row>
    <row r="2798" spans="1:10" x14ac:dyDescent="0.3">
      <c r="A2798">
        <v>219495361</v>
      </c>
      <c r="B2798" s="1">
        <v>45145</v>
      </c>
      <c r="D2798">
        <v>39</v>
      </c>
      <c r="E2798" t="s">
        <v>6</v>
      </c>
      <c r="F2798" t="s">
        <v>7</v>
      </c>
      <c r="G2798" s="1">
        <f t="shared" si="129"/>
        <v>45199</v>
      </c>
      <c r="H2798">
        <f t="shared" si="130"/>
        <v>1</v>
      </c>
      <c r="I2798">
        <f t="shared" si="131"/>
        <v>0</v>
      </c>
      <c r="J2798">
        <f>IF(Table1[[#This Row],[Active_months]]&gt;=1, 1, 0)</f>
        <v>1</v>
      </c>
    </row>
    <row r="2799" spans="1:10" x14ac:dyDescent="0.3">
      <c r="A2799">
        <v>219672587</v>
      </c>
      <c r="B2799" s="1">
        <v>45145</v>
      </c>
      <c r="D2799">
        <v>39</v>
      </c>
      <c r="E2799" t="s">
        <v>6</v>
      </c>
      <c r="F2799" t="s">
        <v>7</v>
      </c>
      <c r="G2799" s="1">
        <f t="shared" si="129"/>
        <v>45199</v>
      </c>
      <c r="H2799">
        <f t="shared" si="130"/>
        <v>1</v>
      </c>
      <c r="I2799">
        <f t="shared" si="131"/>
        <v>0</v>
      </c>
      <c r="J2799">
        <f>IF(Table1[[#This Row],[Active_months]]&gt;=1, 1, 0)</f>
        <v>1</v>
      </c>
    </row>
    <row r="2800" spans="1:10" x14ac:dyDescent="0.3">
      <c r="A2800">
        <v>218556897</v>
      </c>
      <c r="B2800" s="1">
        <v>45145</v>
      </c>
      <c r="C2800" s="1">
        <v>45146</v>
      </c>
      <c r="D2800">
        <v>39</v>
      </c>
      <c r="E2800" t="s">
        <v>6</v>
      </c>
      <c r="F2800" t="s">
        <v>7</v>
      </c>
      <c r="G2800" s="1">
        <f t="shared" si="129"/>
        <v>45146</v>
      </c>
      <c r="H2800">
        <f t="shared" si="130"/>
        <v>0</v>
      </c>
      <c r="I2800">
        <f t="shared" si="131"/>
        <v>0</v>
      </c>
      <c r="J2800">
        <f>IF(Table1[[#This Row],[Active_months]]&gt;=1, 1, 0)</f>
        <v>0</v>
      </c>
    </row>
    <row r="2801" spans="1:10" x14ac:dyDescent="0.3">
      <c r="A2801">
        <v>219467082</v>
      </c>
      <c r="B2801" s="1">
        <v>45145</v>
      </c>
      <c r="C2801" s="1">
        <v>45153</v>
      </c>
      <c r="D2801">
        <v>39</v>
      </c>
      <c r="E2801" t="s">
        <v>6</v>
      </c>
      <c r="F2801" t="s">
        <v>7</v>
      </c>
      <c r="G2801" s="1">
        <f t="shared" si="129"/>
        <v>45153</v>
      </c>
      <c r="H2801">
        <f t="shared" si="130"/>
        <v>0</v>
      </c>
      <c r="I2801">
        <f t="shared" si="131"/>
        <v>0</v>
      </c>
      <c r="J2801">
        <f>IF(Table1[[#This Row],[Active_months]]&gt;=1, 1, 0)</f>
        <v>0</v>
      </c>
    </row>
    <row r="2802" spans="1:10" x14ac:dyDescent="0.3">
      <c r="A2802">
        <v>139353407</v>
      </c>
      <c r="B2802" s="1">
        <v>45146</v>
      </c>
      <c r="D2802">
        <v>39</v>
      </c>
      <c r="E2802" t="s">
        <v>6</v>
      </c>
      <c r="F2802" t="s">
        <v>7</v>
      </c>
      <c r="G2802" s="1">
        <f t="shared" si="129"/>
        <v>45199</v>
      </c>
      <c r="H2802">
        <f t="shared" si="130"/>
        <v>1</v>
      </c>
      <c r="I2802">
        <f t="shared" si="131"/>
        <v>0</v>
      </c>
      <c r="J2802">
        <f>IF(Table1[[#This Row],[Active_months]]&gt;=1, 1, 0)</f>
        <v>1</v>
      </c>
    </row>
    <row r="2803" spans="1:10" x14ac:dyDescent="0.3">
      <c r="A2803">
        <v>219734945</v>
      </c>
      <c r="B2803" s="1">
        <v>45146</v>
      </c>
      <c r="D2803">
        <v>39</v>
      </c>
      <c r="E2803" t="s">
        <v>6</v>
      </c>
      <c r="F2803" t="s">
        <v>7</v>
      </c>
      <c r="G2803" s="1">
        <f t="shared" si="129"/>
        <v>45199</v>
      </c>
      <c r="H2803">
        <f t="shared" si="130"/>
        <v>1</v>
      </c>
      <c r="I2803">
        <f t="shared" si="131"/>
        <v>0</v>
      </c>
      <c r="J2803">
        <f>IF(Table1[[#This Row],[Active_months]]&gt;=1, 1, 0)</f>
        <v>1</v>
      </c>
    </row>
    <row r="2804" spans="1:10" x14ac:dyDescent="0.3">
      <c r="A2804">
        <v>219735949</v>
      </c>
      <c r="B2804" s="1">
        <v>45146</v>
      </c>
      <c r="D2804">
        <v>39</v>
      </c>
      <c r="E2804" t="s">
        <v>6</v>
      </c>
      <c r="F2804" t="s">
        <v>7</v>
      </c>
      <c r="G2804" s="1">
        <f t="shared" si="129"/>
        <v>45199</v>
      </c>
      <c r="H2804">
        <f t="shared" si="130"/>
        <v>1</v>
      </c>
      <c r="I2804">
        <f t="shared" si="131"/>
        <v>0</v>
      </c>
      <c r="J2804">
        <f>IF(Table1[[#This Row],[Active_months]]&gt;=1, 1, 0)</f>
        <v>1</v>
      </c>
    </row>
    <row r="2805" spans="1:10" x14ac:dyDescent="0.3">
      <c r="A2805">
        <v>219688361</v>
      </c>
      <c r="B2805" s="1">
        <v>45146</v>
      </c>
      <c r="D2805">
        <v>39</v>
      </c>
      <c r="E2805" t="s">
        <v>6</v>
      </c>
      <c r="F2805" t="s">
        <v>7</v>
      </c>
      <c r="G2805" s="1">
        <f t="shared" si="129"/>
        <v>45199</v>
      </c>
      <c r="H2805">
        <f t="shared" si="130"/>
        <v>1</v>
      </c>
      <c r="I2805">
        <f t="shared" si="131"/>
        <v>0</v>
      </c>
      <c r="J2805">
        <f>IF(Table1[[#This Row],[Active_months]]&gt;=1, 1, 0)</f>
        <v>1</v>
      </c>
    </row>
    <row r="2806" spans="1:10" x14ac:dyDescent="0.3">
      <c r="A2806">
        <v>219447968</v>
      </c>
      <c r="B2806" s="1">
        <v>45146</v>
      </c>
      <c r="D2806">
        <v>39</v>
      </c>
      <c r="E2806" t="s">
        <v>6</v>
      </c>
      <c r="F2806" t="s">
        <v>7</v>
      </c>
      <c r="G2806" s="1">
        <f t="shared" si="129"/>
        <v>45199</v>
      </c>
      <c r="H2806">
        <f t="shared" si="130"/>
        <v>1</v>
      </c>
      <c r="I2806">
        <f t="shared" si="131"/>
        <v>0</v>
      </c>
      <c r="J2806">
        <f>IF(Table1[[#This Row],[Active_months]]&gt;=1, 1, 0)</f>
        <v>1</v>
      </c>
    </row>
    <row r="2807" spans="1:10" x14ac:dyDescent="0.3">
      <c r="A2807">
        <v>219583682</v>
      </c>
      <c r="B2807" s="1">
        <v>45146</v>
      </c>
      <c r="D2807">
        <v>39</v>
      </c>
      <c r="E2807" t="s">
        <v>6</v>
      </c>
      <c r="F2807" t="s">
        <v>7</v>
      </c>
      <c r="G2807" s="1">
        <f t="shared" si="129"/>
        <v>45199</v>
      </c>
      <c r="H2807">
        <f t="shared" si="130"/>
        <v>1</v>
      </c>
      <c r="I2807">
        <f t="shared" si="131"/>
        <v>0</v>
      </c>
      <c r="J2807">
        <f>IF(Table1[[#This Row],[Active_months]]&gt;=1, 1, 0)</f>
        <v>1</v>
      </c>
    </row>
    <row r="2808" spans="1:10" x14ac:dyDescent="0.3">
      <c r="A2808">
        <v>217638566</v>
      </c>
      <c r="B2808" s="1">
        <v>45146</v>
      </c>
      <c r="D2808">
        <v>39</v>
      </c>
      <c r="E2808" t="s">
        <v>6</v>
      </c>
      <c r="F2808" t="s">
        <v>7</v>
      </c>
      <c r="G2808" s="1">
        <f t="shared" si="129"/>
        <v>45199</v>
      </c>
      <c r="H2808">
        <f t="shared" si="130"/>
        <v>1</v>
      </c>
      <c r="I2808">
        <f t="shared" si="131"/>
        <v>0</v>
      </c>
      <c r="J2808">
        <f>IF(Table1[[#This Row],[Active_months]]&gt;=1, 1, 0)</f>
        <v>1</v>
      </c>
    </row>
    <row r="2809" spans="1:10" x14ac:dyDescent="0.3">
      <c r="A2809">
        <v>219716268</v>
      </c>
      <c r="B2809" s="1">
        <v>45146</v>
      </c>
      <c r="D2809">
        <v>39</v>
      </c>
      <c r="E2809" t="s">
        <v>6</v>
      </c>
      <c r="F2809" t="s">
        <v>7</v>
      </c>
      <c r="G2809" s="1">
        <f t="shared" si="129"/>
        <v>45199</v>
      </c>
      <c r="H2809">
        <f t="shared" si="130"/>
        <v>1</v>
      </c>
      <c r="I2809">
        <f t="shared" si="131"/>
        <v>0</v>
      </c>
      <c r="J2809">
        <f>IF(Table1[[#This Row],[Active_months]]&gt;=1, 1, 0)</f>
        <v>1</v>
      </c>
    </row>
    <row r="2810" spans="1:10" x14ac:dyDescent="0.3">
      <c r="A2810">
        <v>219713718</v>
      </c>
      <c r="B2810" s="1">
        <v>45146</v>
      </c>
      <c r="D2810">
        <v>39</v>
      </c>
      <c r="E2810" t="s">
        <v>6</v>
      </c>
      <c r="F2810" t="s">
        <v>7</v>
      </c>
      <c r="G2810" s="1">
        <f t="shared" si="129"/>
        <v>45199</v>
      </c>
      <c r="H2810">
        <f t="shared" si="130"/>
        <v>1</v>
      </c>
      <c r="I2810">
        <f t="shared" si="131"/>
        <v>0</v>
      </c>
      <c r="J2810">
        <f>IF(Table1[[#This Row],[Active_months]]&gt;=1, 1, 0)</f>
        <v>1</v>
      </c>
    </row>
    <row r="2811" spans="1:10" x14ac:dyDescent="0.3">
      <c r="A2811">
        <v>219707178</v>
      </c>
      <c r="B2811" s="1">
        <v>45146</v>
      </c>
      <c r="D2811">
        <v>39</v>
      </c>
      <c r="E2811" t="s">
        <v>6</v>
      </c>
      <c r="F2811" t="s">
        <v>7</v>
      </c>
      <c r="G2811" s="1">
        <f t="shared" si="129"/>
        <v>45199</v>
      </c>
      <c r="H2811">
        <f t="shared" si="130"/>
        <v>1</v>
      </c>
      <c r="I2811">
        <f t="shared" si="131"/>
        <v>0</v>
      </c>
      <c r="J2811">
        <f>IF(Table1[[#This Row],[Active_months]]&gt;=1, 1, 0)</f>
        <v>1</v>
      </c>
    </row>
    <row r="2812" spans="1:10" x14ac:dyDescent="0.3">
      <c r="A2812">
        <v>219747148</v>
      </c>
      <c r="B2812" s="1">
        <v>45146</v>
      </c>
      <c r="C2812" s="1">
        <v>45146</v>
      </c>
      <c r="D2812">
        <v>39</v>
      </c>
      <c r="E2812" t="s">
        <v>6</v>
      </c>
      <c r="F2812" t="s">
        <v>7</v>
      </c>
      <c r="G2812" s="1">
        <f t="shared" si="129"/>
        <v>45146</v>
      </c>
      <c r="H2812">
        <f t="shared" si="130"/>
        <v>0</v>
      </c>
      <c r="I2812">
        <f t="shared" si="131"/>
        <v>0</v>
      </c>
      <c r="J2812">
        <f>IF(Table1[[#This Row],[Active_months]]&gt;=1, 1, 0)</f>
        <v>0</v>
      </c>
    </row>
    <row r="2813" spans="1:10" x14ac:dyDescent="0.3">
      <c r="A2813">
        <v>219710700</v>
      </c>
      <c r="B2813" s="1">
        <v>45146</v>
      </c>
      <c r="C2813" s="1">
        <v>45155</v>
      </c>
      <c r="D2813">
        <v>39</v>
      </c>
      <c r="E2813" t="s">
        <v>6</v>
      </c>
      <c r="F2813" t="s">
        <v>7</v>
      </c>
      <c r="G2813" s="1">
        <f t="shared" si="129"/>
        <v>45155</v>
      </c>
      <c r="H2813">
        <f t="shared" si="130"/>
        <v>0</v>
      </c>
      <c r="I2813">
        <f t="shared" si="131"/>
        <v>0</v>
      </c>
      <c r="J2813">
        <f>IF(Table1[[#This Row],[Active_months]]&gt;=1, 1, 0)</f>
        <v>0</v>
      </c>
    </row>
    <row r="2814" spans="1:10" x14ac:dyDescent="0.3">
      <c r="A2814">
        <v>160883429</v>
      </c>
      <c r="B2814" s="1">
        <v>45147</v>
      </c>
      <c r="D2814">
        <v>39</v>
      </c>
      <c r="E2814" t="s">
        <v>6</v>
      </c>
      <c r="F2814" t="s">
        <v>7</v>
      </c>
      <c r="G2814" s="1">
        <f t="shared" si="129"/>
        <v>45199</v>
      </c>
      <c r="H2814">
        <f t="shared" si="130"/>
        <v>1</v>
      </c>
      <c r="I2814">
        <f t="shared" si="131"/>
        <v>0</v>
      </c>
      <c r="J2814">
        <f>IF(Table1[[#This Row],[Active_months]]&gt;=1, 1, 0)</f>
        <v>1</v>
      </c>
    </row>
    <row r="2815" spans="1:10" x14ac:dyDescent="0.3">
      <c r="A2815">
        <v>218556897</v>
      </c>
      <c r="B2815" s="1">
        <v>45147</v>
      </c>
      <c r="D2815">
        <v>39</v>
      </c>
      <c r="E2815" t="s">
        <v>6</v>
      </c>
      <c r="F2815" t="s">
        <v>7</v>
      </c>
      <c r="G2815" s="1">
        <f t="shared" si="129"/>
        <v>45199</v>
      </c>
      <c r="H2815">
        <f t="shared" si="130"/>
        <v>1</v>
      </c>
      <c r="I2815">
        <f t="shared" si="131"/>
        <v>0</v>
      </c>
      <c r="J2815">
        <f>IF(Table1[[#This Row],[Active_months]]&gt;=1, 1, 0)</f>
        <v>1</v>
      </c>
    </row>
    <row r="2816" spans="1:10" x14ac:dyDescent="0.3">
      <c r="A2816">
        <v>219779586</v>
      </c>
      <c r="B2816" s="1">
        <v>45147</v>
      </c>
      <c r="D2816">
        <v>39</v>
      </c>
      <c r="E2816" t="s">
        <v>6</v>
      </c>
      <c r="F2816" t="s">
        <v>7</v>
      </c>
      <c r="G2816" s="1">
        <f t="shared" si="129"/>
        <v>45199</v>
      </c>
      <c r="H2816">
        <f t="shared" si="130"/>
        <v>1</v>
      </c>
      <c r="I2816">
        <f t="shared" si="131"/>
        <v>0</v>
      </c>
      <c r="J2816">
        <f>IF(Table1[[#This Row],[Active_months]]&gt;=1, 1, 0)</f>
        <v>1</v>
      </c>
    </row>
    <row r="2817" spans="1:10" x14ac:dyDescent="0.3">
      <c r="A2817">
        <v>219437804</v>
      </c>
      <c r="B2817" s="1">
        <v>45147</v>
      </c>
      <c r="D2817">
        <v>39</v>
      </c>
      <c r="E2817" t="s">
        <v>6</v>
      </c>
      <c r="F2817" t="s">
        <v>7</v>
      </c>
      <c r="G2817" s="1">
        <f t="shared" si="129"/>
        <v>45199</v>
      </c>
      <c r="H2817">
        <f t="shared" si="130"/>
        <v>1</v>
      </c>
      <c r="I2817">
        <f t="shared" si="131"/>
        <v>0</v>
      </c>
      <c r="J2817">
        <f>IF(Table1[[#This Row],[Active_months]]&gt;=1, 1, 0)</f>
        <v>1</v>
      </c>
    </row>
    <row r="2818" spans="1:10" x14ac:dyDescent="0.3">
      <c r="A2818">
        <v>206402783</v>
      </c>
      <c r="B2818" s="1">
        <v>45147</v>
      </c>
      <c r="D2818">
        <v>39</v>
      </c>
      <c r="E2818" t="s">
        <v>6</v>
      </c>
      <c r="F2818" t="s">
        <v>7</v>
      </c>
      <c r="G2818" s="1">
        <f t="shared" si="129"/>
        <v>45199</v>
      </c>
      <c r="H2818">
        <f t="shared" si="130"/>
        <v>1</v>
      </c>
      <c r="I2818">
        <f t="shared" si="131"/>
        <v>0</v>
      </c>
      <c r="J2818">
        <f>IF(Table1[[#This Row],[Active_months]]&gt;=1, 1, 0)</f>
        <v>1</v>
      </c>
    </row>
    <row r="2819" spans="1:10" x14ac:dyDescent="0.3">
      <c r="A2819">
        <v>178419414</v>
      </c>
      <c r="B2819" s="1">
        <v>45147</v>
      </c>
      <c r="D2819">
        <v>39</v>
      </c>
      <c r="E2819" t="s">
        <v>6</v>
      </c>
      <c r="F2819" t="s">
        <v>7</v>
      </c>
      <c r="G2819" s="1">
        <f t="shared" ref="G2819:G2882" si="132">IF(ISBLANK(C2819), DATE(2023,9,30), C2819)</f>
        <v>45199</v>
      </c>
      <c r="H2819">
        <f t="shared" ref="H2819:H2882" si="133">(YEAR(G2819)-YEAR(B2819))*12 + (MONTH(G2819)-MONTH(B2819))</f>
        <v>1</v>
      </c>
      <c r="I2819">
        <f t="shared" ref="I2819:I2882" si="134">IF(H2819 &gt;=5, 1, 0)</f>
        <v>0</v>
      </c>
      <c r="J2819">
        <f>IF(Table1[[#This Row],[Active_months]]&gt;=1, 1, 0)</f>
        <v>1</v>
      </c>
    </row>
    <row r="2820" spans="1:10" x14ac:dyDescent="0.3">
      <c r="A2820">
        <v>219719416</v>
      </c>
      <c r="B2820" s="1">
        <v>45147</v>
      </c>
      <c r="D2820">
        <v>39</v>
      </c>
      <c r="E2820" t="s">
        <v>6</v>
      </c>
      <c r="F2820" t="s">
        <v>7</v>
      </c>
      <c r="G2820" s="1">
        <f t="shared" si="132"/>
        <v>45199</v>
      </c>
      <c r="H2820">
        <f t="shared" si="133"/>
        <v>1</v>
      </c>
      <c r="I2820">
        <f t="shared" si="134"/>
        <v>0</v>
      </c>
      <c r="J2820">
        <f>IF(Table1[[#This Row],[Active_months]]&gt;=1, 1, 0)</f>
        <v>1</v>
      </c>
    </row>
    <row r="2821" spans="1:10" x14ac:dyDescent="0.3">
      <c r="A2821">
        <v>156558244</v>
      </c>
      <c r="B2821" s="1">
        <v>45147</v>
      </c>
      <c r="D2821">
        <v>39</v>
      </c>
      <c r="E2821" t="s">
        <v>6</v>
      </c>
      <c r="F2821" t="s">
        <v>7</v>
      </c>
      <c r="G2821" s="1">
        <f t="shared" si="132"/>
        <v>45199</v>
      </c>
      <c r="H2821">
        <f t="shared" si="133"/>
        <v>1</v>
      </c>
      <c r="I2821">
        <f t="shared" si="134"/>
        <v>0</v>
      </c>
      <c r="J2821">
        <f>IF(Table1[[#This Row],[Active_months]]&gt;=1, 1, 0)</f>
        <v>1</v>
      </c>
    </row>
    <row r="2822" spans="1:10" x14ac:dyDescent="0.3">
      <c r="A2822">
        <v>215602271</v>
      </c>
      <c r="B2822" s="1">
        <v>45147</v>
      </c>
      <c r="C2822" s="1">
        <v>45153</v>
      </c>
      <c r="D2822">
        <v>39</v>
      </c>
      <c r="E2822" t="s">
        <v>6</v>
      </c>
      <c r="F2822" t="s">
        <v>7</v>
      </c>
      <c r="G2822" s="1">
        <f t="shared" si="132"/>
        <v>45153</v>
      </c>
      <c r="H2822">
        <f t="shared" si="133"/>
        <v>0</v>
      </c>
      <c r="I2822">
        <f t="shared" si="134"/>
        <v>0</v>
      </c>
      <c r="J2822">
        <f>IF(Table1[[#This Row],[Active_months]]&gt;=1, 1, 0)</f>
        <v>0</v>
      </c>
    </row>
    <row r="2823" spans="1:10" x14ac:dyDescent="0.3">
      <c r="A2823">
        <v>219761422</v>
      </c>
      <c r="B2823" s="1">
        <v>45147</v>
      </c>
      <c r="C2823" s="1">
        <v>45152</v>
      </c>
      <c r="D2823">
        <v>39</v>
      </c>
      <c r="E2823" t="s">
        <v>6</v>
      </c>
      <c r="F2823" t="s">
        <v>7</v>
      </c>
      <c r="G2823" s="1">
        <f t="shared" si="132"/>
        <v>45152</v>
      </c>
      <c r="H2823">
        <f t="shared" si="133"/>
        <v>0</v>
      </c>
      <c r="I2823">
        <f t="shared" si="134"/>
        <v>0</v>
      </c>
      <c r="J2823">
        <f>IF(Table1[[#This Row],[Active_months]]&gt;=1, 1, 0)</f>
        <v>0</v>
      </c>
    </row>
    <row r="2824" spans="1:10" x14ac:dyDescent="0.3">
      <c r="A2824">
        <v>218594597</v>
      </c>
      <c r="B2824" s="1">
        <v>45147</v>
      </c>
      <c r="C2824" s="1">
        <v>45147</v>
      </c>
      <c r="D2824">
        <v>39</v>
      </c>
      <c r="E2824" t="s">
        <v>6</v>
      </c>
      <c r="F2824" t="s">
        <v>8</v>
      </c>
      <c r="G2824" s="1">
        <f t="shared" si="132"/>
        <v>45147</v>
      </c>
      <c r="H2824">
        <f t="shared" si="133"/>
        <v>0</v>
      </c>
      <c r="I2824">
        <f t="shared" si="134"/>
        <v>0</v>
      </c>
      <c r="J2824">
        <f>IF(Table1[[#This Row],[Active_months]]&gt;=1, 1, 0)</f>
        <v>0</v>
      </c>
    </row>
    <row r="2825" spans="1:10" x14ac:dyDescent="0.3">
      <c r="A2825">
        <v>219734107</v>
      </c>
      <c r="B2825" s="1">
        <v>45148</v>
      </c>
      <c r="D2825">
        <v>39</v>
      </c>
      <c r="E2825" t="s">
        <v>6</v>
      </c>
      <c r="F2825" t="s">
        <v>7</v>
      </c>
      <c r="G2825" s="1">
        <f t="shared" si="132"/>
        <v>45199</v>
      </c>
      <c r="H2825">
        <f t="shared" si="133"/>
        <v>1</v>
      </c>
      <c r="I2825">
        <f t="shared" si="134"/>
        <v>0</v>
      </c>
      <c r="J2825">
        <f>IF(Table1[[#This Row],[Active_months]]&gt;=1, 1, 0)</f>
        <v>1</v>
      </c>
    </row>
    <row r="2826" spans="1:10" x14ac:dyDescent="0.3">
      <c r="A2826">
        <v>219836911</v>
      </c>
      <c r="B2826" s="1">
        <v>45148</v>
      </c>
      <c r="D2826">
        <v>39</v>
      </c>
      <c r="E2826" t="s">
        <v>6</v>
      </c>
      <c r="F2826" t="s">
        <v>7</v>
      </c>
      <c r="G2826" s="1">
        <f t="shared" si="132"/>
        <v>45199</v>
      </c>
      <c r="H2826">
        <f t="shared" si="133"/>
        <v>1</v>
      </c>
      <c r="I2826">
        <f t="shared" si="134"/>
        <v>0</v>
      </c>
      <c r="J2826">
        <f>IF(Table1[[#This Row],[Active_months]]&gt;=1, 1, 0)</f>
        <v>1</v>
      </c>
    </row>
    <row r="2827" spans="1:10" x14ac:dyDescent="0.3">
      <c r="A2827">
        <v>215179190</v>
      </c>
      <c r="B2827" s="1">
        <v>45148</v>
      </c>
      <c r="D2827">
        <v>39</v>
      </c>
      <c r="E2827" t="s">
        <v>6</v>
      </c>
      <c r="F2827" t="s">
        <v>7</v>
      </c>
      <c r="G2827" s="1">
        <f t="shared" si="132"/>
        <v>45199</v>
      </c>
      <c r="H2827">
        <f t="shared" si="133"/>
        <v>1</v>
      </c>
      <c r="I2827">
        <f t="shared" si="134"/>
        <v>0</v>
      </c>
      <c r="J2827">
        <f>IF(Table1[[#This Row],[Active_months]]&gt;=1, 1, 0)</f>
        <v>1</v>
      </c>
    </row>
    <row r="2828" spans="1:10" x14ac:dyDescent="0.3">
      <c r="A2828">
        <v>219817702</v>
      </c>
      <c r="B2828" s="1">
        <v>45148</v>
      </c>
      <c r="D2828">
        <v>39</v>
      </c>
      <c r="E2828" t="s">
        <v>6</v>
      </c>
      <c r="F2828" t="s">
        <v>7</v>
      </c>
      <c r="G2828" s="1">
        <f t="shared" si="132"/>
        <v>45199</v>
      </c>
      <c r="H2828">
        <f t="shared" si="133"/>
        <v>1</v>
      </c>
      <c r="I2828">
        <f t="shared" si="134"/>
        <v>0</v>
      </c>
      <c r="J2828">
        <f>IF(Table1[[#This Row],[Active_months]]&gt;=1, 1, 0)</f>
        <v>1</v>
      </c>
    </row>
    <row r="2829" spans="1:10" x14ac:dyDescent="0.3">
      <c r="A2829">
        <v>150065982</v>
      </c>
      <c r="B2829" s="1">
        <v>45148</v>
      </c>
      <c r="C2829" s="1">
        <v>45149</v>
      </c>
      <c r="D2829">
        <v>39</v>
      </c>
      <c r="E2829" t="s">
        <v>6</v>
      </c>
      <c r="F2829" t="s">
        <v>7</v>
      </c>
      <c r="G2829" s="1">
        <f t="shared" si="132"/>
        <v>45149</v>
      </c>
      <c r="H2829">
        <f t="shared" si="133"/>
        <v>0</v>
      </c>
      <c r="I2829">
        <f t="shared" si="134"/>
        <v>0</v>
      </c>
      <c r="J2829">
        <f>IF(Table1[[#This Row],[Active_months]]&gt;=1, 1, 0)</f>
        <v>0</v>
      </c>
    </row>
    <row r="2830" spans="1:10" x14ac:dyDescent="0.3">
      <c r="A2830">
        <v>219891350</v>
      </c>
      <c r="B2830" s="1">
        <v>45149</v>
      </c>
      <c r="D2830">
        <v>39</v>
      </c>
      <c r="E2830" t="s">
        <v>6</v>
      </c>
      <c r="F2830" t="s">
        <v>7</v>
      </c>
      <c r="G2830" s="1">
        <f t="shared" si="132"/>
        <v>45199</v>
      </c>
      <c r="H2830">
        <f t="shared" si="133"/>
        <v>1</v>
      </c>
      <c r="I2830">
        <f t="shared" si="134"/>
        <v>0</v>
      </c>
      <c r="J2830">
        <f>IF(Table1[[#This Row],[Active_months]]&gt;=1, 1, 0)</f>
        <v>1</v>
      </c>
    </row>
    <row r="2831" spans="1:10" x14ac:dyDescent="0.3">
      <c r="A2831">
        <v>205210815</v>
      </c>
      <c r="B2831" s="1">
        <v>45149</v>
      </c>
      <c r="D2831">
        <v>39</v>
      </c>
      <c r="E2831" t="s">
        <v>6</v>
      </c>
      <c r="F2831" t="s">
        <v>7</v>
      </c>
      <c r="G2831" s="1">
        <f t="shared" si="132"/>
        <v>45199</v>
      </c>
      <c r="H2831">
        <f t="shared" si="133"/>
        <v>1</v>
      </c>
      <c r="I2831">
        <f t="shared" si="134"/>
        <v>0</v>
      </c>
      <c r="J2831">
        <f>IF(Table1[[#This Row],[Active_months]]&gt;=1, 1, 0)</f>
        <v>1</v>
      </c>
    </row>
    <row r="2832" spans="1:10" x14ac:dyDescent="0.3">
      <c r="A2832">
        <v>219744473</v>
      </c>
      <c r="B2832" s="1">
        <v>45149</v>
      </c>
      <c r="D2832">
        <v>39</v>
      </c>
      <c r="E2832" t="s">
        <v>6</v>
      </c>
      <c r="F2832" t="s">
        <v>7</v>
      </c>
      <c r="G2832" s="1">
        <f t="shared" si="132"/>
        <v>45199</v>
      </c>
      <c r="H2832">
        <f t="shared" si="133"/>
        <v>1</v>
      </c>
      <c r="I2832">
        <f t="shared" si="134"/>
        <v>0</v>
      </c>
      <c r="J2832">
        <f>IF(Table1[[#This Row],[Active_months]]&gt;=1, 1, 0)</f>
        <v>1</v>
      </c>
    </row>
    <row r="2833" spans="1:10" x14ac:dyDescent="0.3">
      <c r="A2833">
        <v>219851822</v>
      </c>
      <c r="B2833" s="1">
        <v>45149</v>
      </c>
      <c r="D2833">
        <v>39</v>
      </c>
      <c r="E2833" t="s">
        <v>6</v>
      </c>
      <c r="F2833" t="s">
        <v>7</v>
      </c>
      <c r="G2833" s="1">
        <f t="shared" si="132"/>
        <v>45199</v>
      </c>
      <c r="H2833">
        <f t="shared" si="133"/>
        <v>1</v>
      </c>
      <c r="I2833">
        <f t="shared" si="134"/>
        <v>0</v>
      </c>
      <c r="J2833">
        <f>IF(Table1[[#This Row],[Active_months]]&gt;=1, 1, 0)</f>
        <v>1</v>
      </c>
    </row>
    <row r="2834" spans="1:10" x14ac:dyDescent="0.3">
      <c r="A2834">
        <v>150779000</v>
      </c>
      <c r="B2834" s="1">
        <v>45149</v>
      </c>
      <c r="C2834" s="1">
        <v>45175</v>
      </c>
      <c r="D2834">
        <v>39</v>
      </c>
      <c r="E2834" t="s">
        <v>6</v>
      </c>
      <c r="F2834" t="s">
        <v>7</v>
      </c>
      <c r="G2834" s="1">
        <f t="shared" si="132"/>
        <v>45175</v>
      </c>
      <c r="H2834">
        <f t="shared" si="133"/>
        <v>1</v>
      </c>
      <c r="I2834">
        <f t="shared" si="134"/>
        <v>0</v>
      </c>
      <c r="J2834">
        <f>IF(Table1[[#This Row],[Active_months]]&gt;=1, 1, 0)</f>
        <v>1</v>
      </c>
    </row>
    <row r="2835" spans="1:10" x14ac:dyDescent="0.3">
      <c r="A2835">
        <v>219876215</v>
      </c>
      <c r="B2835" s="1">
        <v>45149</v>
      </c>
      <c r="C2835" s="1">
        <v>45150</v>
      </c>
      <c r="D2835">
        <v>39</v>
      </c>
      <c r="E2835" t="s">
        <v>6</v>
      </c>
      <c r="F2835" t="s">
        <v>7</v>
      </c>
      <c r="G2835" s="1">
        <f t="shared" si="132"/>
        <v>45150</v>
      </c>
      <c r="H2835">
        <f t="shared" si="133"/>
        <v>0</v>
      </c>
      <c r="I2835">
        <f t="shared" si="134"/>
        <v>0</v>
      </c>
      <c r="J2835">
        <f>IF(Table1[[#This Row],[Active_months]]&gt;=1, 1, 0)</f>
        <v>0</v>
      </c>
    </row>
    <row r="2836" spans="1:10" x14ac:dyDescent="0.3">
      <c r="A2836">
        <v>151633468</v>
      </c>
      <c r="B2836" s="1">
        <v>45149</v>
      </c>
      <c r="C2836" s="1">
        <v>45150</v>
      </c>
      <c r="D2836">
        <v>39</v>
      </c>
      <c r="E2836" t="s">
        <v>6</v>
      </c>
      <c r="F2836" t="s">
        <v>7</v>
      </c>
      <c r="G2836" s="1">
        <f t="shared" si="132"/>
        <v>45150</v>
      </c>
      <c r="H2836">
        <f t="shared" si="133"/>
        <v>0</v>
      </c>
      <c r="I2836">
        <f t="shared" si="134"/>
        <v>0</v>
      </c>
      <c r="J2836">
        <f>IF(Table1[[#This Row],[Active_months]]&gt;=1, 1, 0)</f>
        <v>0</v>
      </c>
    </row>
    <row r="2837" spans="1:10" x14ac:dyDescent="0.3">
      <c r="A2837">
        <v>219834528</v>
      </c>
      <c r="B2837" s="1">
        <v>45149</v>
      </c>
      <c r="C2837" s="1">
        <v>45150</v>
      </c>
      <c r="D2837">
        <v>39</v>
      </c>
      <c r="E2837" t="s">
        <v>6</v>
      </c>
      <c r="F2837" t="s">
        <v>8</v>
      </c>
      <c r="G2837" s="1">
        <f t="shared" si="132"/>
        <v>45150</v>
      </c>
      <c r="H2837">
        <f t="shared" si="133"/>
        <v>0</v>
      </c>
      <c r="I2837">
        <f t="shared" si="134"/>
        <v>0</v>
      </c>
      <c r="J2837">
        <f>IF(Table1[[#This Row],[Active_months]]&gt;=1, 1, 0)</f>
        <v>0</v>
      </c>
    </row>
    <row r="2838" spans="1:10" x14ac:dyDescent="0.3">
      <c r="A2838">
        <v>202844600</v>
      </c>
      <c r="B2838" s="1">
        <v>45149</v>
      </c>
      <c r="C2838" s="1">
        <v>45150</v>
      </c>
      <c r="D2838">
        <v>39</v>
      </c>
      <c r="E2838" t="s">
        <v>6</v>
      </c>
      <c r="F2838" t="s">
        <v>8</v>
      </c>
      <c r="G2838" s="1">
        <f t="shared" si="132"/>
        <v>45150</v>
      </c>
      <c r="H2838">
        <f t="shared" si="133"/>
        <v>0</v>
      </c>
      <c r="I2838">
        <f t="shared" si="134"/>
        <v>0</v>
      </c>
      <c r="J2838">
        <f>IF(Table1[[#This Row],[Active_months]]&gt;=1, 1, 0)</f>
        <v>0</v>
      </c>
    </row>
    <row r="2839" spans="1:10" x14ac:dyDescent="0.3">
      <c r="A2839">
        <v>158093021</v>
      </c>
      <c r="B2839" s="1">
        <v>45150</v>
      </c>
      <c r="D2839">
        <v>39</v>
      </c>
      <c r="E2839" t="s">
        <v>6</v>
      </c>
      <c r="F2839" t="s">
        <v>7</v>
      </c>
      <c r="G2839" s="1">
        <f t="shared" si="132"/>
        <v>45199</v>
      </c>
      <c r="H2839">
        <f t="shared" si="133"/>
        <v>1</v>
      </c>
      <c r="I2839">
        <f t="shared" si="134"/>
        <v>0</v>
      </c>
      <c r="J2839">
        <f>IF(Table1[[#This Row],[Active_months]]&gt;=1, 1, 0)</f>
        <v>1</v>
      </c>
    </row>
    <row r="2840" spans="1:10" x14ac:dyDescent="0.3">
      <c r="A2840">
        <v>203366396</v>
      </c>
      <c r="B2840" s="1">
        <v>45150</v>
      </c>
      <c r="C2840" s="1">
        <v>45154</v>
      </c>
      <c r="D2840">
        <v>39</v>
      </c>
      <c r="E2840" t="s">
        <v>6</v>
      </c>
      <c r="F2840" t="s">
        <v>7</v>
      </c>
      <c r="G2840" s="1">
        <f t="shared" si="132"/>
        <v>45154</v>
      </c>
      <c r="H2840">
        <f t="shared" si="133"/>
        <v>0</v>
      </c>
      <c r="I2840">
        <f t="shared" si="134"/>
        <v>0</v>
      </c>
      <c r="J2840">
        <f>IF(Table1[[#This Row],[Active_months]]&gt;=1, 1, 0)</f>
        <v>0</v>
      </c>
    </row>
    <row r="2841" spans="1:10" x14ac:dyDescent="0.3">
      <c r="A2841">
        <v>210694562</v>
      </c>
      <c r="B2841" s="1">
        <v>45150</v>
      </c>
      <c r="C2841" s="1">
        <v>45171</v>
      </c>
      <c r="D2841">
        <v>39</v>
      </c>
      <c r="E2841" t="s">
        <v>6</v>
      </c>
      <c r="F2841" t="s">
        <v>7</v>
      </c>
      <c r="G2841" s="1">
        <f t="shared" si="132"/>
        <v>45171</v>
      </c>
      <c r="H2841">
        <f t="shared" si="133"/>
        <v>1</v>
      </c>
      <c r="I2841">
        <f t="shared" si="134"/>
        <v>0</v>
      </c>
      <c r="J2841">
        <f>IF(Table1[[#This Row],[Active_months]]&gt;=1, 1, 0)</f>
        <v>1</v>
      </c>
    </row>
    <row r="2842" spans="1:10" x14ac:dyDescent="0.3">
      <c r="A2842">
        <v>188347490</v>
      </c>
      <c r="B2842" s="1">
        <v>45151</v>
      </c>
      <c r="D2842">
        <v>39</v>
      </c>
      <c r="E2842" t="s">
        <v>6</v>
      </c>
      <c r="F2842" t="s">
        <v>7</v>
      </c>
      <c r="G2842" s="1">
        <f t="shared" si="132"/>
        <v>45199</v>
      </c>
      <c r="H2842">
        <f t="shared" si="133"/>
        <v>1</v>
      </c>
      <c r="I2842">
        <f t="shared" si="134"/>
        <v>0</v>
      </c>
      <c r="J2842">
        <f>IF(Table1[[#This Row],[Active_months]]&gt;=1, 1, 0)</f>
        <v>1</v>
      </c>
    </row>
    <row r="2843" spans="1:10" x14ac:dyDescent="0.3">
      <c r="A2843">
        <v>219947831</v>
      </c>
      <c r="B2843" s="1">
        <v>45151</v>
      </c>
      <c r="D2843">
        <v>39</v>
      </c>
      <c r="E2843" t="s">
        <v>6</v>
      </c>
      <c r="F2843" t="s">
        <v>7</v>
      </c>
      <c r="G2843" s="1">
        <f t="shared" si="132"/>
        <v>45199</v>
      </c>
      <c r="H2843">
        <f t="shared" si="133"/>
        <v>1</v>
      </c>
      <c r="I2843">
        <f t="shared" si="134"/>
        <v>0</v>
      </c>
      <c r="J2843">
        <f>IF(Table1[[#This Row],[Active_months]]&gt;=1, 1, 0)</f>
        <v>1</v>
      </c>
    </row>
    <row r="2844" spans="1:10" x14ac:dyDescent="0.3">
      <c r="A2844">
        <v>214775412</v>
      </c>
      <c r="B2844" s="1">
        <v>45151</v>
      </c>
      <c r="D2844">
        <v>39</v>
      </c>
      <c r="E2844" t="s">
        <v>6</v>
      </c>
      <c r="F2844" t="s">
        <v>7</v>
      </c>
      <c r="G2844" s="1">
        <f t="shared" si="132"/>
        <v>45199</v>
      </c>
      <c r="H2844">
        <f t="shared" si="133"/>
        <v>1</v>
      </c>
      <c r="I2844">
        <f t="shared" si="134"/>
        <v>0</v>
      </c>
      <c r="J2844">
        <f>IF(Table1[[#This Row],[Active_months]]&gt;=1, 1, 0)</f>
        <v>1</v>
      </c>
    </row>
    <row r="2845" spans="1:10" x14ac:dyDescent="0.3">
      <c r="A2845">
        <v>134753801</v>
      </c>
      <c r="B2845" s="1">
        <v>45151</v>
      </c>
      <c r="D2845">
        <v>39</v>
      </c>
      <c r="E2845" t="s">
        <v>6</v>
      </c>
      <c r="F2845" t="s">
        <v>7</v>
      </c>
      <c r="G2845" s="1">
        <f t="shared" si="132"/>
        <v>45199</v>
      </c>
      <c r="H2845">
        <f t="shared" si="133"/>
        <v>1</v>
      </c>
      <c r="I2845">
        <f t="shared" si="134"/>
        <v>0</v>
      </c>
      <c r="J2845">
        <f>IF(Table1[[#This Row],[Active_months]]&gt;=1, 1, 0)</f>
        <v>1</v>
      </c>
    </row>
    <row r="2846" spans="1:10" x14ac:dyDescent="0.3">
      <c r="A2846">
        <v>182584521</v>
      </c>
      <c r="B2846" s="1">
        <v>45151</v>
      </c>
      <c r="D2846">
        <v>39</v>
      </c>
      <c r="E2846" t="s">
        <v>6</v>
      </c>
      <c r="F2846" t="s">
        <v>7</v>
      </c>
      <c r="G2846" s="1">
        <f t="shared" si="132"/>
        <v>45199</v>
      </c>
      <c r="H2846">
        <f t="shared" si="133"/>
        <v>1</v>
      </c>
      <c r="I2846">
        <f t="shared" si="134"/>
        <v>0</v>
      </c>
      <c r="J2846">
        <f>IF(Table1[[#This Row],[Active_months]]&gt;=1, 1, 0)</f>
        <v>1</v>
      </c>
    </row>
    <row r="2847" spans="1:10" x14ac:dyDescent="0.3">
      <c r="A2847">
        <v>219955434</v>
      </c>
      <c r="B2847" s="1">
        <v>45151</v>
      </c>
      <c r="D2847">
        <v>39</v>
      </c>
      <c r="E2847" t="s">
        <v>6</v>
      </c>
      <c r="F2847" t="s">
        <v>7</v>
      </c>
      <c r="G2847" s="1">
        <f t="shared" si="132"/>
        <v>45199</v>
      </c>
      <c r="H2847">
        <f t="shared" si="133"/>
        <v>1</v>
      </c>
      <c r="I2847">
        <f t="shared" si="134"/>
        <v>0</v>
      </c>
      <c r="J2847">
        <f>IF(Table1[[#This Row],[Active_months]]&gt;=1, 1, 0)</f>
        <v>1</v>
      </c>
    </row>
    <row r="2848" spans="1:10" x14ac:dyDescent="0.3">
      <c r="A2848">
        <v>219951440</v>
      </c>
      <c r="B2848" s="1">
        <v>45151</v>
      </c>
      <c r="D2848">
        <v>39</v>
      </c>
      <c r="E2848" t="s">
        <v>6</v>
      </c>
      <c r="F2848" t="s">
        <v>7</v>
      </c>
      <c r="G2848" s="1">
        <f t="shared" si="132"/>
        <v>45199</v>
      </c>
      <c r="H2848">
        <f t="shared" si="133"/>
        <v>1</v>
      </c>
      <c r="I2848">
        <f t="shared" si="134"/>
        <v>0</v>
      </c>
      <c r="J2848">
        <f>IF(Table1[[#This Row],[Active_months]]&gt;=1, 1, 0)</f>
        <v>1</v>
      </c>
    </row>
    <row r="2849" spans="1:10" x14ac:dyDescent="0.3">
      <c r="A2849">
        <v>219808428</v>
      </c>
      <c r="B2849" s="1">
        <v>45151</v>
      </c>
      <c r="C2849" s="1">
        <v>45170</v>
      </c>
      <c r="D2849">
        <v>39</v>
      </c>
      <c r="E2849" t="s">
        <v>6</v>
      </c>
      <c r="F2849" t="s">
        <v>7</v>
      </c>
      <c r="G2849" s="1">
        <f t="shared" si="132"/>
        <v>45170</v>
      </c>
      <c r="H2849">
        <f t="shared" si="133"/>
        <v>1</v>
      </c>
      <c r="I2849">
        <f t="shared" si="134"/>
        <v>0</v>
      </c>
      <c r="J2849">
        <f>IF(Table1[[#This Row],[Active_months]]&gt;=1, 1, 0)</f>
        <v>1</v>
      </c>
    </row>
    <row r="2850" spans="1:10" x14ac:dyDescent="0.3">
      <c r="A2850">
        <v>191034251</v>
      </c>
      <c r="B2850" s="1">
        <v>45152</v>
      </c>
      <c r="D2850">
        <v>39</v>
      </c>
      <c r="E2850" t="s">
        <v>6</v>
      </c>
      <c r="F2850" t="s">
        <v>7</v>
      </c>
      <c r="G2850" s="1">
        <f t="shared" si="132"/>
        <v>45199</v>
      </c>
      <c r="H2850">
        <f t="shared" si="133"/>
        <v>1</v>
      </c>
      <c r="I2850">
        <f t="shared" si="134"/>
        <v>0</v>
      </c>
      <c r="J2850">
        <f>IF(Table1[[#This Row],[Active_months]]&gt;=1, 1, 0)</f>
        <v>1</v>
      </c>
    </row>
    <row r="2851" spans="1:10" x14ac:dyDescent="0.3">
      <c r="A2851">
        <v>220023196</v>
      </c>
      <c r="B2851" s="1">
        <v>45152</v>
      </c>
      <c r="D2851">
        <v>39</v>
      </c>
      <c r="E2851" t="s">
        <v>6</v>
      </c>
      <c r="F2851" t="s">
        <v>7</v>
      </c>
      <c r="G2851" s="1">
        <f t="shared" si="132"/>
        <v>45199</v>
      </c>
      <c r="H2851">
        <f t="shared" si="133"/>
        <v>1</v>
      </c>
      <c r="I2851">
        <f t="shared" si="134"/>
        <v>0</v>
      </c>
      <c r="J2851">
        <f>IF(Table1[[#This Row],[Active_months]]&gt;=1, 1, 0)</f>
        <v>1</v>
      </c>
    </row>
    <row r="2852" spans="1:10" x14ac:dyDescent="0.3">
      <c r="A2852">
        <v>220028812</v>
      </c>
      <c r="B2852" s="1">
        <v>45152</v>
      </c>
      <c r="D2852">
        <v>39</v>
      </c>
      <c r="E2852" t="s">
        <v>6</v>
      </c>
      <c r="F2852" t="s">
        <v>7</v>
      </c>
      <c r="G2852" s="1">
        <f t="shared" si="132"/>
        <v>45199</v>
      </c>
      <c r="H2852">
        <f t="shared" si="133"/>
        <v>1</v>
      </c>
      <c r="I2852">
        <f t="shared" si="134"/>
        <v>0</v>
      </c>
      <c r="J2852">
        <f>IF(Table1[[#This Row],[Active_months]]&gt;=1, 1, 0)</f>
        <v>1</v>
      </c>
    </row>
    <row r="2853" spans="1:10" x14ac:dyDescent="0.3">
      <c r="A2853">
        <v>195988242</v>
      </c>
      <c r="B2853" s="1">
        <v>45152</v>
      </c>
      <c r="D2853">
        <v>39</v>
      </c>
      <c r="E2853" t="s">
        <v>6</v>
      </c>
      <c r="F2853" t="s">
        <v>7</v>
      </c>
      <c r="G2853" s="1">
        <f t="shared" si="132"/>
        <v>45199</v>
      </c>
      <c r="H2853">
        <f t="shared" si="133"/>
        <v>1</v>
      </c>
      <c r="I2853">
        <f t="shared" si="134"/>
        <v>0</v>
      </c>
      <c r="J2853">
        <f>IF(Table1[[#This Row],[Active_months]]&gt;=1, 1, 0)</f>
        <v>1</v>
      </c>
    </row>
    <row r="2854" spans="1:10" x14ac:dyDescent="0.3">
      <c r="A2854">
        <v>151633468</v>
      </c>
      <c r="B2854" s="1">
        <v>45152</v>
      </c>
      <c r="D2854">
        <v>39</v>
      </c>
      <c r="E2854" t="s">
        <v>6</v>
      </c>
      <c r="F2854" t="s">
        <v>7</v>
      </c>
      <c r="G2854" s="1">
        <f t="shared" si="132"/>
        <v>45199</v>
      </c>
      <c r="H2854">
        <f t="shared" si="133"/>
        <v>1</v>
      </c>
      <c r="I2854">
        <f t="shared" si="134"/>
        <v>0</v>
      </c>
      <c r="J2854">
        <f>IF(Table1[[#This Row],[Active_months]]&gt;=1, 1, 0)</f>
        <v>1</v>
      </c>
    </row>
    <row r="2855" spans="1:10" x14ac:dyDescent="0.3">
      <c r="A2855">
        <v>220012044</v>
      </c>
      <c r="B2855" s="1">
        <v>45152</v>
      </c>
      <c r="D2855">
        <v>39</v>
      </c>
      <c r="E2855" t="s">
        <v>6</v>
      </c>
      <c r="F2855" t="s">
        <v>7</v>
      </c>
      <c r="G2855" s="1">
        <f t="shared" si="132"/>
        <v>45199</v>
      </c>
      <c r="H2855">
        <f t="shared" si="133"/>
        <v>1</v>
      </c>
      <c r="I2855">
        <f t="shared" si="134"/>
        <v>0</v>
      </c>
      <c r="J2855">
        <f>IF(Table1[[#This Row],[Active_months]]&gt;=1, 1, 0)</f>
        <v>1</v>
      </c>
    </row>
    <row r="2856" spans="1:10" x14ac:dyDescent="0.3">
      <c r="A2856">
        <v>219981231</v>
      </c>
      <c r="B2856" s="1">
        <v>45152</v>
      </c>
      <c r="D2856">
        <v>39</v>
      </c>
      <c r="E2856" t="s">
        <v>6</v>
      </c>
      <c r="F2856" t="s">
        <v>7</v>
      </c>
      <c r="G2856" s="1">
        <f t="shared" si="132"/>
        <v>45199</v>
      </c>
      <c r="H2856">
        <f t="shared" si="133"/>
        <v>1</v>
      </c>
      <c r="I2856">
        <f t="shared" si="134"/>
        <v>0</v>
      </c>
      <c r="J2856">
        <f>IF(Table1[[#This Row],[Active_months]]&gt;=1, 1, 0)</f>
        <v>1</v>
      </c>
    </row>
    <row r="2857" spans="1:10" x14ac:dyDescent="0.3">
      <c r="A2857">
        <v>169692209</v>
      </c>
      <c r="B2857" s="1">
        <v>45152</v>
      </c>
      <c r="D2857">
        <v>39</v>
      </c>
      <c r="E2857" t="s">
        <v>6</v>
      </c>
      <c r="F2857" t="s">
        <v>7</v>
      </c>
      <c r="G2857" s="1">
        <f t="shared" si="132"/>
        <v>45199</v>
      </c>
      <c r="H2857">
        <f t="shared" si="133"/>
        <v>1</v>
      </c>
      <c r="I2857">
        <f t="shared" si="134"/>
        <v>0</v>
      </c>
      <c r="J2857">
        <f>IF(Table1[[#This Row],[Active_months]]&gt;=1, 1, 0)</f>
        <v>1</v>
      </c>
    </row>
    <row r="2858" spans="1:10" x14ac:dyDescent="0.3">
      <c r="A2858">
        <v>116156335</v>
      </c>
      <c r="B2858" s="1">
        <v>45152</v>
      </c>
      <c r="D2858">
        <v>39</v>
      </c>
      <c r="E2858" t="s">
        <v>6</v>
      </c>
      <c r="F2858" t="s">
        <v>7</v>
      </c>
      <c r="G2858" s="1">
        <f t="shared" si="132"/>
        <v>45199</v>
      </c>
      <c r="H2858">
        <f t="shared" si="133"/>
        <v>1</v>
      </c>
      <c r="I2858">
        <f t="shared" si="134"/>
        <v>0</v>
      </c>
      <c r="J2858">
        <f>IF(Table1[[#This Row],[Active_months]]&gt;=1, 1, 0)</f>
        <v>1</v>
      </c>
    </row>
    <row r="2859" spans="1:10" x14ac:dyDescent="0.3">
      <c r="A2859">
        <v>153393340</v>
      </c>
      <c r="B2859" s="1">
        <v>45152</v>
      </c>
      <c r="D2859">
        <v>39</v>
      </c>
      <c r="E2859" t="s">
        <v>6</v>
      </c>
      <c r="F2859" t="s">
        <v>7</v>
      </c>
      <c r="G2859" s="1">
        <f t="shared" si="132"/>
        <v>45199</v>
      </c>
      <c r="H2859">
        <f t="shared" si="133"/>
        <v>1</v>
      </c>
      <c r="I2859">
        <f t="shared" si="134"/>
        <v>0</v>
      </c>
      <c r="J2859">
        <f>IF(Table1[[#This Row],[Active_months]]&gt;=1, 1, 0)</f>
        <v>1</v>
      </c>
    </row>
    <row r="2860" spans="1:10" x14ac:dyDescent="0.3">
      <c r="A2860">
        <v>219974920</v>
      </c>
      <c r="B2860" s="1">
        <v>45152</v>
      </c>
      <c r="D2860">
        <v>39</v>
      </c>
      <c r="E2860" t="s">
        <v>6</v>
      </c>
      <c r="F2860" t="s">
        <v>7</v>
      </c>
      <c r="G2860" s="1">
        <f t="shared" si="132"/>
        <v>45199</v>
      </c>
      <c r="H2860">
        <f t="shared" si="133"/>
        <v>1</v>
      </c>
      <c r="I2860">
        <f t="shared" si="134"/>
        <v>0</v>
      </c>
      <c r="J2860">
        <f>IF(Table1[[#This Row],[Active_months]]&gt;=1, 1, 0)</f>
        <v>1</v>
      </c>
    </row>
    <row r="2861" spans="1:10" x14ac:dyDescent="0.3">
      <c r="A2861">
        <v>121253113</v>
      </c>
      <c r="B2861" s="1">
        <v>45152</v>
      </c>
      <c r="C2861" s="1">
        <v>45154</v>
      </c>
      <c r="D2861">
        <v>39</v>
      </c>
      <c r="E2861" t="s">
        <v>6</v>
      </c>
      <c r="F2861" t="s">
        <v>7</v>
      </c>
      <c r="G2861" s="1">
        <f t="shared" si="132"/>
        <v>45154</v>
      </c>
      <c r="H2861">
        <f t="shared" si="133"/>
        <v>0</v>
      </c>
      <c r="I2861">
        <f t="shared" si="134"/>
        <v>0</v>
      </c>
      <c r="J2861">
        <f>IF(Table1[[#This Row],[Active_months]]&gt;=1, 1, 0)</f>
        <v>0</v>
      </c>
    </row>
    <row r="2862" spans="1:10" x14ac:dyDescent="0.3">
      <c r="A2862">
        <v>219690296</v>
      </c>
      <c r="B2862" s="1">
        <v>45153</v>
      </c>
      <c r="D2862">
        <v>39</v>
      </c>
      <c r="E2862" t="s">
        <v>6</v>
      </c>
      <c r="F2862" t="s">
        <v>7</v>
      </c>
      <c r="G2862" s="1">
        <f t="shared" si="132"/>
        <v>45199</v>
      </c>
      <c r="H2862">
        <f t="shared" si="133"/>
        <v>1</v>
      </c>
      <c r="I2862">
        <f t="shared" si="134"/>
        <v>0</v>
      </c>
      <c r="J2862">
        <f>IF(Table1[[#This Row],[Active_months]]&gt;=1, 1, 0)</f>
        <v>1</v>
      </c>
    </row>
    <row r="2863" spans="1:10" x14ac:dyDescent="0.3">
      <c r="A2863">
        <v>187268085</v>
      </c>
      <c r="B2863" s="1">
        <v>45153</v>
      </c>
      <c r="D2863">
        <v>39</v>
      </c>
      <c r="E2863" t="s">
        <v>6</v>
      </c>
      <c r="F2863" t="s">
        <v>7</v>
      </c>
      <c r="G2863" s="1">
        <f t="shared" si="132"/>
        <v>45199</v>
      </c>
      <c r="H2863">
        <f t="shared" si="133"/>
        <v>1</v>
      </c>
      <c r="I2863">
        <f t="shared" si="134"/>
        <v>0</v>
      </c>
      <c r="J2863">
        <f>IF(Table1[[#This Row],[Active_months]]&gt;=1, 1, 0)</f>
        <v>1</v>
      </c>
    </row>
    <row r="2864" spans="1:10" x14ac:dyDescent="0.3">
      <c r="A2864">
        <v>150623785</v>
      </c>
      <c r="B2864" s="1">
        <v>45153</v>
      </c>
      <c r="D2864">
        <v>39</v>
      </c>
      <c r="E2864" t="s">
        <v>6</v>
      </c>
      <c r="F2864" t="s">
        <v>7</v>
      </c>
      <c r="G2864" s="1">
        <f t="shared" si="132"/>
        <v>45199</v>
      </c>
      <c r="H2864">
        <f t="shared" si="133"/>
        <v>1</v>
      </c>
      <c r="I2864">
        <f t="shared" si="134"/>
        <v>0</v>
      </c>
      <c r="J2864">
        <f>IF(Table1[[#This Row],[Active_months]]&gt;=1, 1, 0)</f>
        <v>1</v>
      </c>
    </row>
    <row r="2865" spans="1:10" x14ac:dyDescent="0.3">
      <c r="A2865">
        <v>220056524</v>
      </c>
      <c r="B2865" s="1">
        <v>45153</v>
      </c>
      <c r="C2865" s="1">
        <v>45154</v>
      </c>
      <c r="D2865">
        <v>39</v>
      </c>
      <c r="E2865" t="s">
        <v>6</v>
      </c>
      <c r="F2865" t="s">
        <v>8</v>
      </c>
      <c r="G2865" s="1">
        <f t="shared" si="132"/>
        <v>45154</v>
      </c>
      <c r="H2865">
        <f t="shared" si="133"/>
        <v>0</v>
      </c>
      <c r="I2865">
        <f t="shared" si="134"/>
        <v>0</v>
      </c>
      <c r="J2865">
        <f>IF(Table1[[#This Row],[Active_months]]&gt;=1, 1, 0)</f>
        <v>0</v>
      </c>
    </row>
    <row r="2866" spans="1:10" x14ac:dyDescent="0.3">
      <c r="A2866">
        <v>208188866</v>
      </c>
      <c r="B2866" s="1">
        <v>45154</v>
      </c>
      <c r="D2866">
        <v>39</v>
      </c>
      <c r="E2866" t="s">
        <v>6</v>
      </c>
      <c r="F2866" t="s">
        <v>7</v>
      </c>
      <c r="G2866" s="1">
        <f t="shared" si="132"/>
        <v>45199</v>
      </c>
      <c r="H2866">
        <f t="shared" si="133"/>
        <v>1</v>
      </c>
      <c r="I2866">
        <f t="shared" si="134"/>
        <v>0</v>
      </c>
      <c r="J2866">
        <f>IF(Table1[[#This Row],[Active_months]]&gt;=1, 1, 0)</f>
        <v>1</v>
      </c>
    </row>
    <row r="2867" spans="1:10" x14ac:dyDescent="0.3">
      <c r="A2867">
        <v>219081046</v>
      </c>
      <c r="B2867" s="1">
        <v>45154</v>
      </c>
      <c r="D2867">
        <v>39</v>
      </c>
      <c r="E2867" t="s">
        <v>6</v>
      </c>
      <c r="F2867" t="s">
        <v>7</v>
      </c>
      <c r="G2867" s="1">
        <f t="shared" si="132"/>
        <v>45199</v>
      </c>
      <c r="H2867">
        <f t="shared" si="133"/>
        <v>1</v>
      </c>
      <c r="I2867">
        <f t="shared" si="134"/>
        <v>0</v>
      </c>
      <c r="J2867">
        <f>IF(Table1[[#This Row],[Active_months]]&gt;=1, 1, 0)</f>
        <v>1</v>
      </c>
    </row>
    <row r="2868" spans="1:10" x14ac:dyDescent="0.3">
      <c r="A2868">
        <v>219569143</v>
      </c>
      <c r="B2868" s="1">
        <v>45154</v>
      </c>
      <c r="D2868">
        <v>39</v>
      </c>
      <c r="E2868" t="s">
        <v>6</v>
      </c>
      <c r="F2868" t="s">
        <v>7</v>
      </c>
      <c r="G2868" s="1">
        <f t="shared" si="132"/>
        <v>45199</v>
      </c>
      <c r="H2868">
        <f t="shared" si="133"/>
        <v>1</v>
      </c>
      <c r="I2868">
        <f t="shared" si="134"/>
        <v>0</v>
      </c>
      <c r="J2868">
        <f>IF(Table1[[#This Row],[Active_months]]&gt;=1, 1, 0)</f>
        <v>1</v>
      </c>
    </row>
    <row r="2869" spans="1:10" x14ac:dyDescent="0.3">
      <c r="A2869">
        <v>219653068</v>
      </c>
      <c r="B2869" s="1">
        <v>45154</v>
      </c>
      <c r="D2869">
        <v>39</v>
      </c>
      <c r="E2869" t="s">
        <v>6</v>
      </c>
      <c r="F2869" t="s">
        <v>7</v>
      </c>
      <c r="G2869" s="1">
        <f t="shared" si="132"/>
        <v>45199</v>
      </c>
      <c r="H2869">
        <f t="shared" si="133"/>
        <v>1</v>
      </c>
      <c r="I2869">
        <f t="shared" si="134"/>
        <v>0</v>
      </c>
      <c r="J2869">
        <f>IF(Table1[[#This Row],[Active_months]]&gt;=1, 1, 0)</f>
        <v>1</v>
      </c>
    </row>
    <row r="2870" spans="1:10" x14ac:dyDescent="0.3">
      <c r="A2870">
        <v>220120740</v>
      </c>
      <c r="B2870" s="1">
        <v>45154</v>
      </c>
      <c r="D2870">
        <v>39</v>
      </c>
      <c r="E2870" t="s">
        <v>6</v>
      </c>
      <c r="F2870" t="s">
        <v>7</v>
      </c>
      <c r="G2870" s="1">
        <f t="shared" si="132"/>
        <v>45199</v>
      </c>
      <c r="H2870">
        <f t="shared" si="133"/>
        <v>1</v>
      </c>
      <c r="I2870">
        <f t="shared" si="134"/>
        <v>0</v>
      </c>
      <c r="J2870">
        <f>IF(Table1[[#This Row],[Active_months]]&gt;=1, 1, 0)</f>
        <v>1</v>
      </c>
    </row>
    <row r="2871" spans="1:10" x14ac:dyDescent="0.3">
      <c r="A2871">
        <v>186200901</v>
      </c>
      <c r="B2871" s="1">
        <v>45154</v>
      </c>
      <c r="D2871">
        <v>39</v>
      </c>
      <c r="E2871" t="s">
        <v>6</v>
      </c>
      <c r="F2871" t="s">
        <v>7</v>
      </c>
      <c r="G2871" s="1">
        <f t="shared" si="132"/>
        <v>45199</v>
      </c>
      <c r="H2871">
        <f t="shared" si="133"/>
        <v>1</v>
      </c>
      <c r="I2871">
        <f t="shared" si="134"/>
        <v>0</v>
      </c>
      <c r="J2871">
        <f>IF(Table1[[#This Row],[Active_months]]&gt;=1, 1, 0)</f>
        <v>1</v>
      </c>
    </row>
    <row r="2872" spans="1:10" x14ac:dyDescent="0.3">
      <c r="A2872">
        <v>220116966</v>
      </c>
      <c r="B2872" s="1">
        <v>45154</v>
      </c>
      <c r="D2872">
        <v>39</v>
      </c>
      <c r="E2872" t="s">
        <v>6</v>
      </c>
      <c r="F2872" t="s">
        <v>7</v>
      </c>
      <c r="G2872" s="1">
        <f t="shared" si="132"/>
        <v>45199</v>
      </c>
      <c r="H2872">
        <f t="shared" si="133"/>
        <v>1</v>
      </c>
      <c r="I2872">
        <f t="shared" si="134"/>
        <v>0</v>
      </c>
      <c r="J2872">
        <f>IF(Table1[[#This Row],[Active_months]]&gt;=1, 1, 0)</f>
        <v>1</v>
      </c>
    </row>
    <row r="2873" spans="1:10" x14ac:dyDescent="0.3">
      <c r="A2873">
        <v>219876215</v>
      </c>
      <c r="B2873" s="1">
        <v>45154</v>
      </c>
      <c r="D2873">
        <v>39</v>
      </c>
      <c r="E2873" t="s">
        <v>6</v>
      </c>
      <c r="F2873" t="s">
        <v>7</v>
      </c>
      <c r="G2873" s="1">
        <f t="shared" si="132"/>
        <v>45199</v>
      </c>
      <c r="H2873">
        <f t="shared" si="133"/>
        <v>1</v>
      </c>
      <c r="I2873">
        <f t="shared" si="134"/>
        <v>0</v>
      </c>
      <c r="J2873">
        <f>IF(Table1[[#This Row],[Active_months]]&gt;=1, 1, 0)</f>
        <v>1</v>
      </c>
    </row>
    <row r="2874" spans="1:10" x14ac:dyDescent="0.3">
      <c r="A2874">
        <v>219996796</v>
      </c>
      <c r="B2874" s="1">
        <v>45154</v>
      </c>
      <c r="D2874">
        <v>39</v>
      </c>
      <c r="E2874" t="s">
        <v>6</v>
      </c>
      <c r="F2874" t="s">
        <v>7</v>
      </c>
      <c r="G2874" s="1">
        <f t="shared" si="132"/>
        <v>45199</v>
      </c>
      <c r="H2874">
        <f t="shared" si="133"/>
        <v>1</v>
      </c>
      <c r="I2874">
        <f t="shared" si="134"/>
        <v>0</v>
      </c>
      <c r="J2874">
        <f>IF(Table1[[#This Row],[Active_months]]&gt;=1, 1, 0)</f>
        <v>1</v>
      </c>
    </row>
    <row r="2875" spans="1:10" x14ac:dyDescent="0.3">
      <c r="A2875">
        <v>218296652</v>
      </c>
      <c r="B2875" s="1">
        <v>45154</v>
      </c>
      <c r="D2875">
        <v>39</v>
      </c>
      <c r="E2875" t="s">
        <v>6</v>
      </c>
      <c r="F2875" t="s">
        <v>7</v>
      </c>
      <c r="G2875" s="1">
        <f t="shared" si="132"/>
        <v>45199</v>
      </c>
      <c r="H2875">
        <f t="shared" si="133"/>
        <v>1</v>
      </c>
      <c r="I2875">
        <f t="shared" si="134"/>
        <v>0</v>
      </c>
      <c r="J2875">
        <f>IF(Table1[[#This Row],[Active_months]]&gt;=1, 1, 0)</f>
        <v>1</v>
      </c>
    </row>
    <row r="2876" spans="1:10" x14ac:dyDescent="0.3">
      <c r="A2876">
        <v>188748372</v>
      </c>
      <c r="B2876" s="1">
        <v>45154</v>
      </c>
      <c r="D2876">
        <v>39</v>
      </c>
      <c r="E2876" t="s">
        <v>6</v>
      </c>
      <c r="F2876" t="s">
        <v>7</v>
      </c>
      <c r="G2876" s="1">
        <f t="shared" si="132"/>
        <v>45199</v>
      </c>
      <c r="H2876">
        <f t="shared" si="133"/>
        <v>1</v>
      </c>
      <c r="I2876">
        <f t="shared" si="134"/>
        <v>0</v>
      </c>
      <c r="J2876">
        <f>IF(Table1[[#This Row],[Active_months]]&gt;=1, 1, 0)</f>
        <v>1</v>
      </c>
    </row>
    <row r="2877" spans="1:10" x14ac:dyDescent="0.3">
      <c r="A2877">
        <v>220080560</v>
      </c>
      <c r="B2877" s="1">
        <v>45154</v>
      </c>
      <c r="D2877">
        <v>39</v>
      </c>
      <c r="E2877" t="s">
        <v>6</v>
      </c>
      <c r="F2877" t="s">
        <v>7</v>
      </c>
      <c r="G2877" s="1">
        <f t="shared" si="132"/>
        <v>45199</v>
      </c>
      <c r="H2877">
        <f t="shared" si="133"/>
        <v>1</v>
      </c>
      <c r="I2877">
        <f t="shared" si="134"/>
        <v>0</v>
      </c>
      <c r="J2877">
        <f>IF(Table1[[#This Row],[Active_months]]&gt;=1, 1, 0)</f>
        <v>1</v>
      </c>
    </row>
    <row r="2878" spans="1:10" x14ac:dyDescent="0.3">
      <c r="A2878">
        <v>219899496</v>
      </c>
      <c r="B2878" s="1">
        <v>45155</v>
      </c>
      <c r="D2878">
        <v>39</v>
      </c>
      <c r="E2878" t="s">
        <v>6</v>
      </c>
      <c r="F2878" t="s">
        <v>7</v>
      </c>
      <c r="G2878" s="1">
        <f t="shared" si="132"/>
        <v>45199</v>
      </c>
      <c r="H2878">
        <f t="shared" si="133"/>
        <v>1</v>
      </c>
      <c r="I2878">
        <f t="shared" si="134"/>
        <v>0</v>
      </c>
      <c r="J2878">
        <f>IF(Table1[[#This Row],[Active_months]]&gt;=1, 1, 0)</f>
        <v>1</v>
      </c>
    </row>
    <row r="2879" spans="1:10" x14ac:dyDescent="0.3">
      <c r="A2879">
        <v>219000322</v>
      </c>
      <c r="B2879" s="1">
        <v>45155</v>
      </c>
      <c r="D2879">
        <v>39</v>
      </c>
      <c r="E2879" t="s">
        <v>6</v>
      </c>
      <c r="F2879" t="s">
        <v>7</v>
      </c>
      <c r="G2879" s="1">
        <f t="shared" si="132"/>
        <v>45199</v>
      </c>
      <c r="H2879">
        <f t="shared" si="133"/>
        <v>1</v>
      </c>
      <c r="I2879">
        <f t="shared" si="134"/>
        <v>0</v>
      </c>
      <c r="J2879">
        <f>IF(Table1[[#This Row],[Active_months]]&gt;=1, 1, 0)</f>
        <v>1</v>
      </c>
    </row>
    <row r="2880" spans="1:10" x14ac:dyDescent="0.3">
      <c r="A2880">
        <v>220181992</v>
      </c>
      <c r="B2880" s="1">
        <v>45155</v>
      </c>
      <c r="D2880">
        <v>39</v>
      </c>
      <c r="E2880" t="s">
        <v>6</v>
      </c>
      <c r="F2880" t="s">
        <v>7</v>
      </c>
      <c r="G2880" s="1">
        <f t="shared" si="132"/>
        <v>45199</v>
      </c>
      <c r="H2880">
        <f t="shared" si="133"/>
        <v>1</v>
      </c>
      <c r="I2880">
        <f t="shared" si="134"/>
        <v>0</v>
      </c>
      <c r="J2880">
        <f>IF(Table1[[#This Row],[Active_months]]&gt;=1, 1, 0)</f>
        <v>1</v>
      </c>
    </row>
    <row r="2881" spans="1:10" x14ac:dyDescent="0.3">
      <c r="A2881">
        <v>220196419</v>
      </c>
      <c r="B2881" s="1">
        <v>45155</v>
      </c>
      <c r="D2881">
        <v>39</v>
      </c>
      <c r="E2881" t="s">
        <v>6</v>
      </c>
      <c r="F2881" t="s">
        <v>7</v>
      </c>
      <c r="G2881" s="1">
        <f t="shared" si="132"/>
        <v>45199</v>
      </c>
      <c r="H2881">
        <f t="shared" si="133"/>
        <v>1</v>
      </c>
      <c r="I2881">
        <f t="shared" si="134"/>
        <v>0</v>
      </c>
      <c r="J2881">
        <f>IF(Table1[[#This Row],[Active_months]]&gt;=1, 1, 0)</f>
        <v>1</v>
      </c>
    </row>
    <row r="2882" spans="1:10" x14ac:dyDescent="0.3">
      <c r="A2882">
        <v>220155197</v>
      </c>
      <c r="B2882" s="1">
        <v>45155</v>
      </c>
      <c r="D2882">
        <v>39</v>
      </c>
      <c r="E2882" t="s">
        <v>6</v>
      </c>
      <c r="F2882" t="s">
        <v>7</v>
      </c>
      <c r="G2882" s="1">
        <f t="shared" si="132"/>
        <v>45199</v>
      </c>
      <c r="H2882">
        <f t="shared" si="133"/>
        <v>1</v>
      </c>
      <c r="I2882">
        <f t="shared" si="134"/>
        <v>0</v>
      </c>
      <c r="J2882">
        <f>IF(Table1[[#This Row],[Active_months]]&gt;=1, 1, 0)</f>
        <v>1</v>
      </c>
    </row>
    <row r="2883" spans="1:10" x14ac:dyDescent="0.3">
      <c r="A2883">
        <v>220144619</v>
      </c>
      <c r="B2883" s="1">
        <v>45155</v>
      </c>
      <c r="D2883">
        <v>39</v>
      </c>
      <c r="E2883" t="s">
        <v>6</v>
      </c>
      <c r="F2883" t="s">
        <v>7</v>
      </c>
      <c r="G2883" s="1">
        <f t="shared" ref="G2883:G2946" si="135">IF(ISBLANK(C2883), DATE(2023,9,30), C2883)</f>
        <v>45199</v>
      </c>
      <c r="H2883">
        <f t="shared" ref="H2883:H2946" si="136">(YEAR(G2883)-YEAR(B2883))*12 + (MONTH(G2883)-MONTH(B2883))</f>
        <v>1</v>
      </c>
      <c r="I2883">
        <f t="shared" ref="I2883:I2946" si="137">IF(H2883 &gt;=5, 1, 0)</f>
        <v>0</v>
      </c>
      <c r="J2883">
        <f>IF(Table1[[#This Row],[Active_months]]&gt;=1, 1, 0)</f>
        <v>1</v>
      </c>
    </row>
    <row r="2884" spans="1:10" x14ac:dyDescent="0.3">
      <c r="A2884">
        <v>220184550</v>
      </c>
      <c r="B2884" s="1">
        <v>45155</v>
      </c>
      <c r="D2884">
        <v>39</v>
      </c>
      <c r="E2884" t="s">
        <v>6</v>
      </c>
      <c r="F2884" t="s">
        <v>7</v>
      </c>
      <c r="G2884" s="1">
        <f t="shared" si="135"/>
        <v>45199</v>
      </c>
      <c r="H2884">
        <f t="shared" si="136"/>
        <v>1</v>
      </c>
      <c r="I2884">
        <f t="shared" si="137"/>
        <v>0</v>
      </c>
      <c r="J2884">
        <f>IF(Table1[[#This Row],[Active_months]]&gt;=1, 1, 0)</f>
        <v>1</v>
      </c>
    </row>
    <row r="2885" spans="1:10" x14ac:dyDescent="0.3">
      <c r="A2885">
        <v>152209352</v>
      </c>
      <c r="B2885" s="1">
        <v>45155</v>
      </c>
      <c r="D2885">
        <v>39</v>
      </c>
      <c r="E2885" t="s">
        <v>6</v>
      </c>
      <c r="F2885" t="s">
        <v>7</v>
      </c>
      <c r="G2885" s="1">
        <f t="shared" si="135"/>
        <v>45199</v>
      </c>
      <c r="H2885">
        <f t="shared" si="136"/>
        <v>1</v>
      </c>
      <c r="I2885">
        <f t="shared" si="137"/>
        <v>0</v>
      </c>
      <c r="J2885">
        <f>IF(Table1[[#This Row],[Active_months]]&gt;=1, 1, 0)</f>
        <v>1</v>
      </c>
    </row>
    <row r="2886" spans="1:10" x14ac:dyDescent="0.3">
      <c r="A2886">
        <v>146952862</v>
      </c>
      <c r="B2886" s="1">
        <v>45155</v>
      </c>
      <c r="D2886">
        <v>39</v>
      </c>
      <c r="E2886" t="s">
        <v>6</v>
      </c>
      <c r="F2886" t="s">
        <v>7</v>
      </c>
      <c r="G2886" s="1">
        <f t="shared" si="135"/>
        <v>45199</v>
      </c>
      <c r="H2886">
        <f t="shared" si="136"/>
        <v>1</v>
      </c>
      <c r="I2886">
        <f t="shared" si="137"/>
        <v>0</v>
      </c>
      <c r="J2886">
        <f>IF(Table1[[#This Row],[Active_months]]&gt;=1, 1, 0)</f>
        <v>1</v>
      </c>
    </row>
    <row r="2887" spans="1:10" x14ac:dyDescent="0.3">
      <c r="A2887">
        <v>220178530</v>
      </c>
      <c r="B2887" s="1">
        <v>45155</v>
      </c>
      <c r="D2887">
        <v>39</v>
      </c>
      <c r="E2887" t="s">
        <v>6</v>
      </c>
      <c r="F2887" t="s">
        <v>7</v>
      </c>
      <c r="G2887" s="1">
        <f t="shared" si="135"/>
        <v>45199</v>
      </c>
      <c r="H2887">
        <f t="shared" si="136"/>
        <v>1</v>
      </c>
      <c r="I2887">
        <f t="shared" si="137"/>
        <v>0</v>
      </c>
      <c r="J2887">
        <f>IF(Table1[[#This Row],[Active_months]]&gt;=1, 1, 0)</f>
        <v>1</v>
      </c>
    </row>
    <row r="2888" spans="1:10" x14ac:dyDescent="0.3">
      <c r="A2888">
        <v>219498470</v>
      </c>
      <c r="B2888" s="1">
        <v>45155</v>
      </c>
      <c r="D2888">
        <v>39</v>
      </c>
      <c r="E2888" t="s">
        <v>6</v>
      </c>
      <c r="F2888" t="s">
        <v>7</v>
      </c>
      <c r="G2888" s="1">
        <f t="shared" si="135"/>
        <v>45199</v>
      </c>
      <c r="H2888">
        <f t="shared" si="136"/>
        <v>1</v>
      </c>
      <c r="I2888">
        <f t="shared" si="137"/>
        <v>0</v>
      </c>
      <c r="J2888">
        <f>IF(Table1[[#This Row],[Active_months]]&gt;=1, 1, 0)</f>
        <v>1</v>
      </c>
    </row>
    <row r="2889" spans="1:10" x14ac:dyDescent="0.3">
      <c r="A2889">
        <v>216622895</v>
      </c>
      <c r="B2889" s="1">
        <v>45155</v>
      </c>
      <c r="D2889">
        <v>39</v>
      </c>
      <c r="E2889" t="s">
        <v>6</v>
      </c>
      <c r="F2889" t="s">
        <v>7</v>
      </c>
      <c r="G2889" s="1">
        <f t="shared" si="135"/>
        <v>45199</v>
      </c>
      <c r="H2889">
        <f t="shared" si="136"/>
        <v>1</v>
      </c>
      <c r="I2889">
        <f t="shared" si="137"/>
        <v>0</v>
      </c>
      <c r="J2889">
        <f>IF(Table1[[#This Row],[Active_months]]&gt;=1, 1, 0)</f>
        <v>1</v>
      </c>
    </row>
    <row r="2890" spans="1:10" x14ac:dyDescent="0.3">
      <c r="A2890">
        <v>153705354</v>
      </c>
      <c r="B2890" s="1">
        <v>45155</v>
      </c>
      <c r="C2890" s="1">
        <v>45155</v>
      </c>
      <c r="D2890">
        <v>39</v>
      </c>
      <c r="E2890" t="s">
        <v>6</v>
      </c>
      <c r="F2890" t="s">
        <v>7</v>
      </c>
      <c r="G2890" s="1">
        <f t="shared" si="135"/>
        <v>45155</v>
      </c>
      <c r="H2890">
        <f t="shared" si="136"/>
        <v>0</v>
      </c>
      <c r="I2890">
        <f t="shared" si="137"/>
        <v>0</v>
      </c>
      <c r="J2890">
        <f>IF(Table1[[#This Row],[Active_months]]&gt;=1, 1, 0)</f>
        <v>0</v>
      </c>
    </row>
    <row r="2891" spans="1:10" x14ac:dyDescent="0.3">
      <c r="A2891">
        <v>219280628</v>
      </c>
      <c r="B2891" s="1">
        <v>45155</v>
      </c>
      <c r="C2891" s="1">
        <v>45156</v>
      </c>
      <c r="D2891">
        <v>39</v>
      </c>
      <c r="E2891" t="s">
        <v>6</v>
      </c>
      <c r="F2891" t="s">
        <v>8</v>
      </c>
      <c r="G2891" s="1">
        <f t="shared" si="135"/>
        <v>45156</v>
      </c>
      <c r="H2891">
        <f t="shared" si="136"/>
        <v>0</v>
      </c>
      <c r="I2891">
        <f t="shared" si="137"/>
        <v>0</v>
      </c>
      <c r="J2891">
        <f>IF(Table1[[#This Row],[Active_months]]&gt;=1, 1, 0)</f>
        <v>0</v>
      </c>
    </row>
    <row r="2892" spans="1:10" x14ac:dyDescent="0.3">
      <c r="A2892">
        <v>220171290</v>
      </c>
      <c r="B2892" s="1">
        <v>45156</v>
      </c>
      <c r="D2892">
        <v>39</v>
      </c>
      <c r="E2892" t="s">
        <v>6</v>
      </c>
      <c r="F2892" t="s">
        <v>7</v>
      </c>
      <c r="G2892" s="1">
        <f t="shared" si="135"/>
        <v>45199</v>
      </c>
      <c r="H2892">
        <f t="shared" si="136"/>
        <v>1</v>
      </c>
      <c r="I2892">
        <f t="shared" si="137"/>
        <v>0</v>
      </c>
      <c r="J2892">
        <f>IF(Table1[[#This Row],[Active_months]]&gt;=1, 1, 0)</f>
        <v>1</v>
      </c>
    </row>
    <row r="2893" spans="1:10" x14ac:dyDescent="0.3">
      <c r="A2893">
        <v>219553060</v>
      </c>
      <c r="B2893" s="1">
        <v>45156</v>
      </c>
      <c r="D2893">
        <v>39</v>
      </c>
      <c r="E2893" t="s">
        <v>6</v>
      </c>
      <c r="F2893" t="s">
        <v>7</v>
      </c>
      <c r="G2893" s="1">
        <f t="shared" si="135"/>
        <v>45199</v>
      </c>
      <c r="H2893">
        <f t="shared" si="136"/>
        <v>1</v>
      </c>
      <c r="I2893">
        <f t="shared" si="137"/>
        <v>0</v>
      </c>
      <c r="J2893">
        <f>IF(Table1[[#This Row],[Active_months]]&gt;=1, 1, 0)</f>
        <v>1</v>
      </c>
    </row>
    <row r="2894" spans="1:10" x14ac:dyDescent="0.3">
      <c r="A2894">
        <v>220244827</v>
      </c>
      <c r="B2894" s="1">
        <v>45156</v>
      </c>
      <c r="D2894">
        <v>39</v>
      </c>
      <c r="E2894" t="s">
        <v>6</v>
      </c>
      <c r="F2894" t="s">
        <v>7</v>
      </c>
      <c r="G2894" s="1">
        <f t="shared" si="135"/>
        <v>45199</v>
      </c>
      <c r="H2894">
        <f t="shared" si="136"/>
        <v>1</v>
      </c>
      <c r="I2894">
        <f t="shared" si="137"/>
        <v>0</v>
      </c>
      <c r="J2894">
        <f>IF(Table1[[#This Row],[Active_months]]&gt;=1, 1, 0)</f>
        <v>1</v>
      </c>
    </row>
    <row r="2895" spans="1:10" x14ac:dyDescent="0.3">
      <c r="A2895">
        <v>219612883</v>
      </c>
      <c r="B2895" s="1">
        <v>45156</v>
      </c>
      <c r="D2895">
        <v>39</v>
      </c>
      <c r="E2895" t="s">
        <v>6</v>
      </c>
      <c r="F2895" t="s">
        <v>7</v>
      </c>
      <c r="G2895" s="1">
        <f t="shared" si="135"/>
        <v>45199</v>
      </c>
      <c r="H2895">
        <f t="shared" si="136"/>
        <v>1</v>
      </c>
      <c r="I2895">
        <f t="shared" si="137"/>
        <v>0</v>
      </c>
      <c r="J2895">
        <f>IF(Table1[[#This Row],[Active_months]]&gt;=1, 1, 0)</f>
        <v>1</v>
      </c>
    </row>
    <row r="2896" spans="1:10" x14ac:dyDescent="0.3">
      <c r="A2896">
        <v>217914279</v>
      </c>
      <c r="B2896" s="1">
        <v>45156</v>
      </c>
      <c r="D2896">
        <v>39</v>
      </c>
      <c r="E2896" t="s">
        <v>6</v>
      </c>
      <c r="F2896" t="s">
        <v>7</v>
      </c>
      <c r="G2896" s="1">
        <f t="shared" si="135"/>
        <v>45199</v>
      </c>
      <c r="H2896">
        <f t="shared" si="136"/>
        <v>1</v>
      </c>
      <c r="I2896">
        <f t="shared" si="137"/>
        <v>0</v>
      </c>
      <c r="J2896">
        <f>IF(Table1[[#This Row],[Active_months]]&gt;=1, 1, 0)</f>
        <v>1</v>
      </c>
    </row>
    <row r="2897" spans="1:10" x14ac:dyDescent="0.3">
      <c r="A2897">
        <v>220171851</v>
      </c>
      <c r="B2897" s="1">
        <v>45156</v>
      </c>
      <c r="D2897">
        <v>39</v>
      </c>
      <c r="E2897" t="s">
        <v>6</v>
      </c>
      <c r="F2897" t="s">
        <v>7</v>
      </c>
      <c r="G2897" s="1">
        <f t="shared" si="135"/>
        <v>45199</v>
      </c>
      <c r="H2897">
        <f t="shared" si="136"/>
        <v>1</v>
      </c>
      <c r="I2897">
        <f t="shared" si="137"/>
        <v>0</v>
      </c>
      <c r="J2897">
        <f>IF(Table1[[#This Row],[Active_months]]&gt;=1, 1, 0)</f>
        <v>1</v>
      </c>
    </row>
    <row r="2898" spans="1:10" x14ac:dyDescent="0.3">
      <c r="A2898">
        <v>217543308</v>
      </c>
      <c r="B2898" s="1">
        <v>45156</v>
      </c>
      <c r="D2898">
        <v>39</v>
      </c>
      <c r="E2898" t="s">
        <v>6</v>
      </c>
      <c r="F2898" t="s">
        <v>7</v>
      </c>
      <c r="G2898" s="1">
        <f t="shared" si="135"/>
        <v>45199</v>
      </c>
      <c r="H2898">
        <f t="shared" si="136"/>
        <v>1</v>
      </c>
      <c r="I2898">
        <f t="shared" si="137"/>
        <v>0</v>
      </c>
      <c r="J2898">
        <f>IF(Table1[[#This Row],[Active_months]]&gt;=1, 1, 0)</f>
        <v>1</v>
      </c>
    </row>
    <row r="2899" spans="1:10" x14ac:dyDescent="0.3">
      <c r="A2899">
        <v>157008330</v>
      </c>
      <c r="B2899" s="1">
        <v>45156</v>
      </c>
      <c r="C2899" s="1">
        <v>45156</v>
      </c>
      <c r="D2899">
        <v>39</v>
      </c>
      <c r="E2899" t="s">
        <v>6</v>
      </c>
      <c r="F2899" t="s">
        <v>7</v>
      </c>
      <c r="G2899" s="1">
        <f t="shared" si="135"/>
        <v>45156</v>
      </c>
      <c r="H2899">
        <f t="shared" si="136"/>
        <v>0</v>
      </c>
      <c r="I2899">
        <f t="shared" si="137"/>
        <v>0</v>
      </c>
      <c r="J2899">
        <f>IF(Table1[[#This Row],[Active_months]]&gt;=1, 1, 0)</f>
        <v>0</v>
      </c>
    </row>
    <row r="2900" spans="1:10" x14ac:dyDescent="0.3">
      <c r="A2900">
        <v>206063908</v>
      </c>
      <c r="B2900" s="1">
        <v>45156</v>
      </c>
      <c r="C2900" s="1">
        <v>45176</v>
      </c>
      <c r="D2900">
        <v>39</v>
      </c>
      <c r="E2900" t="s">
        <v>6</v>
      </c>
      <c r="F2900" t="s">
        <v>7</v>
      </c>
      <c r="G2900" s="1">
        <f t="shared" si="135"/>
        <v>45176</v>
      </c>
      <c r="H2900">
        <f t="shared" si="136"/>
        <v>1</v>
      </c>
      <c r="I2900">
        <f t="shared" si="137"/>
        <v>0</v>
      </c>
      <c r="J2900">
        <f>IF(Table1[[#This Row],[Active_months]]&gt;=1, 1, 0)</f>
        <v>1</v>
      </c>
    </row>
    <row r="2901" spans="1:10" x14ac:dyDescent="0.3">
      <c r="A2901">
        <v>220182716</v>
      </c>
      <c r="B2901" s="1">
        <v>45156</v>
      </c>
      <c r="C2901" s="1">
        <v>45157</v>
      </c>
      <c r="D2901">
        <v>39</v>
      </c>
      <c r="E2901" t="s">
        <v>6</v>
      </c>
      <c r="F2901" t="s">
        <v>8</v>
      </c>
      <c r="G2901" s="1">
        <f t="shared" si="135"/>
        <v>45157</v>
      </c>
      <c r="H2901">
        <f t="shared" si="136"/>
        <v>0</v>
      </c>
      <c r="I2901">
        <f t="shared" si="137"/>
        <v>0</v>
      </c>
      <c r="J2901">
        <f>IF(Table1[[#This Row],[Active_months]]&gt;=1, 1, 0)</f>
        <v>0</v>
      </c>
    </row>
    <row r="2902" spans="1:10" x14ac:dyDescent="0.3">
      <c r="A2902">
        <v>202103959</v>
      </c>
      <c r="B2902" s="1">
        <v>45157</v>
      </c>
      <c r="D2902">
        <v>39</v>
      </c>
      <c r="E2902" t="s">
        <v>6</v>
      </c>
      <c r="F2902" t="s">
        <v>7</v>
      </c>
      <c r="G2902" s="1">
        <f t="shared" si="135"/>
        <v>45199</v>
      </c>
      <c r="H2902">
        <f t="shared" si="136"/>
        <v>1</v>
      </c>
      <c r="I2902">
        <f t="shared" si="137"/>
        <v>0</v>
      </c>
      <c r="J2902">
        <f>IF(Table1[[#This Row],[Active_months]]&gt;=1, 1, 0)</f>
        <v>1</v>
      </c>
    </row>
    <row r="2903" spans="1:10" x14ac:dyDescent="0.3">
      <c r="A2903">
        <v>218757796</v>
      </c>
      <c r="B2903" s="1">
        <v>45157</v>
      </c>
      <c r="D2903">
        <v>39</v>
      </c>
      <c r="E2903" t="s">
        <v>6</v>
      </c>
      <c r="F2903" t="s">
        <v>7</v>
      </c>
      <c r="G2903" s="1">
        <f t="shared" si="135"/>
        <v>45199</v>
      </c>
      <c r="H2903">
        <f t="shared" si="136"/>
        <v>1</v>
      </c>
      <c r="I2903">
        <f t="shared" si="137"/>
        <v>0</v>
      </c>
      <c r="J2903">
        <f>IF(Table1[[#This Row],[Active_months]]&gt;=1, 1, 0)</f>
        <v>1</v>
      </c>
    </row>
    <row r="2904" spans="1:10" x14ac:dyDescent="0.3">
      <c r="A2904">
        <v>220272556</v>
      </c>
      <c r="B2904" s="1">
        <v>45157</v>
      </c>
      <c r="D2904">
        <v>39</v>
      </c>
      <c r="E2904" t="s">
        <v>6</v>
      </c>
      <c r="F2904" t="s">
        <v>7</v>
      </c>
      <c r="G2904" s="1">
        <f t="shared" si="135"/>
        <v>45199</v>
      </c>
      <c r="H2904">
        <f t="shared" si="136"/>
        <v>1</v>
      </c>
      <c r="I2904">
        <f t="shared" si="137"/>
        <v>0</v>
      </c>
      <c r="J2904">
        <f>IF(Table1[[#This Row],[Active_months]]&gt;=1, 1, 0)</f>
        <v>1</v>
      </c>
    </row>
    <row r="2905" spans="1:10" x14ac:dyDescent="0.3">
      <c r="A2905">
        <v>219493644</v>
      </c>
      <c r="B2905" s="1">
        <v>45157</v>
      </c>
      <c r="D2905">
        <v>39</v>
      </c>
      <c r="E2905" t="s">
        <v>6</v>
      </c>
      <c r="F2905" t="s">
        <v>7</v>
      </c>
      <c r="G2905" s="1">
        <f t="shared" si="135"/>
        <v>45199</v>
      </c>
      <c r="H2905">
        <f t="shared" si="136"/>
        <v>1</v>
      </c>
      <c r="I2905">
        <f t="shared" si="137"/>
        <v>0</v>
      </c>
      <c r="J2905">
        <f>IF(Table1[[#This Row],[Active_months]]&gt;=1, 1, 0)</f>
        <v>1</v>
      </c>
    </row>
    <row r="2906" spans="1:10" x14ac:dyDescent="0.3">
      <c r="A2906">
        <v>148996798</v>
      </c>
      <c r="B2906" s="1">
        <v>45157</v>
      </c>
      <c r="D2906">
        <v>39</v>
      </c>
      <c r="E2906" t="s">
        <v>6</v>
      </c>
      <c r="F2906" t="s">
        <v>7</v>
      </c>
      <c r="G2906" s="1">
        <f t="shared" si="135"/>
        <v>45199</v>
      </c>
      <c r="H2906">
        <f t="shared" si="136"/>
        <v>1</v>
      </c>
      <c r="I2906">
        <f t="shared" si="137"/>
        <v>0</v>
      </c>
      <c r="J2906">
        <f>IF(Table1[[#This Row],[Active_months]]&gt;=1, 1, 0)</f>
        <v>1</v>
      </c>
    </row>
    <row r="2907" spans="1:10" x14ac:dyDescent="0.3">
      <c r="A2907">
        <v>218947678</v>
      </c>
      <c r="B2907" s="1">
        <v>45157</v>
      </c>
      <c r="D2907">
        <v>39</v>
      </c>
      <c r="E2907" t="s">
        <v>6</v>
      </c>
      <c r="F2907" t="s">
        <v>7</v>
      </c>
      <c r="G2907" s="1">
        <f t="shared" si="135"/>
        <v>45199</v>
      </c>
      <c r="H2907">
        <f t="shared" si="136"/>
        <v>1</v>
      </c>
      <c r="I2907">
        <f t="shared" si="137"/>
        <v>0</v>
      </c>
      <c r="J2907">
        <f>IF(Table1[[#This Row],[Active_months]]&gt;=1, 1, 0)</f>
        <v>1</v>
      </c>
    </row>
    <row r="2908" spans="1:10" x14ac:dyDescent="0.3">
      <c r="A2908">
        <v>119465934</v>
      </c>
      <c r="B2908" s="1">
        <v>45157</v>
      </c>
      <c r="D2908">
        <v>39</v>
      </c>
      <c r="E2908" t="s">
        <v>6</v>
      </c>
      <c r="F2908" t="s">
        <v>7</v>
      </c>
      <c r="G2908" s="1">
        <f t="shared" si="135"/>
        <v>45199</v>
      </c>
      <c r="H2908">
        <f t="shared" si="136"/>
        <v>1</v>
      </c>
      <c r="I2908">
        <f t="shared" si="137"/>
        <v>0</v>
      </c>
      <c r="J2908">
        <f>IF(Table1[[#This Row],[Active_months]]&gt;=1, 1, 0)</f>
        <v>1</v>
      </c>
    </row>
    <row r="2909" spans="1:10" x14ac:dyDescent="0.3">
      <c r="A2909">
        <v>219195061</v>
      </c>
      <c r="B2909" s="1">
        <v>45157</v>
      </c>
      <c r="D2909">
        <v>39</v>
      </c>
      <c r="E2909" t="s">
        <v>6</v>
      </c>
      <c r="F2909" t="s">
        <v>7</v>
      </c>
      <c r="G2909" s="1">
        <f t="shared" si="135"/>
        <v>45199</v>
      </c>
      <c r="H2909">
        <f t="shared" si="136"/>
        <v>1</v>
      </c>
      <c r="I2909">
        <f t="shared" si="137"/>
        <v>0</v>
      </c>
      <c r="J2909">
        <f>IF(Table1[[#This Row],[Active_months]]&gt;=1, 1, 0)</f>
        <v>1</v>
      </c>
    </row>
    <row r="2910" spans="1:10" x14ac:dyDescent="0.3">
      <c r="A2910">
        <v>219637590</v>
      </c>
      <c r="B2910" s="1">
        <v>45157</v>
      </c>
      <c r="C2910" s="1">
        <v>45163</v>
      </c>
      <c r="D2910">
        <v>39</v>
      </c>
      <c r="E2910" t="s">
        <v>6</v>
      </c>
      <c r="F2910" t="s">
        <v>7</v>
      </c>
      <c r="G2910" s="1">
        <f t="shared" si="135"/>
        <v>45163</v>
      </c>
      <c r="H2910">
        <f t="shared" si="136"/>
        <v>0</v>
      </c>
      <c r="I2910">
        <f t="shared" si="137"/>
        <v>0</v>
      </c>
      <c r="J2910">
        <f>IF(Table1[[#This Row],[Active_months]]&gt;=1, 1, 0)</f>
        <v>0</v>
      </c>
    </row>
    <row r="2911" spans="1:10" x14ac:dyDescent="0.3">
      <c r="A2911">
        <v>218878930</v>
      </c>
      <c r="B2911" s="1">
        <v>45158</v>
      </c>
      <c r="D2911">
        <v>39</v>
      </c>
      <c r="E2911" t="s">
        <v>6</v>
      </c>
      <c r="F2911" t="s">
        <v>7</v>
      </c>
      <c r="G2911" s="1">
        <f t="shared" si="135"/>
        <v>45199</v>
      </c>
      <c r="H2911">
        <f t="shared" si="136"/>
        <v>1</v>
      </c>
      <c r="I2911">
        <f t="shared" si="137"/>
        <v>0</v>
      </c>
      <c r="J2911">
        <f>IF(Table1[[#This Row],[Active_months]]&gt;=1, 1, 0)</f>
        <v>1</v>
      </c>
    </row>
    <row r="2912" spans="1:10" x14ac:dyDescent="0.3">
      <c r="A2912">
        <v>134622358</v>
      </c>
      <c r="B2912" s="1">
        <v>45158</v>
      </c>
      <c r="D2912">
        <v>39</v>
      </c>
      <c r="E2912" t="s">
        <v>6</v>
      </c>
      <c r="F2912" t="s">
        <v>7</v>
      </c>
      <c r="G2912" s="1">
        <f t="shared" si="135"/>
        <v>45199</v>
      </c>
      <c r="H2912">
        <f t="shared" si="136"/>
        <v>1</v>
      </c>
      <c r="I2912">
        <f t="shared" si="137"/>
        <v>0</v>
      </c>
      <c r="J2912">
        <f>IF(Table1[[#This Row],[Active_months]]&gt;=1, 1, 0)</f>
        <v>1</v>
      </c>
    </row>
    <row r="2913" spans="1:10" x14ac:dyDescent="0.3">
      <c r="A2913">
        <v>219237524</v>
      </c>
      <c r="B2913" s="1">
        <v>45158</v>
      </c>
      <c r="D2913">
        <v>39</v>
      </c>
      <c r="E2913" t="s">
        <v>6</v>
      </c>
      <c r="F2913" t="s">
        <v>7</v>
      </c>
      <c r="G2913" s="1">
        <f t="shared" si="135"/>
        <v>45199</v>
      </c>
      <c r="H2913">
        <f t="shared" si="136"/>
        <v>1</v>
      </c>
      <c r="I2913">
        <f t="shared" si="137"/>
        <v>0</v>
      </c>
      <c r="J2913">
        <f>IF(Table1[[#This Row],[Active_months]]&gt;=1, 1, 0)</f>
        <v>1</v>
      </c>
    </row>
    <row r="2914" spans="1:10" x14ac:dyDescent="0.3">
      <c r="A2914">
        <v>147320092</v>
      </c>
      <c r="B2914" s="1">
        <v>45158</v>
      </c>
      <c r="D2914">
        <v>39</v>
      </c>
      <c r="E2914" t="s">
        <v>6</v>
      </c>
      <c r="F2914" t="s">
        <v>7</v>
      </c>
      <c r="G2914" s="1">
        <f t="shared" si="135"/>
        <v>45199</v>
      </c>
      <c r="H2914">
        <f t="shared" si="136"/>
        <v>1</v>
      </c>
      <c r="I2914">
        <f t="shared" si="137"/>
        <v>0</v>
      </c>
      <c r="J2914">
        <f>IF(Table1[[#This Row],[Active_months]]&gt;=1, 1, 0)</f>
        <v>1</v>
      </c>
    </row>
    <row r="2915" spans="1:10" x14ac:dyDescent="0.3">
      <c r="A2915">
        <v>219953886</v>
      </c>
      <c r="B2915" s="1">
        <v>45158</v>
      </c>
      <c r="D2915">
        <v>39</v>
      </c>
      <c r="E2915" t="s">
        <v>6</v>
      </c>
      <c r="F2915" t="s">
        <v>7</v>
      </c>
      <c r="G2915" s="1">
        <f t="shared" si="135"/>
        <v>45199</v>
      </c>
      <c r="H2915">
        <f t="shared" si="136"/>
        <v>1</v>
      </c>
      <c r="I2915">
        <f t="shared" si="137"/>
        <v>0</v>
      </c>
      <c r="J2915">
        <f>IF(Table1[[#This Row],[Active_months]]&gt;=1, 1, 0)</f>
        <v>1</v>
      </c>
    </row>
    <row r="2916" spans="1:10" x14ac:dyDescent="0.3">
      <c r="A2916">
        <v>207013932</v>
      </c>
      <c r="B2916" s="1">
        <v>45158</v>
      </c>
      <c r="C2916" s="1">
        <v>45158</v>
      </c>
      <c r="D2916">
        <v>39</v>
      </c>
      <c r="E2916" t="s">
        <v>6</v>
      </c>
      <c r="F2916" t="s">
        <v>8</v>
      </c>
      <c r="G2916" s="1">
        <f t="shared" si="135"/>
        <v>45158</v>
      </c>
      <c r="H2916">
        <f t="shared" si="136"/>
        <v>0</v>
      </c>
      <c r="I2916">
        <f t="shared" si="137"/>
        <v>0</v>
      </c>
      <c r="J2916">
        <f>IF(Table1[[#This Row],[Active_months]]&gt;=1, 1, 0)</f>
        <v>0</v>
      </c>
    </row>
    <row r="2917" spans="1:10" x14ac:dyDescent="0.3">
      <c r="A2917">
        <v>205274562</v>
      </c>
      <c r="B2917" s="1">
        <v>45159</v>
      </c>
      <c r="D2917">
        <v>39</v>
      </c>
      <c r="E2917" t="s">
        <v>6</v>
      </c>
      <c r="F2917" t="s">
        <v>7</v>
      </c>
      <c r="G2917" s="1">
        <f t="shared" si="135"/>
        <v>45199</v>
      </c>
      <c r="H2917">
        <f t="shared" si="136"/>
        <v>1</v>
      </c>
      <c r="I2917">
        <f t="shared" si="137"/>
        <v>0</v>
      </c>
      <c r="J2917">
        <f>IF(Table1[[#This Row],[Active_months]]&gt;=1, 1, 0)</f>
        <v>1</v>
      </c>
    </row>
    <row r="2918" spans="1:10" x14ac:dyDescent="0.3">
      <c r="A2918">
        <v>152698255</v>
      </c>
      <c r="B2918" s="1">
        <v>45159</v>
      </c>
      <c r="D2918">
        <v>39</v>
      </c>
      <c r="E2918" t="s">
        <v>6</v>
      </c>
      <c r="F2918" t="s">
        <v>7</v>
      </c>
      <c r="G2918" s="1">
        <f t="shared" si="135"/>
        <v>45199</v>
      </c>
      <c r="H2918">
        <f t="shared" si="136"/>
        <v>1</v>
      </c>
      <c r="I2918">
        <f t="shared" si="137"/>
        <v>0</v>
      </c>
      <c r="J2918">
        <f>IF(Table1[[#This Row],[Active_months]]&gt;=1, 1, 0)</f>
        <v>1</v>
      </c>
    </row>
    <row r="2919" spans="1:10" x14ac:dyDescent="0.3">
      <c r="A2919">
        <v>209361492</v>
      </c>
      <c r="B2919" s="1">
        <v>45159</v>
      </c>
      <c r="D2919">
        <v>39</v>
      </c>
      <c r="E2919" t="s">
        <v>6</v>
      </c>
      <c r="F2919" t="s">
        <v>7</v>
      </c>
      <c r="G2919" s="1">
        <f t="shared" si="135"/>
        <v>45199</v>
      </c>
      <c r="H2919">
        <f t="shared" si="136"/>
        <v>1</v>
      </c>
      <c r="I2919">
        <f t="shared" si="137"/>
        <v>0</v>
      </c>
      <c r="J2919">
        <f>IF(Table1[[#This Row],[Active_months]]&gt;=1, 1, 0)</f>
        <v>1</v>
      </c>
    </row>
    <row r="2920" spans="1:10" x14ac:dyDescent="0.3">
      <c r="A2920">
        <v>205530810</v>
      </c>
      <c r="B2920" s="1">
        <v>45159</v>
      </c>
      <c r="D2920">
        <v>39</v>
      </c>
      <c r="E2920" t="s">
        <v>6</v>
      </c>
      <c r="F2920" t="s">
        <v>7</v>
      </c>
      <c r="G2920" s="1">
        <f t="shared" si="135"/>
        <v>45199</v>
      </c>
      <c r="H2920">
        <f t="shared" si="136"/>
        <v>1</v>
      </c>
      <c r="I2920">
        <f t="shared" si="137"/>
        <v>0</v>
      </c>
      <c r="J2920">
        <f>IF(Table1[[#This Row],[Active_months]]&gt;=1, 1, 0)</f>
        <v>1</v>
      </c>
    </row>
    <row r="2921" spans="1:10" x14ac:dyDescent="0.3">
      <c r="A2921">
        <v>220343801</v>
      </c>
      <c r="B2921" s="1">
        <v>45159</v>
      </c>
      <c r="D2921">
        <v>39</v>
      </c>
      <c r="E2921" t="s">
        <v>6</v>
      </c>
      <c r="F2921" t="s">
        <v>7</v>
      </c>
      <c r="G2921" s="1">
        <f t="shared" si="135"/>
        <v>45199</v>
      </c>
      <c r="H2921">
        <f t="shared" si="136"/>
        <v>1</v>
      </c>
      <c r="I2921">
        <f t="shared" si="137"/>
        <v>0</v>
      </c>
      <c r="J2921">
        <f>IF(Table1[[#This Row],[Active_months]]&gt;=1, 1, 0)</f>
        <v>1</v>
      </c>
    </row>
    <row r="2922" spans="1:10" x14ac:dyDescent="0.3">
      <c r="A2922">
        <v>150441222</v>
      </c>
      <c r="B2922" s="1">
        <v>45159</v>
      </c>
      <c r="D2922">
        <v>39</v>
      </c>
      <c r="E2922" t="s">
        <v>6</v>
      </c>
      <c r="F2922" t="s">
        <v>7</v>
      </c>
      <c r="G2922" s="1">
        <f t="shared" si="135"/>
        <v>45199</v>
      </c>
      <c r="H2922">
        <f t="shared" si="136"/>
        <v>1</v>
      </c>
      <c r="I2922">
        <f t="shared" si="137"/>
        <v>0</v>
      </c>
      <c r="J2922">
        <f>IF(Table1[[#This Row],[Active_months]]&gt;=1, 1, 0)</f>
        <v>1</v>
      </c>
    </row>
    <row r="2923" spans="1:10" x14ac:dyDescent="0.3">
      <c r="A2923">
        <v>214640803</v>
      </c>
      <c r="B2923" s="1">
        <v>45159</v>
      </c>
      <c r="D2923">
        <v>39</v>
      </c>
      <c r="E2923" t="s">
        <v>6</v>
      </c>
      <c r="F2923" t="s">
        <v>7</v>
      </c>
      <c r="G2923" s="1">
        <f t="shared" si="135"/>
        <v>45199</v>
      </c>
      <c r="H2923">
        <f t="shared" si="136"/>
        <v>1</v>
      </c>
      <c r="I2923">
        <f t="shared" si="137"/>
        <v>0</v>
      </c>
      <c r="J2923">
        <f>IF(Table1[[#This Row],[Active_months]]&gt;=1, 1, 0)</f>
        <v>1</v>
      </c>
    </row>
    <row r="2924" spans="1:10" x14ac:dyDescent="0.3">
      <c r="A2924">
        <v>219569853</v>
      </c>
      <c r="B2924" s="1">
        <v>45159</v>
      </c>
      <c r="D2924">
        <v>39</v>
      </c>
      <c r="E2924" t="s">
        <v>6</v>
      </c>
      <c r="F2924" t="s">
        <v>7</v>
      </c>
      <c r="G2924" s="1">
        <f t="shared" si="135"/>
        <v>45199</v>
      </c>
      <c r="H2924">
        <f t="shared" si="136"/>
        <v>1</v>
      </c>
      <c r="I2924">
        <f t="shared" si="137"/>
        <v>0</v>
      </c>
      <c r="J2924">
        <f>IF(Table1[[#This Row],[Active_months]]&gt;=1, 1, 0)</f>
        <v>1</v>
      </c>
    </row>
    <row r="2925" spans="1:10" x14ac:dyDescent="0.3">
      <c r="A2925">
        <v>220197494</v>
      </c>
      <c r="B2925" s="1">
        <v>45159</v>
      </c>
      <c r="D2925">
        <v>39</v>
      </c>
      <c r="E2925" t="s">
        <v>6</v>
      </c>
      <c r="F2925" t="s">
        <v>7</v>
      </c>
      <c r="G2925" s="1">
        <f t="shared" si="135"/>
        <v>45199</v>
      </c>
      <c r="H2925">
        <f t="shared" si="136"/>
        <v>1</v>
      </c>
      <c r="I2925">
        <f t="shared" si="137"/>
        <v>0</v>
      </c>
      <c r="J2925">
        <f>IF(Table1[[#This Row],[Active_months]]&gt;=1, 1, 0)</f>
        <v>1</v>
      </c>
    </row>
    <row r="2926" spans="1:10" x14ac:dyDescent="0.3">
      <c r="A2926">
        <v>220323698</v>
      </c>
      <c r="B2926" s="1">
        <v>45159</v>
      </c>
      <c r="D2926">
        <v>39</v>
      </c>
      <c r="E2926" t="s">
        <v>6</v>
      </c>
      <c r="F2926" t="s">
        <v>7</v>
      </c>
      <c r="G2926" s="1">
        <f t="shared" si="135"/>
        <v>45199</v>
      </c>
      <c r="H2926">
        <f t="shared" si="136"/>
        <v>1</v>
      </c>
      <c r="I2926">
        <f t="shared" si="137"/>
        <v>0</v>
      </c>
      <c r="J2926">
        <f>IF(Table1[[#This Row],[Active_months]]&gt;=1, 1, 0)</f>
        <v>1</v>
      </c>
    </row>
    <row r="2927" spans="1:10" x14ac:dyDescent="0.3">
      <c r="A2927">
        <v>215180470</v>
      </c>
      <c r="B2927" s="1">
        <v>45159</v>
      </c>
      <c r="C2927" s="1">
        <v>45159</v>
      </c>
      <c r="D2927">
        <v>39</v>
      </c>
      <c r="E2927" t="s">
        <v>6</v>
      </c>
      <c r="F2927" t="s">
        <v>7</v>
      </c>
      <c r="G2927" s="1">
        <f t="shared" si="135"/>
        <v>45159</v>
      </c>
      <c r="H2927">
        <f t="shared" si="136"/>
        <v>0</v>
      </c>
      <c r="I2927">
        <f t="shared" si="137"/>
        <v>0</v>
      </c>
      <c r="J2927">
        <f>IF(Table1[[#This Row],[Active_months]]&gt;=1, 1, 0)</f>
        <v>0</v>
      </c>
    </row>
    <row r="2928" spans="1:10" x14ac:dyDescent="0.3">
      <c r="A2928">
        <v>177323966</v>
      </c>
      <c r="B2928" s="1">
        <v>45159</v>
      </c>
      <c r="C2928" s="1">
        <v>45166</v>
      </c>
      <c r="D2928">
        <v>39</v>
      </c>
      <c r="E2928" t="s">
        <v>6</v>
      </c>
      <c r="F2928" t="s">
        <v>7</v>
      </c>
      <c r="G2928" s="1">
        <f t="shared" si="135"/>
        <v>45166</v>
      </c>
      <c r="H2928">
        <f t="shared" si="136"/>
        <v>0</v>
      </c>
      <c r="I2928">
        <f t="shared" si="137"/>
        <v>0</v>
      </c>
      <c r="J2928">
        <f>IF(Table1[[#This Row],[Active_months]]&gt;=1, 1, 0)</f>
        <v>0</v>
      </c>
    </row>
    <row r="2929" spans="1:10" x14ac:dyDescent="0.3">
      <c r="A2929">
        <v>214682826</v>
      </c>
      <c r="B2929" s="1">
        <v>45159</v>
      </c>
      <c r="C2929" s="1">
        <v>45160</v>
      </c>
      <c r="D2929">
        <v>39</v>
      </c>
      <c r="E2929" t="s">
        <v>6</v>
      </c>
      <c r="F2929" t="s">
        <v>7</v>
      </c>
      <c r="G2929" s="1">
        <f t="shared" si="135"/>
        <v>45160</v>
      </c>
      <c r="H2929">
        <f t="shared" si="136"/>
        <v>0</v>
      </c>
      <c r="I2929">
        <f t="shared" si="137"/>
        <v>0</v>
      </c>
      <c r="J2929">
        <f>IF(Table1[[#This Row],[Active_months]]&gt;=1, 1, 0)</f>
        <v>0</v>
      </c>
    </row>
    <row r="2930" spans="1:10" x14ac:dyDescent="0.3">
      <c r="A2930">
        <v>220414820</v>
      </c>
      <c r="B2930" s="1">
        <v>45160</v>
      </c>
      <c r="D2930">
        <v>39</v>
      </c>
      <c r="E2930" t="s">
        <v>6</v>
      </c>
      <c r="F2930" t="s">
        <v>7</v>
      </c>
      <c r="G2930" s="1">
        <f t="shared" si="135"/>
        <v>45199</v>
      </c>
      <c r="H2930">
        <f t="shared" si="136"/>
        <v>1</v>
      </c>
      <c r="I2930">
        <f t="shared" si="137"/>
        <v>0</v>
      </c>
      <c r="J2930">
        <f>IF(Table1[[#This Row],[Active_months]]&gt;=1, 1, 0)</f>
        <v>1</v>
      </c>
    </row>
    <row r="2931" spans="1:10" x14ac:dyDescent="0.3">
      <c r="A2931">
        <v>214682826</v>
      </c>
      <c r="B2931" s="1">
        <v>45160</v>
      </c>
      <c r="D2931">
        <v>39</v>
      </c>
      <c r="E2931" t="s">
        <v>6</v>
      </c>
      <c r="F2931" t="s">
        <v>7</v>
      </c>
      <c r="G2931" s="1">
        <f t="shared" si="135"/>
        <v>45199</v>
      </c>
      <c r="H2931">
        <f t="shared" si="136"/>
        <v>1</v>
      </c>
      <c r="I2931">
        <f t="shared" si="137"/>
        <v>0</v>
      </c>
      <c r="J2931">
        <f>IF(Table1[[#This Row],[Active_months]]&gt;=1, 1, 0)</f>
        <v>1</v>
      </c>
    </row>
    <row r="2932" spans="1:10" x14ac:dyDescent="0.3">
      <c r="A2932">
        <v>206147500</v>
      </c>
      <c r="B2932" s="1">
        <v>45160</v>
      </c>
      <c r="D2932">
        <v>39</v>
      </c>
      <c r="E2932" t="s">
        <v>6</v>
      </c>
      <c r="F2932" t="s">
        <v>7</v>
      </c>
      <c r="G2932" s="1">
        <f t="shared" si="135"/>
        <v>45199</v>
      </c>
      <c r="H2932">
        <f t="shared" si="136"/>
        <v>1</v>
      </c>
      <c r="I2932">
        <f t="shared" si="137"/>
        <v>0</v>
      </c>
      <c r="J2932">
        <f>IF(Table1[[#This Row],[Active_months]]&gt;=1, 1, 0)</f>
        <v>1</v>
      </c>
    </row>
    <row r="2933" spans="1:10" x14ac:dyDescent="0.3">
      <c r="A2933">
        <v>220402308</v>
      </c>
      <c r="B2933" s="1">
        <v>45160</v>
      </c>
      <c r="D2933">
        <v>39</v>
      </c>
      <c r="E2933" t="s">
        <v>6</v>
      </c>
      <c r="F2933" t="s">
        <v>7</v>
      </c>
      <c r="G2933" s="1">
        <f t="shared" si="135"/>
        <v>45199</v>
      </c>
      <c r="H2933">
        <f t="shared" si="136"/>
        <v>1</v>
      </c>
      <c r="I2933">
        <f t="shared" si="137"/>
        <v>0</v>
      </c>
      <c r="J2933">
        <f>IF(Table1[[#This Row],[Active_months]]&gt;=1, 1, 0)</f>
        <v>1</v>
      </c>
    </row>
    <row r="2934" spans="1:10" x14ac:dyDescent="0.3">
      <c r="A2934">
        <v>220205806</v>
      </c>
      <c r="B2934" s="1">
        <v>45160</v>
      </c>
      <c r="D2934">
        <v>39</v>
      </c>
      <c r="E2934" t="s">
        <v>6</v>
      </c>
      <c r="F2934" t="s">
        <v>7</v>
      </c>
      <c r="G2934" s="1">
        <f t="shared" si="135"/>
        <v>45199</v>
      </c>
      <c r="H2934">
        <f t="shared" si="136"/>
        <v>1</v>
      </c>
      <c r="I2934">
        <f t="shared" si="137"/>
        <v>0</v>
      </c>
      <c r="J2934">
        <f>IF(Table1[[#This Row],[Active_months]]&gt;=1, 1, 0)</f>
        <v>1</v>
      </c>
    </row>
    <row r="2935" spans="1:10" x14ac:dyDescent="0.3">
      <c r="A2935">
        <v>152792045</v>
      </c>
      <c r="B2935" s="1">
        <v>45160</v>
      </c>
      <c r="D2935">
        <v>39</v>
      </c>
      <c r="E2935" t="s">
        <v>6</v>
      </c>
      <c r="F2935" t="s">
        <v>7</v>
      </c>
      <c r="G2935" s="1">
        <f t="shared" si="135"/>
        <v>45199</v>
      </c>
      <c r="H2935">
        <f t="shared" si="136"/>
        <v>1</v>
      </c>
      <c r="I2935">
        <f t="shared" si="137"/>
        <v>0</v>
      </c>
      <c r="J2935">
        <f>IF(Table1[[#This Row],[Active_months]]&gt;=1, 1, 0)</f>
        <v>1</v>
      </c>
    </row>
    <row r="2936" spans="1:10" x14ac:dyDescent="0.3">
      <c r="A2936">
        <v>220381016</v>
      </c>
      <c r="B2936" s="1">
        <v>45160</v>
      </c>
      <c r="D2936">
        <v>39</v>
      </c>
      <c r="E2936" t="s">
        <v>6</v>
      </c>
      <c r="F2936" t="s">
        <v>7</v>
      </c>
      <c r="G2936" s="1">
        <f t="shared" si="135"/>
        <v>45199</v>
      </c>
      <c r="H2936">
        <f t="shared" si="136"/>
        <v>1</v>
      </c>
      <c r="I2936">
        <f t="shared" si="137"/>
        <v>0</v>
      </c>
      <c r="J2936">
        <f>IF(Table1[[#This Row],[Active_months]]&gt;=1, 1, 0)</f>
        <v>1</v>
      </c>
    </row>
    <row r="2937" spans="1:10" x14ac:dyDescent="0.3">
      <c r="A2937">
        <v>220385078</v>
      </c>
      <c r="B2937" s="1">
        <v>45160</v>
      </c>
      <c r="D2937">
        <v>39</v>
      </c>
      <c r="E2937" t="s">
        <v>6</v>
      </c>
      <c r="F2937" t="s">
        <v>7</v>
      </c>
      <c r="G2937" s="1">
        <f t="shared" si="135"/>
        <v>45199</v>
      </c>
      <c r="H2937">
        <f t="shared" si="136"/>
        <v>1</v>
      </c>
      <c r="I2937">
        <f t="shared" si="137"/>
        <v>0</v>
      </c>
      <c r="J2937">
        <f>IF(Table1[[#This Row],[Active_months]]&gt;=1, 1, 0)</f>
        <v>1</v>
      </c>
    </row>
    <row r="2938" spans="1:10" x14ac:dyDescent="0.3">
      <c r="A2938">
        <v>220414853</v>
      </c>
      <c r="B2938" s="1">
        <v>45160</v>
      </c>
      <c r="D2938">
        <v>39</v>
      </c>
      <c r="E2938" t="s">
        <v>6</v>
      </c>
      <c r="F2938" t="s">
        <v>7</v>
      </c>
      <c r="G2938" s="1">
        <f t="shared" si="135"/>
        <v>45199</v>
      </c>
      <c r="H2938">
        <f t="shared" si="136"/>
        <v>1</v>
      </c>
      <c r="I2938">
        <f t="shared" si="137"/>
        <v>0</v>
      </c>
      <c r="J2938">
        <f>IF(Table1[[#This Row],[Active_months]]&gt;=1, 1, 0)</f>
        <v>1</v>
      </c>
    </row>
    <row r="2939" spans="1:10" x14ac:dyDescent="0.3">
      <c r="A2939">
        <v>220366524</v>
      </c>
      <c r="B2939" s="1">
        <v>45160</v>
      </c>
      <c r="D2939">
        <v>39</v>
      </c>
      <c r="E2939" t="s">
        <v>6</v>
      </c>
      <c r="F2939" t="s">
        <v>7</v>
      </c>
      <c r="G2939" s="1">
        <f t="shared" si="135"/>
        <v>45199</v>
      </c>
      <c r="H2939">
        <f t="shared" si="136"/>
        <v>1</v>
      </c>
      <c r="I2939">
        <f t="shared" si="137"/>
        <v>0</v>
      </c>
      <c r="J2939">
        <f>IF(Table1[[#This Row],[Active_months]]&gt;=1, 1, 0)</f>
        <v>1</v>
      </c>
    </row>
    <row r="2940" spans="1:10" x14ac:dyDescent="0.3">
      <c r="A2940">
        <v>220407436</v>
      </c>
      <c r="B2940" s="1">
        <v>45160</v>
      </c>
      <c r="C2940" s="1">
        <v>45161</v>
      </c>
      <c r="D2940">
        <v>39</v>
      </c>
      <c r="E2940" t="s">
        <v>6</v>
      </c>
      <c r="F2940" t="s">
        <v>8</v>
      </c>
      <c r="G2940" s="1">
        <f t="shared" si="135"/>
        <v>45161</v>
      </c>
      <c r="H2940">
        <f t="shared" si="136"/>
        <v>0</v>
      </c>
      <c r="I2940">
        <f t="shared" si="137"/>
        <v>0</v>
      </c>
      <c r="J2940">
        <f>IF(Table1[[#This Row],[Active_months]]&gt;=1, 1, 0)</f>
        <v>0</v>
      </c>
    </row>
    <row r="2941" spans="1:10" x14ac:dyDescent="0.3">
      <c r="A2941">
        <v>192182455</v>
      </c>
      <c r="B2941" s="1">
        <v>45161</v>
      </c>
      <c r="D2941">
        <v>39</v>
      </c>
      <c r="E2941" t="s">
        <v>6</v>
      </c>
      <c r="F2941" t="s">
        <v>7</v>
      </c>
      <c r="G2941" s="1">
        <f t="shared" si="135"/>
        <v>45199</v>
      </c>
      <c r="H2941">
        <f t="shared" si="136"/>
        <v>1</v>
      </c>
      <c r="I2941">
        <f t="shared" si="137"/>
        <v>0</v>
      </c>
      <c r="J2941">
        <f>IF(Table1[[#This Row],[Active_months]]&gt;=1, 1, 0)</f>
        <v>1</v>
      </c>
    </row>
    <row r="2942" spans="1:10" x14ac:dyDescent="0.3">
      <c r="A2942">
        <v>219439597</v>
      </c>
      <c r="B2942" s="1">
        <v>45161</v>
      </c>
      <c r="D2942">
        <v>39</v>
      </c>
      <c r="E2942" t="s">
        <v>6</v>
      </c>
      <c r="F2942" t="s">
        <v>7</v>
      </c>
      <c r="G2942" s="1">
        <f t="shared" si="135"/>
        <v>45199</v>
      </c>
      <c r="H2942">
        <f t="shared" si="136"/>
        <v>1</v>
      </c>
      <c r="I2942">
        <f t="shared" si="137"/>
        <v>0</v>
      </c>
      <c r="J2942">
        <f>IF(Table1[[#This Row],[Active_months]]&gt;=1, 1, 0)</f>
        <v>1</v>
      </c>
    </row>
    <row r="2943" spans="1:10" x14ac:dyDescent="0.3">
      <c r="A2943">
        <v>219576812</v>
      </c>
      <c r="B2943" s="1">
        <v>45161</v>
      </c>
      <c r="D2943">
        <v>39</v>
      </c>
      <c r="E2943" t="s">
        <v>6</v>
      </c>
      <c r="F2943" t="s">
        <v>7</v>
      </c>
      <c r="G2943" s="1">
        <f t="shared" si="135"/>
        <v>45199</v>
      </c>
      <c r="H2943">
        <f t="shared" si="136"/>
        <v>1</v>
      </c>
      <c r="I2943">
        <f t="shared" si="137"/>
        <v>0</v>
      </c>
      <c r="J2943">
        <f>IF(Table1[[#This Row],[Active_months]]&gt;=1, 1, 0)</f>
        <v>1</v>
      </c>
    </row>
    <row r="2944" spans="1:10" x14ac:dyDescent="0.3">
      <c r="A2944">
        <v>143111905</v>
      </c>
      <c r="B2944" s="1">
        <v>45161</v>
      </c>
      <c r="D2944">
        <v>39</v>
      </c>
      <c r="E2944" t="s">
        <v>6</v>
      </c>
      <c r="F2944" t="s">
        <v>7</v>
      </c>
      <c r="G2944" s="1">
        <f t="shared" si="135"/>
        <v>45199</v>
      </c>
      <c r="H2944">
        <f t="shared" si="136"/>
        <v>1</v>
      </c>
      <c r="I2944">
        <f t="shared" si="137"/>
        <v>0</v>
      </c>
      <c r="J2944">
        <f>IF(Table1[[#This Row],[Active_months]]&gt;=1, 1, 0)</f>
        <v>1</v>
      </c>
    </row>
    <row r="2945" spans="1:10" x14ac:dyDescent="0.3">
      <c r="A2945">
        <v>123297208</v>
      </c>
      <c r="B2945" s="1">
        <v>45161</v>
      </c>
      <c r="D2945">
        <v>39</v>
      </c>
      <c r="E2945" t="s">
        <v>6</v>
      </c>
      <c r="F2945" t="s">
        <v>7</v>
      </c>
      <c r="G2945" s="1">
        <f t="shared" si="135"/>
        <v>45199</v>
      </c>
      <c r="H2945">
        <f t="shared" si="136"/>
        <v>1</v>
      </c>
      <c r="I2945">
        <f t="shared" si="137"/>
        <v>0</v>
      </c>
      <c r="J2945">
        <f>IF(Table1[[#This Row],[Active_months]]&gt;=1, 1, 0)</f>
        <v>1</v>
      </c>
    </row>
    <row r="2946" spans="1:10" x14ac:dyDescent="0.3">
      <c r="A2946">
        <v>213194584</v>
      </c>
      <c r="B2946" s="1">
        <v>45161</v>
      </c>
      <c r="D2946">
        <v>39</v>
      </c>
      <c r="E2946" t="s">
        <v>6</v>
      </c>
      <c r="F2946" t="s">
        <v>7</v>
      </c>
      <c r="G2946" s="1">
        <f t="shared" si="135"/>
        <v>45199</v>
      </c>
      <c r="H2946">
        <f t="shared" si="136"/>
        <v>1</v>
      </c>
      <c r="I2946">
        <f t="shared" si="137"/>
        <v>0</v>
      </c>
      <c r="J2946">
        <f>IF(Table1[[#This Row],[Active_months]]&gt;=1, 1, 0)</f>
        <v>1</v>
      </c>
    </row>
    <row r="2947" spans="1:10" x14ac:dyDescent="0.3">
      <c r="A2947">
        <v>220455205</v>
      </c>
      <c r="B2947" s="1">
        <v>45161</v>
      </c>
      <c r="D2947">
        <v>39</v>
      </c>
      <c r="E2947" t="s">
        <v>6</v>
      </c>
      <c r="F2947" t="s">
        <v>7</v>
      </c>
      <c r="G2947" s="1">
        <f t="shared" ref="G2947:G3010" si="138">IF(ISBLANK(C2947), DATE(2023,9,30), C2947)</f>
        <v>45199</v>
      </c>
      <c r="H2947">
        <f t="shared" ref="H2947:H3010" si="139">(YEAR(G2947)-YEAR(B2947))*12 + (MONTH(G2947)-MONTH(B2947))</f>
        <v>1</v>
      </c>
      <c r="I2947">
        <f t="shared" ref="I2947:I3010" si="140">IF(H2947 &gt;=5, 1, 0)</f>
        <v>0</v>
      </c>
      <c r="J2947">
        <f>IF(Table1[[#This Row],[Active_months]]&gt;=1, 1, 0)</f>
        <v>1</v>
      </c>
    </row>
    <row r="2948" spans="1:10" x14ac:dyDescent="0.3">
      <c r="A2948">
        <v>220425056</v>
      </c>
      <c r="B2948" s="1">
        <v>45161</v>
      </c>
      <c r="D2948">
        <v>39</v>
      </c>
      <c r="E2948" t="s">
        <v>6</v>
      </c>
      <c r="F2948" t="s">
        <v>7</v>
      </c>
      <c r="G2948" s="1">
        <f t="shared" si="138"/>
        <v>45199</v>
      </c>
      <c r="H2948">
        <f t="shared" si="139"/>
        <v>1</v>
      </c>
      <c r="I2948">
        <f t="shared" si="140"/>
        <v>0</v>
      </c>
      <c r="J2948">
        <f>IF(Table1[[#This Row],[Active_months]]&gt;=1, 1, 0)</f>
        <v>1</v>
      </c>
    </row>
    <row r="2949" spans="1:10" x14ac:dyDescent="0.3">
      <c r="A2949">
        <v>219685108</v>
      </c>
      <c r="B2949" s="1">
        <v>45161</v>
      </c>
      <c r="D2949">
        <v>39</v>
      </c>
      <c r="E2949" t="s">
        <v>6</v>
      </c>
      <c r="F2949" t="s">
        <v>7</v>
      </c>
      <c r="G2949" s="1">
        <f t="shared" si="138"/>
        <v>45199</v>
      </c>
      <c r="H2949">
        <f t="shared" si="139"/>
        <v>1</v>
      </c>
      <c r="I2949">
        <f t="shared" si="140"/>
        <v>0</v>
      </c>
      <c r="J2949">
        <f>IF(Table1[[#This Row],[Active_months]]&gt;=1, 1, 0)</f>
        <v>1</v>
      </c>
    </row>
    <row r="2950" spans="1:10" x14ac:dyDescent="0.3">
      <c r="A2950">
        <v>220531090</v>
      </c>
      <c r="B2950" s="1">
        <v>45162</v>
      </c>
      <c r="D2950">
        <v>39</v>
      </c>
      <c r="E2950" t="s">
        <v>6</v>
      </c>
      <c r="F2950" t="s">
        <v>7</v>
      </c>
      <c r="G2950" s="1">
        <f t="shared" si="138"/>
        <v>45199</v>
      </c>
      <c r="H2950">
        <f t="shared" si="139"/>
        <v>1</v>
      </c>
      <c r="I2950">
        <f t="shared" si="140"/>
        <v>0</v>
      </c>
      <c r="J2950">
        <f>IF(Table1[[#This Row],[Active_months]]&gt;=1, 1, 0)</f>
        <v>1</v>
      </c>
    </row>
    <row r="2951" spans="1:10" x14ac:dyDescent="0.3">
      <c r="A2951">
        <v>220510482</v>
      </c>
      <c r="B2951" s="1">
        <v>45162</v>
      </c>
      <c r="D2951">
        <v>39</v>
      </c>
      <c r="E2951" t="s">
        <v>6</v>
      </c>
      <c r="F2951" t="s">
        <v>7</v>
      </c>
      <c r="G2951" s="1">
        <f t="shared" si="138"/>
        <v>45199</v>
      </c>
      <c r="H2951">
        <f t="shared" si="139"/>
        <v>1</v>
      </c>
      <c r="I2951">
        <f t="shared" si="140"/>
        <v>0</v>
      </c>
      <c r="J2951">
        <f>IF(Table1[[#This Row],[Active_months]]&gt;=1, 1, 0)</f>
        <v>1</v>
      </c>
    </row>
    <row r="2952" spans="1:10" x14ac:dyDescent="0.3">
      <c r="A2952">
        <v>149856123</v>
      </c>
      <c r="B2952" s="1">
        <v>45162</v>
      </c>
      <c r="D2952">
        <v>39</v>
      </c>
      <c r="E2952" t="s">
        <v>6</v>
      </c>
      <c r="F2952" t="s">
        <v>7</v>
      </c>
      <c r="G2952" s="1">
        <f t="shared" si="138"/>
        <v>45199</v>
      </c>
      <c r="H2952">
        <f t="shared" si="139"/>
        <v>1</v>
      </c>
      <c r="I2952">
        <f t="shared" si="140"/>
        <v>0</v>
      </c>
      <c r="J2952">
        <f>IF(Table1[[#This Row],[Active_months]]&gt;=1, 1, 0)</f>
        <v>1</v>
      </c>
    </row>
    <row r="2953" spans="1:10" x14ac:dyDescent="0.3">
      <c r="A2953">
        <v>217506938</v>
      </c>
      <c r="B2953" s="1">
        <v>45162</v>
      </c>
      <c r="D2953">
        <v>39</v>
      </c>
      <c r="E2953" t="s">
        <v>6</v>
      </c>
      <c r="F2953" t="s">
        <v>7</v>
      </c>
      <c r="G2953" s="1">
        <f t="shared" si="138"/>
        <v>45199</v>
      </c>
      <c r="H2953">
        <f t="shared" si="139"/>
        <v>1</v>
      </c>
      <c r="I2953">
        <f t="shared" si="140"/>
        <v>0</v>
      </c>
      <c r="J2953">
        <f>IF(Table1[[#This Row],[Active_months]]&gt;=1, 1, 0)</f>
        <v>1</v>
      </c>
    </row>
    <row r="2954" spans="1:10" x14ac:dyDescent="0.3">
      <c r="A2954">
        <v>189403535</v>
      </c>
      <c r="B2954" s="1">
        <v>45162</v>
      </c>
      <c r="D2954">
        <v>39</v>
      </c>
      <c r="E2954" t="s">
        <v>6</v>
      </c>
      <c r="F2954" t="s">
        <v>7</v>
      </c>
      <c r="G2954" s="1">
        <f t="shared" si="138"/>
        <v>45199</v>
      </c>
      <c r="H2954">
        <f t="shared" si="139"/>
        <v>1</v>
      </c>
      <c r="I2954">
        <f t="shared" si="140"/>
        <v>0</v>
      </c>
      <c r="J2954">
        <f>IF(Table1[[#This Row],[Active_months]]&gt;=1, 1, 0)</f>
        <v>1</v>
      </c>
    </row>
    <row r="2955" spans="1:10" x14ac:dyDescent="0.3">
      <c r="A2955">
        <v>132318451</v>
      </c>
      <c r="B2955" s="1">
        <v>45162</v>
      </c>
      <c r="C2955" s="1">
        <v>45163</v>
      </c>
      <c r="D2955">
        <v>39</v>
      </c>
      <c r="E2955" t="s">
        <v>6</v>
      </c>
      <c r="F2955" t="s">
        <v>7</v>
      </c>
      <c r="G2955" s="1">
        <f t="shared" si="138"/>
        <v>45163</v>
      </c>
      <c r="H2955">
        <f t="shared" si="139"/>
        <v>0</v>
      </c>
      <c r="I2955">
        <f t="shared" si="140"/>
        <v>0</v>
      </c>
      <c r="J2955">
        <f>IF(Table1[[#This Row],[Active_months]]&gt;=1, 1, 0)</f>
        <v>0</v>
      </c>
    </row>
    <row r="2956" spans="1:10" x14ac:dyDescent="0.3">
      <c r="A2956">
        <v>220495479</v>
      </c>
      <c r="B2956" s="1">
        <v>45162</v>
      </c>
      <c r="C2956" s="1">
        <v>45163</v>
      </c>
      <c r="D2956">
        <v>39</v>
      </c>
      <c r="E2956" t="s">
        <v>6</v>
      </c>
      <c r="F2956" t="s">
        <v>8</v>
      </c>
      <c r="G2956" s="1">
        <f t="shared" si="138"/>
        <v>45163</v>
      </c>
      <c r="H2956">
        <f t="shared" si="139"/>
        <v>0</v>
      </c>
      <c r="I2956">
        <f t="shared" si="140"/>
        <v>0</v>
      </c>
      <c r="J2956">
        <f>IF(Table1[[#This Row],[Active_months]]&gt;=1, 1, 0)</f>
        <v>0</v>
      </c>
    </row>
    <row r="2957" spans="1:10" x14ac:dyDescent="0.3">
      <c r="A2957">
        <v>164903790</v>
      </c>
      <c r="B2957" s="1">
        <v>45163</v>
      </c>
      <c r="D2957">
        <v>39</v>
      </c>
      <c r="E2957" t="s">
        <v>6</v>
      </c>
      <c r="F2957" t="s">
        <v>7</v>
      </c>
      <c r="G2957" s="1">
        <f t="shared" si="138"/>
        <v>45199</v>
      </c>
      <c r="H2957">
        <f t="shared" si="139"/>
        <v>1</v>
      </c>
      <c r="I2957">
        <f t="shared" si="140"/>
        <v>0</v>
      </c>
      <c r="J2957">
        <f>IF(Table1[[#This Row],[Active_months]]&gt;=1, 1, 0)</f>
        <v>1</v>
      </c>
    </row>
    <row r="2958" spans="1:10" x14ac:dyDescent="0.3">
      <c r="A2958">
        <v>220371835</v>
      </c>
      <c r="B2958" s="1">
        <v>45163</v>
      </c>
      <c r="D2958">
        <v>39</v>
      </c>
      <c r="E2958" t="s">
        <v>6</v>
      </c>
      <c r="F2958" t="s">
        <v>7</v>
      </c>
      <c r="G2958" s="1">
        <f t="shared" si="138"/>
        <v>45199</v>
      </c>
      <c r="H2958">
        <f t="shared" si="139"/>
        <v>1</v>
      </c>
      <c r="I2958">
        <f t="shared" si="140"/>
        <v>0</v>
      </c>
      <c r="J2958">
        <f>IF(Table1[[#This Row],[Active_months]]&gt;=1, 1, 0)</f>
        <v>1</v>
      </c>
    </row>
    <row r="2959" spans="1:10" x14ac:dyDescent="0.3">
      <c r="A2959">
        <v>125932988</v>
      </c>
      <c r="B2959" s="1">
        <v>45163</v>
      </c>
      <c r="D2959">
        <v>39</v>
      </c>
      <c r="E2959" t="s">
        <v>6</v>
      </c>
      <c r="F2959" t="s">
        <v>7</v>
      </c>
      <c r="G2959" s="1">
        <f t="shared" si="138"/>
        <v>45199</v>
      </c>
      <c r="H2959">
        <f t="shared" si="139"/>
        <v>1</v>
      </c>
      <c r="I2959">
        <f t="shared" si="140"/>
        <v>0</v>
      </c>
      <c r="J2959">
        <f>IF(Table1[[#This Row],[Active_months]]&gt;=1, 1, 0)</f>
        <v>1</v>
      </c>
    </row>
    <row r="2960" spans="1:10" x14ac:dyDescent="0.3">
      <c r="A2960">
        <v>214924190</v>
      </c>
      <c r="B2960" s="1">
        <v>45163</v>
      </c>
      <c r="D2960">
        <v>39</v>
      </c>
      <c r="E2960" t="s">
        <v>6</v>
      </c>
      <c r="F2960" t="s">
        <v>7</v>
      </c>
      <c r="G2960" s="1">
        <f t="shared" si="138"/>
        <v>45199</v>
      </c>
      <c r="H2960">
        <f t="shared" si="139"/>
        <v>1</v>
      </c>
      <c r="I2960">
        <f t="shared" si="140"/>
        <v>0</v>
      </c>
      <c r="J2960">
        <f>IF(Table1[[#This Row],[Active_months]]&gt;=1, 1, 0)</f>
        <v>1</v>
      </c>
    </row>
    <row r="2961" spans="1:10" x14ac:dyDescent="0.3">
      <c r="A2961">
        <v>117300170</v>
      </c>
      <c r="B2961" s="1">
        <v>45163</v>
      </c>
      <c r="D2961">
        <v>39</v>
      </c>
      <c r="E2961" t="s">
        <v>6</v>
      </c>
      <c r="F2961" t="s">
        <v>7</v>
      </c>
      <c r="G2961" s="1">
        <f t="shared" si="138"/>
        <v>45199</v>
      </c>
      <c r="H2961">
        <f t="shared" si="139"/>
        <v>1</v>
      </c>
      <c r="I2961">
        <f t="shared" si="140"/>
        <v>0</v>
      </c>
      <c r="J2961">
        <f>IF(Table1[[#This Row],[Active_months]]&gt;=1, 1, 0)</f>
        <v>1</v>
      </c>
    </row>
    <row r="2962" spans="1:10" x14ac:dyDescent="0.3">
      <c r="A2962">
        <v>162913792</v>
      </c>
      <c r="B2962" s="1">
        <v>45163</v>
      </c>
      <c r="D2962">
        <v>39</v>
      </c>
      <c r="E2962" t="s">
        <v>6</v>
      </c>
      <c r="F2962" t="s">
        <v>7</v>
      </c>
      <c r="G2962" s="1">
        <f t="shared" si="138"/>
        <v>45199</v>
      </c>
      <c r="H2962">
        <f t="shared" si="139"/>
        <v>1</v>
      </c>
      <c r="I2962">
        <f t="shared" si="140"/>
        <v>0</v>
      </c>
      <c r="J2962">
        <f>IF(Table1[[#This Row],[Active_months]]&gt;=1, 1, 0)</f>
        <v>1</v>
      </c>
    </row>
    <row r="2963" spans="1:10" x14ac:dyDescent="0.3">
      <c r="A2963">
        <v>220551506</v>
      </c>
      <c r="B2963" s="1">
        <v>45163</v>
      </c>
      <c r="D2963">
        <v>39</v>
      </c>
      <c r="E2963" t="s">
        <v>6</v>
      </c>
      <c r="F2963" t="s">
        <v>7</v>
      </c>
      <c r="G2963" s="1">
        <f t="shared" si="138"/>
        <v>45199</v>
      </c>
      <c r="H2963">
        <f t="shared" si="139"/>
        <v>1</v>
      </c>
      <c r="I2963">
        <f t="shared" si="140"/>
        <v>0</v>
      </c>
      <c r="J2963">
        <f>IF(Table1[[#This Row],[Active_months]]&gt;=1, 1, 0)</f>
        <v>1</v>
      </c>
    </row>
    <row r="2964" spans="1:10" x14ac:dyDescent="0.3">
      <c r="A2964">
        <v>161187523</v>
      </c>
      <c r="B2964" s="1">
        <v>45163</v>
      </c>
      <c r="D2964">
        <v>39</v>
      </c>
      <c r="E2964" t="s">
        <v>6</v>
      </c>
      <c r="F2964" t="s">
        <v>7</v>
      </c>
      <c r="G2964" s="1">
        <f t="shared" si="138"/>
        <v>45199</v>
      </c>
      <c r="H2964">
        <f t="shared" si="139"/>
        <v>1</v>
      </c>
      <c r="I2964">
        <f t="shared" si="140"/>
        <v>0</v>
      </c>
      <c r="J2964">
        <f>IF(Table1[[#This Row],[Active_months]]&gt;=1, 1, 0)</f>
        <v>1</v>
      </c>
    </row>
    <row r="2965" spans="1:10" x14ac:dyDescent="0.3">
      <c r="A2965">
        <v>220562110</v>
      </c>
      <c r="B2965" s="1">
        <v>45163</v>
      </c>
      <c r="C2965" s="1">
        <v>45164</v>
      </c>
      <c r="D2965">
        <v>39</v>
      </c>
      <c r="E2965" t="s">
        <v>6</v>
      </c>
      <c r="F2965" t="s">
        <v>8</v>
      </c>
      <c r="G2965" s="1">
        <f t="shared" si="138"/>
        <v>45164</v>
      </c>
      <c r="H2965">
        <f t="shared" si="139"/>
        <v>0</v>
      </c>
      <c r="I2965">
        <f t="shared" si="140"/>
        <v>0</v>
      </c>
      <c r="J2965">
        <f>IF(Table1[[#This Row],[Active_months]]&gt;=1, 1, 0)</f>
        <v>0</v>
      </c>
    </row>
    <row r="2966" spans="1:10" x14ac:dyDescent="0.3">
      <c r="A2966">
        <v>220589305</v>
      </c>
      <c r="B2966" s="1">
        <v>45164</v>
      </c>
      <c r="D2966">
        <v>39</v>
      </c>
      <c r="E2966" t="s">
        <v>6</v>
      </c>
      <c r="F2966" t="s">
        <v>7</v>
      </c>
      <c r="G2966" s="1">
        <f t="shared" si="138"/>
        <v>45199</v>
      </c>
      <c r="H2966">
        <f t="shared" si="139"/>
        <v>1</v>
      </c>
      <c r="I2966">
        <f t="shared" si="140"/>
        <v>0</v>
      </c>
      <c r="J2966">
        <f>IF(Table1[[#This Row],[Active_months]]&gt;=1, 1, 0)</f>
        <v>1</v>
      </c>
    </row>
    <row r="2967" spans="1:10" x14ac:dyDescent="0.3">
      <c r="A2967">
        <v>220496139</v>
      </c>
      <c r="B2967" s="1">
        <v>45164</v>
      </c>
      <c r="D2967">
        <v>39</v>
      </c>
      <c r="E2967" t="s">
        <v>6</v>
      </c>
      <c r="F2967" t="s">
        <v>7</v>
      </c>
      <c r="G2967" s="1">
        <f t="shared" si="138"/>
        <v>45199</v>
      </c>
      <c r="H2967">
        <f t="shared" si="139"/>
        <v>1</v>
      </c>
      <c r="I2967">
        <f t="shared" si="140"/>
        <v>0</v>
      </c>
      <c r="J2967">
        <f>IF(Table1[[#This Row],[Active_months]]&gt;=1, 1, 0)</f>
        <v>1</v>
      </c>
    </row>
    <row r="2968" spans="1:10" x14ac:dyDescent="0.3">
      <c r="A2968">
        <v>219211334</v>
      </c>
      <c r="B2968" s="1">
        <v>45164</v>
      </c>
      <c r="D2968">
        <v>39</v>
      </c>
      <c r="E2968" t="s">
        <v>6</v>
      </c>
      <c r="F2968" t="s">
        <v>7</v>
      </c>
      <c r="G2968" s="1">
        <f t="shared" si="138"/>
        <v>45199</v>
      </c>
      <c r="H2968">
        <f t="shared" si="139"/>
        <v>1</v>
      </c>
      <c r="I2968">
        <f t="shared" si="140"/>
        <v>0</v>
      </c>
      <c r="J2968">
        <f>IF(Table1[[#This Row],[Active_months]]&gt;=1, 1, 0)</f>
        <v>1</v>
      </c>
    </row>
    <row r="2969" spans="1:10" x14ac:dyDescent="0.3">
      <c r="A2969">
        <v>220582817</v>
      </c>
      <c r="B2969" s="1">
        <v>45164</v>
      </c>
      <c r="D2969">
        <v>39</v>
      </c>
      <c r="E2969" t="s">
        <v>6</v>
      </c>
      <c r="F2969" t="s">
        <v>7</v>
      </c>
      <c r="G2969" s="1">
        <f t="shared" si="138"/>
        <v>45199</v>
      </c>
      <c r="H2969">
        <f t="shared" si="139"/>
        <v>1</v>
      </c>
      <c r="I2969">
        <f t="shared" si="140"/>
        <v>0</v>
      </c>
      <c r="J2969">
        <f>IF(Table1[[#This Row],[Active_months]]&gt;=1, 1, 0)</f>
        <v>1</v>
      </c>
    </row>
    <row r="2970" spans="1:10" x14ac:dyDescent="0.3">
      <c r="A2970">
        <v>217513777</v>
      </c>
      <c r="B2970" s="1">
        <v>45164</v>
      </c>
      <c r="C2970" s="1">
        <v>45166</v>
      </c>
      <c r="D2970">
        <v>39</v>
      </c>
      <c r="E2970" t="s">
        <v>6</v>
      </c>
      <c r="F2970" t="s">
        <v>7</v>
      </c>
      <c r="G2970" s="1">
        <f t="shared" si="138"/>
        <v>45166</v>
      </c>
      <c r="H2970">
        <f t="shared" si="139"/>
        <v>0</v>
      </c>
      <c r="I2970">
        <f t="shared" si="140"/>
        <v>0</v>
      </c>
      <c r="J2970">
        <f>IF(Table1[[#This Row],[Active_months]]&gt;=1, 1, 0)</f>
        <v>0</v>
      </c>
    </row>
    <row r="2971" spans="1:10" x14ac:dyDescent="0.3">
      <c r="A2971">
        <v>220576148</v>
      </c>
      <c r="B2971" s="1">
        <v>45164</v>
      </c>
      <c r="C2971" s="1">
        <v>45174</v>
      </c>
      <c r="D2971">
        <v>39</v>
      </c>
      <c r="E2971" t="s">
        <v>6</v>
      </c>
      <c r="F2971" t="s">
        <v>7</v>
      </c>
      <c r="G2971" s="1">
        <f t="shared" si="138"/>
        <v>45174</v>
      </c>
      <c r="H2971">
        <f t="shared" si="139"/>
        <v>1</v>
      </c>
      <c r="I2971">
        <f t="shared" si="140"/>
        <v>0</v>
      </c>
      <c r="J2971">
        <f>IF(Table1[[#This Row],[Active_months]]&gt;=1, 1, 0)</f>
        <v>1</v>
      </c>
    </row>
    <row r="2972" spans="1:10" x14ac:dyDescent="0.3">
      <c r="A2972">
        <v>219294264</v>
      </c>
      <c r="B2972" s="1">
        <v>45165</v>
      </c>
      <c r="D2972">
        <v>39</v>
      </c>
      <c r="E2972" t="s">
        <v>6</v>
      </c>
      <c r="F2972" t="s">
        <v>7</v>
      </c>
      <c r="G2972" s="1">
        <f t="shared" si="138"/>
        <v>45199</v>
      </c>
      <c r="H2972">
        <f t="shared" si="139"/>
        <v>1</v>
      </c>
      <c r="I2972">
        <f t="shared" si="140"/>
        <v>0</v>
      </c>
      <c r="J2972">
        <f>IF(Table1[[#This Row],[Active_months]]&gt;=1, 1, 0)</f>
        <v>1</v>
      </c>
    </row>
    <row r="2973" spans="1:10" x14ac:dyDescent="0.3">
      <c r="A2973">
        <v>220617197</v>
      </c>
      <c r="B2973" s="1">
        <v>45165</v>
      </c>
      <c r="D2973">
        <v>39</v>
      </c>
      <c r="E2973" t="s">
        <v>6</v>
      </c>
      <c r="F2973" t="s">
        <v>7</v>
      </c>
      <c r="G2973" s="1">
        <f t="shared" si="138"/>
        <v>45199</v>
      </c>
      <c r="H2973">
        <f t="shared" si="139"/>
        <v>1</v>
      </c>
      <c r="I2973">
        <f t="shared" si="140"/>
        <v>0</v>
      </c>
      <c r="J2973">
        <f>IF(Table1[[#This Row],[Active_months]]&gt;=1, 1, 0)</f>
        <v>1</v>
      </c>
    </row>
    <row r="2974" spans="1:10" x14ac:dyDescent="0.3">
      <c r="A2974">
        <v>220227691</v>
      </c>
      <c r="B2974" s="1">
        <v>45165</v>
      </c>
      <c r="D2974">
        <v>39</v>
      </c>
      <c r="E2974" t="s">
        <v>6</v>
      </c>
      <c r="F2974" t="s">
        <v>7</v>
      </c>
      <c r="G2974" s="1">
        <f t="shared" si="138"/>
        <v>45199</v>
      </c>
      <c r="H2974">
        <f t="shared" si="139"/>
        <v>1</v>
      </c>
      <c r="I2974">
        <f t="shared" si="140"/>
        <v>0</v>
      </c>
      <c r="J2974">
        <f>IF(Table1[[#This Row],[Active_months]]&gt;=1, 1, 0)</f>
        <v>1</v>
      </c>
    </row>
    <row r="2975" spans="1:10" x14ac:dyDescent="0.3">
      <c r="A2975">
        <v>220672607</v>
      </c>
      <c r="B2975" s="1">
        <v>45166</v>
      </c>
      <c r="D2975">
        <v>39</v>
      </c>
      <c r="E2975" t="s">
        <v>6</v>
      </c>
      <c r="F2975" t="s">
        <v>7</v>
      </c>
      <c r="G2975" s="1">
        <f t="shared" si="138"/>
        <v>45199</v>
      </c>
      <c r="H2975">
        <f t="shared" si="139"/>
        <v>1</v>
      </c>
      <c r="I2975">
        <f t="shared" si="140"/>
        <v>0</v>
      </c>
      <c r="J2975">
        <f>IF(Table1[[#This Row],[Active_months]]&gt;=1, 1, 0)</f>
        <v>1</v>
      </c>
    </row>
    <row r="2976" spans="1:10" x14ac:dyDescent="0.3">
      <c r="A2976">
        <v>218608353</v>
      </c>
      <c r="B2976" s="1">
        <v>45166</v>
      </c>
      <c r="D2976">
        <v>39</v>
      </c>
      <c r="E2976" t="s">
        <v>6</v>
      </c>
      <c r="F2976" t="s">
        <v>7</v>
      </c>
      <c r="G2976" s="1">
        <f t="shared" si="138"/>
        <v>45199</v>
      </c>
      <c r="H2976">
        <f t="shared" si="139"/>
        <v>1</v>
      </c>
      <c r="I2976">
        <f t="shared" si="140"/>
        <v>0</v>
      </c>
      <c r="J2976">
        <f>IF(Table1[[#This Row],[Active_months]]&gt;=1, 1, 0)</f>
        <v>1</v>
      </c>
    </row>
    <row r="2977" spans="1:10" x14ac:dyDescent="0.3">
      <c r="A2977">
        <v>135128238</v>
      </c>
      <c r="B2977" s="1">
        <v>45166</v>
      </c>
      <c r="D2977">
        <v>39</v>
      </c>
      <c r="E2977" t="s">
        <v>6</v>
      </c>
      <c r="F2977" t="s">
        <v>7</v>
      </c>
      <c r="G2977" s="1">
        <f t="shared" si="138"/>
        <v>45199</v>
      </c>
      <c r="H2977">
        <f t="shared" si="139"/>
        <v>1</v>
      </c>
      <c r="I2977">
        <f t="shared" si="140"/>
        <v>0</v>
      </c>
      <c r="J2977">
        <f>IF(Table1[[#This Row],[Active_months]]&gt;=1, 1, 0)</f>
        <v>1</v>
      </c>
    </row>
    <row r="2978" spans="1:10" x14ac:dyDescent="0.3">
      <c r="A2978">
        <v>220285147</v>
      </c>
      <c r="B2978" s="1">
        <v>45166</v>
      </c>
      <c r="D2978">
        <v>39</v>
      </c>
      <c r="E2978" t="s">
        <v>6</v>
      </c>
      <c r="F2978" t="s">
        <v>7</v>
      </c>
      <c r="G2978" s="1">
        <f t="shared" si="138"/>
        <v>45199</v>
      </c>
      <c r="H2978">
        <f t="shared" si="139"/>
        <v>1</v>
      </c>
      <c r="I2978">
        <f t="shared" si="140"/>
        <v>0</v>
      </c>
      <c r="J2978">
        <f>IF(Table1[[#This Row],[Active_months]]&gt;=1, 1, 0)</f>
        <v>1</v>
      </c>
    </row>
    <row r="2979" spans="1:10" x14ac:dyDescent="0.3">
      <c r="A2979">
        <v>218645057</v>
      </c>
      <c r="B2979" s="1">
        <v>45166</v>
      </c>
      <c r="D2979">
        <v>39</v>
      </c>
      <c r="E2979" t="s">
        <v>6</v>
      </c>
      <c r="F2979" t="s">
        <v>7</v>
      </c>
      <c r="G2979" s="1">
        <f t="shared" si="138"/>
        <v>45199</v>
      </c>
      <c r="H2979">
        <f t="shared" si="139"/>
        <v>1</v>
      </c>
      <c r="I2979">
        <f t="shared" si="140"/>
        <v>0</v>
      </c>
      <c r="J2979">
        <f>IF(Table1[[#This Row],[Active_months]]&gt;=1, 1, 0)</f>
        <v>1</v>
      </c>
    </row>
    <row r="2980" spans="1:10" x14ac:dyDescent="0.3">
      <c r="A2980">
        <v>128199550</v>
      </c>
      <c r="B2980" s="1">
        <v>45166</v>
      </c>
      <c r="C2980" s="1">
        <v>45169</v>
      </c>
      <c r="D2980">
        <v>39</v>
      </c>
      <c r="E2980" t="s">
        <v>6</v>
      </c>
      <c r="F2980" t="s">
        <v>7</v>
      </c>
      <c r="G2980" s="1">
        <f t="shared" si="138"/>
        <v>45169</v>
      </c>
      <c r="H2980">
        <f t="shared" si="139"/>
        <v>0</v>
      </c>
      <c r="I2980">
        <f t="shared" si="140"/>
        <v>0</v>
      </c>
      <c r="J2980">
        <f>IF(Table1[[#This Row],[Active_months]]&gt;=1, 1, 0)</f>
        <v>0</v>
      </c>
    </row>
    <row r="2981" spans="1:10" x14ac:dyDescent="0.3">
      <c r="A2981">
        <v>220747618</v>
      </c>
      <c r="B2981" s="1">
        <v>45167</v>
      </c>
      <c r="D2981">
        <v>39</v>
      </c>
      <c r="E2981" t="s">
        <v>6</v>
      </c>
      <c r="F2981" t="s">
        <v>7</v>
      </c>
      <c r="G2981" s="1">
        <f t="shared" si="138"/>
        <v>45199</v>
      </c>
      <c r="H2981">
        <f t="shared" si="139"/>
        <v>1</v>
      </c>
      <c r="I2981">
        <f t="shared" si="140"/>
        <v>0</v>
      </c>
      <c r="J2981">
        <f>IF(Table1[[#This Row],[Active_months]]&gt;=1, 1, 0)</f>
        <v>1</v>
      </c>
    </row>
    <row r="2982" spans="1:10" x14ac:dyDescent="0.3">
      <c r="A2982">
        <v>207386830</v>
      </c>
      <c r="B2982" s="1">
        <v>45167</v>
      </c>
      <c r="D2982">
        <v>39</v>
      </c>
      <c r="E2982" t="s">
        <v>6</v>
      </c>
      <c r="F2982" t="s">
        <v>7</v>
      </c>
      <c r="G2982" s="1">
        <f t="shared" si="138"/>
        <v>45199</v>
      </c>
      <c r="H2982">
        <f t="shared" si="139"/>
        <v>1</v>
      </c>
      <c r="I2982">
        <f t="shared" si="140"/>
        <v>0</v>
      </c>
      <c r="J2982">
        <f>IF(Table1[[#This Row],[Active_months]]&gt;=1, 1, 0)</f>
        <v>1</v>
      </c>
    </row>
    <row r="2983" spans="1:10" x14ac:dyDescent="0.3">
      <c r="A2983">
        <v>205109812</v>
      </c>
      <c r="B2983" s="1">
        <v>45167</v>
      </c>
      <c r="D2983">
        <v>39</v>
      </c>
      <c r="E2983" t="s">
        <v>6</v>
      </c>
      <c r="F2983" t="s">
        <v>7</v>
      </c>
      <c r="G2983" s="1">
        <f t="shared" si="138"/>
        <v>45199</v>
      </c>
      <c r="H2983">
        <f t="shared" si="139"/>
        <v>1</v>
      </c>
      <c r="I2983">
        <f t="shared" si="140"/>
        <v>0</v>
      </c>
      <c r="J2983">
        <f>IF(Table1[[#This Row],[Active_months]]&gt;=1, 1, 0)</f>
        <v>1</v>
      </c>
    </row>
    <row r="2984" spans="1:10" x14ac:dyDescent="0.3">
      <c r="A2984">
        <v>132318451</v>
      </c>
      <c r="B2984" s="1">
        <v>45167</v>
      </c>
      <c r="D2984">
        <v>39</v>
      </c>
      <c r="E2984" t="s">
        <v>6</v>
      </c>
      <c r="F2984" t="s">
        <v>7</v>
      </c>
      <c r="G2984" s="1">
        <f t="shared" si="138"/>
        <v>45199</v>
      </c>
      <c r="H2984">
        <f t="shared" si="139"/>
        <v>1</v>
      </c>
      <c r="I2984">
        <f t="shared" si="140"/>
        <v>0</v>
      </c>
      <c r="J2984">
        <f>IF(Table1[[#This Row],[Active_months]]&gt;=1, 1, 0)</f>
        <v>1</v>
      </c>
    </row>
    <row r="2985" spans="1:10" x14ac:dyDescent="0.3">
      <c r="A2985">
        <v>218596318</v>
      </c>
      <c r="B2985" s="1">
        <v>45167</v>
      </c>
      <c r="D2985">
        <v>39</v>
      </c>
      <c r="E2985" t="s">
        <v>6</v>
      </c>
      <c r="F2985" t="s">
        <v>7</v>
      </c>
      <c r="G2985" s="1">
        <f t="shared" si="138"/>
        <v>45199</v>
      </c>
      <c r="H2985">
        <f t="shared" si="139"/>
        <v>1</v>
      </c>
      <c r="I2985">
        <f t="shared" si="140"/>
        <v>0</v>
      </c>
      <c r="J2985">
        <f>IF(Table1[[#This Row],[Active_months]]&gt;=1, 1, 0)</f>
        <v>1</v>
      </c>
    </row>
    <row r="2986" spans="1:10" x14ac:dyDescent="0.3">
      <c r="A2986">
        <v>220699520</v>
      </c>
      <c r="B2986" s="1">
        <v>45167</v>
      </c>
      <c r="D2986">
        <v>39</v>
      </c>
      <c r="E2986" t="s">
        <v>6</v>
      </c>
      <c r="F2986" t="s">
        <v>7</v>
      </c>
      <c r="G2986" s="1">
        <f t="shared" si="138"/>
        <v>45199</v>
      </c>
      <c r="H2986">
        <f t="shared" si="139"/>
        <v>1</v>
      </c>
      <c r="I2986">
        <f t="shared" si="140"/>
        <v>0</v>
      </c>
      <c r="J2986">
        <f>IF(Table1[[#This Row],[Active_months]]&gt;=1, 1, 0)</f>
        <v>1</v>
      </c>
    </row>
    <row r="2987" spans="1:10" x14ac:dyDescent="0.3">
      <c r="A2987">
        <v>218307579</v>
      </c>
      <c r="B2987" s="1">
        <v>45167</v>
      </c>
      <c r="D2987">
        <v>39</v>
      </c>
      <c r="E2987" t="s">
        <v>6</v>
      </c>
      <c r="F2987" t="s">
        <v>7</v>
      </c>
      <c r="G2987" s="1">
        <f t="shared" si="138"/>
        <v>45199</v>
      </c>
      <c r="H2987">
        <f t="shared" si="139"/>
        <v>1</v>
      </c>
      <c r="I2987">
        <f t="shared" si="140"/>
        <v>0</v>
      </c>
      <c r="J2987">
        <f>IF(Table1[[#This Row],[Active_months]]&gt;=1, 1, 0)</f>
        <v>1</v>
      </c>
    </row>
    <row r="2988" spans="1:10" x14ac:dyDescent="0.3">
      <c r="A2988">
        <v>218514844</v>
      </c>
      <c r="B2988" s="1">
        <v>45168</v>
      </c>
      <c r="D2988">
        <v>39</v>
      </c>
      <c r="E2988" t="s">
        <v>6</v>
      </c>
      <c r="F2988" t="s">
        <v>7</v>
      </c>
      <c r="G2988" s="1">
        <f t="shared" si="138"/>
        <v>45199</v>
      </c>
      <c r="H2988">
        <f t="shared" si="139"/>
        <v>1</v>
      </c>
      <c r="I2988">
        <f t="shared" si="140"/>
        <v>0</v>
      </c>
      <c r="J2988">
        <f>IF(Table1[[#This Row],[Active_months]]&gt;=1, 1, 0)</f>
        <v>1</v>
      </c>
    </row>
    <row r="2989" spans="1:10" x14ac:dyDescent="0.3">
      <c r="A2989">
        <v>188622328</v>
      </c>
      <c r="B2989" s="1">
        <v>45168</v>
      </c>
      <c r="D2989">
        <v>39</v>
      </c>
      <c r="E2989" t="s">
        <v>6</v>
      </c>
      <c r="F2989" t="s">
        <v>7</v>
      </c>
      <c r="G2989" s="1">
        <f t="shared" si="138"/>
        <v>45199</v>
      </c>
      <c r="H2989">
        <f t="shared" si="139"/>
        <v>1</v>
      </c>
      <c r="I2989">
        <f t="shared" si="140"/>
        <v>0</v>
      </c>
      <c r="J2989">
        <f>IF(Table1[[#This Row],[Active_months]]&gt;=1, 1, 0)</f>
        <v>1</v>
      </c>
    </row>
    <row r="2990" spans="1:10" x14ac:dyDescent="0.3">
      <c r="A2990">
        <v>220790640</v>
      </c>
      <c r="B2990" s="1">
        <v>45168</v>
      </c>
      <c r="D2990">
        <v>39</v>
      </c>
      <c r="E2990" t="s">
        <v>6</v>
      </c>
      <c r="F2990" t="s">
        <v>7</v>
      </c>
      <c r="G2990" s="1">
        <f t="shared" si="138"/>
        <v>45199</v>
      </c>
      <c r="H2990">
        <f t="shared" si="139"/>
        <v>1</v>
      </c>
      <c r="I2990">
        <f t="shared" si="140"/>
        <v>0</v>
      </c>
      <c r="J2990">
        <f>IF(Table1[[#This Row],[Active_months]]&gt;=1, 1, 0)</f>
        <v>1</v>
      </c>
    </row>
    <row r="2991" spans="1:10" x14ac:dyDescent="0.3">
      <c r="A2991">
        <v>220675005</v>
      </c>
      <c r="B2991" s="1">
        <v>45168</v>
      </c>
      <c r="D2991">
        <v>39</v>
      </c>
      <c r="E2991" t="s">
        <v>6</v>
      </c>
      <c r="F2991" t="s">
        <v>7</v>
      </c>
      <c r="G2991" s="1">
        <f t="shared" si="138"/>
        <v>45199</v>
      </c>
      <c r="H2991">
        <f t="shared" si="139"/>
        <v>1</v>
      </c>
      <c r="I2991">
        <f t="shared" si="140"/>
        <v>0</v>
      </c>
      <c r="J2991">
        <f>IF(Table1[[#This Row],[Active_months]]&gt;=1, 1, 0)</f>
        <v>1</v>
      </c>
    </row>
    <row r="2992" spans="1:10" x14ac:dyDescent="0.3">
      <c r="A2992">
        <v>142757196</v>
      </c>
      <c r="B2992" s="1">
        <v>45168</v>
      </c>
      <c r="D2992">
        <v>39</v>
      </c>
      <c r="E2992" t="s">
        <v>6</v>
      </c>
      <c r="F2992" t="s">
        <v>7</v>
      </c>
      <c r="G2992" s="1">
        <f t="shared" si="138"/>
        <v>45199</v>
      </c>
      <c r="H2992">
        <f t="shared" si="139"/>
        <v>1</v>
      </c>
      <c r="I2992">
        <f t="shared" si="140"/>
        <v>0</v>
      </c>
      <c r="J2992">
        <f>IF(Table1[[#This Row],[Active_months]]&gt;=1, 1, 0)</f>
        <v>1</v>
      </c>
    </row>
    <row r="2993" spans="1:10" x14ac:dyDescent="0.3">
      <c r="A2993">
        <v>220411940</v>
      </c>
      <c r="B2993" s="1">
        <v>45168</v>
      </c>
      <c r="D2993">
        <v>39</v>
      </c>
      <c r="E2993" t="s">
        <v>6</v>
      </c>
      <c r="F2993" t="s">
        <v>7</v>
      </c>
      <c r="G2993" s="1">
        <f t="shared" si="138"/>
        <v>45199</v>
      </c>
      <c r="H2993">
        <f t="shared" si="139"/>
        <v>1</v>
      </c>
      <c r="I2993">
        <f t="shared" si="140"/>
        <v>0</v>
      </c>
      <c r="J2993">
        <f>IF(Table1[[#This Row],[Active_months]]&gt;=1, 1, 0)</f>
        <v>1</v>
      </c>
    </row>
    <row r="2994" spans="1:10" x14ac:dyDescent="0.3">
      <c r="A2994">
        <v>155613371</v>
      </c>
      <c r="B2994" s="1">
        <v>45168</v>
      </c>
      <c r="D2994">
        <v>39</v>
      </c>
      <c r="E2994" t="s">
        <v>6</v>
      </c>
      <c r="F2994" t="s">
        <v>7</v>
      </c>
      <c r="G2994" s="1">
        <f t="shared" si="138"/>
        <v>45199</v>
      </c>
      <c r="H2994">
        <f t="shared" si="139"/>
        <v>1</v>
      </c>
      <c r="I2994">
        <f t="shared" si="140"/>
        <v>0</v>
      </c>
      <c r="J2994">
        <f>IF(Table1[[#This Row],[Active_months]]&gt;=1, 1, 0)</f>
        <v>1</v>
      </c>
    </row>
    <row r="2995" spans="1:10" x14ac:dyDescent="0.3">
      <c r="A2995">
        <v>164548755</v>
      </c>
      <c r="B2995" s="1">
        <v>45168</v>
      </c>
      <c r="D2995">
        <v>39</v>
      </c>
      <c r="E2995" t="s">
        <v>6</v>
      </c>
      <c r="F2995" t="s">
        <v>7</v>
      </c>
      <c r="G2995" s="1">
        <f t="shared" si="138"/>
        <v>45199</v>
      </c>
      <c r="H2995">
        <f t="shared" si="139"/>
        <v>1</v>
      </c>
      <c r="I2995">
        <f t="shared" si="140"/>
        <v>0</v>
      </c>
      <c r="J2995">
        <f>IF(Table1[[#This Row],[Active_months]]&gt;=1, 1, 0)</f>
        <v>1</v>
      </c>
    </row>
    <row r="2996" spans="1:10" x14ac:dyDescent="0.3">
      <c r="A2996">
        <v>220546810</v>
      </c>
      <c r="B2996" s="1">
        <v>45168</v>
      </c>
      <c r="D2996">
        <v>39</v>
      </c>
      <c r="E2996" t="s">
        <v>6</v>
      </c>
      <c r="F2996" t="s">
        <v>7</v>
      </c>
      <c r="G2996" s="1">
        <f t="shared" si="138"/>
        <v>45199</v>
      </c>
      <c r="H2996">
        <f t="shared" si="139"/>
        <v>1</v>
      </c>
      <c r="I2996">
        <f t="shared" si="140"/>
        <v>0</v>
      </c>
      <c r="J2996">
        <f>IF(Table1[[#This Row],[Active_months]]&gt;=1, 1, 0)</f>
        <v>1</v>
      </c>
    </row>
    <row r="2997" spans="1:10" x14ac:dyDescent="0.3">
      <c r="A2997">
        <v>215202566</v>
      </c>
      <c r="B2997" s="1">
        <v>45168</v>
      </c>
      <c r="C2997" s="1">
        <v>45168</v>
      </c>
      <c r="D2997">
        <v>39</v>
      </c>
      <c r="E2997" t="s">
        <v>6</v>
      </c>
      <c r="F2997" t="s">
        <v>7</v>
      </c>
      <c r="G2997" s="1">
        <f t="shared" si="138"/>
        <v>45168</v>
      </c>
      <c r="H2997">
        <f t="shared" si="139"/>
        <v>0</v>
      </c>
      <c r="I2997">
        <f t="shared" si="140"/>
        <v>0</v>
      </c>
      <c r="J2997">
        <f>IF(Table1[[#This Row],[Active_months]]&gt;=1, 1, 0)</f>
        <v>0</v>
      </c>
    </row>
    <row r="2998" spans="1:10" x14ac:dyDescent="0.3">
      <c r="A2998">
        <v>135092264</v>
      </c>
      <c r="B2998" s="1">
        <v>45169</v>
      </c>
      <c r="D2998">
        <v>39</v>
      </c>
      <c r="E2998" t="s">
        <v>6</v>
      </c>
      <c r="F2998" t="s">
        <v>7</v>
      </c>
      <c r="G2998" s="1">
        <f t="shared" si="138"/>
        <v>45199</v>
      </c>
      <c r="H2998">
        <f t="shared" si="139"/>
        <v>1</v>
      </c>
      <c r="I2998">
        <f t="shared" si="140"/>
        <v>0</v>
      </c>
      <c r="J2998">
        <f>IF(Table1[[#This Row],[Active_months]]&gt;=1, 1, 0)</f>
        <v>1</v>
      </c>
    </row>
    <row r="2999" spans="1:10" x14ac:dyDescent="0.3">
      <c r="A2999">
        <v>220854418</v>
      </c>
      <c r="B2999" s="1">
        <v>45169</v>
      </c>
      <c r="D2999">
        <v>39</v>
      </c>
      <c r="E2999" t="s">
        <v>6</v>
      </c>
      <c r="F2999" t="s">
        <v>7</v>
      </c>
      <c r="G2999" s="1">
        <f t="shared" si="138"/>
        <v>45199</v>
      </c>
      <c r="H2999">
        <f t="shared" si="139"/>
        <v>1</v>
      </c>
      <c r="I2999">
        <f t="shared" si="140"/>
        <v>0</v>
      </c>
      <c r="J2999">
        <f>IF(Table1[[#This Row],[Active_months]]&gt;=1, 1, 0)</f>
        <v>1</v>
      </c>
    </row>
    <row r="3000" spans="1:10" x14ac:dyDescent="0.3">
      <c r="A3000">
        <v>220851140</v>
      </c>
      <c r="B3000" s="1">
        <v>45169</v>
      </c>
      <c r="D3000">
        <v>39</v>
      </c>
      <c r="E3000" t="s">
        <v>6</v>
      </c>
      <c r="F3000" t="s">
        <v>7</v>
      </c>
      <c r="G3000" s="1">
        <f t="shared" si="138"/>
        <v>45199</v>
      </c>
      <c r="H3000">
        <f t="shared" si="139"/>
        <v>1</v>
      </c>
      <c r="I3000">
        <f t="shared" si="140"/>
        <v>0</v>
      </c>
      <c r="J3000">
        <f>IF(Table1[[#This Row],[Active_months]]&gt;=1, 1, 0)</f>
        <v>1</v>
      </c>
    </row>
    <row r="3001" spans="1:10" x14ac:dyDescent="0.3">
      <c r="A3001">
        <v>220843911</v>
      </c>
      <c r="B3001" s="1">
        <v>45169</v>
      </c>
      <c r="D3001">
        <v>39</v>
      </c>
      <c r="E3001" t="s">
        <v>6</v>
      </c>
      <c r="F3001" t="s">
        <v>7</v>
      </c>
      <c r="G3001" s="1">
        <f t="shared" si="138"/>
        <v>45199</v>
      </c>
      <c r="H3001">
        <f t="shared" si="139"/>
        <v>1</v>
      </c>
      <c r="I3001">
        <f t="shared" si="140"/>
        <v>0</v>
      </c>
      <c r="J3001">
        <f>IF(Table1[[#This Row],[Active_months]]&gt;=1, 1, 0)</f>
        <v>1</v>
      </c>
    </row>
    <row r="3002" spans="1:10" x14ac:dyDescent="0.3">
      <c r="A3002">
        <v>216137022</v>
      </c>
      <c r="B3002" s="1">
        <v>45169</v>
      </c>
      <c r="D3002">
        <v>39</v>
      </c>
      <c r="E3002" t="s">
        <v>6</v>
      </c>
      <c r="F3002" t="s">
        <v>7</v>
      </c>
      <c r="G3002" s="1">
        <f t="shared" si="138"/>
        <v>45199</v>
      </c>
      <c r="H3002">
        <f t="shared" si="139"/>
        <v>1</v>
      </c>
      <c r="I3002">
        <f t="shared" si="140"/>
        <v>0</v>
      </c>
      <c r="J3002">
        <f>IF(Table1[[#This Row],[Active_months]]&gt;=1, 1, 0)</f>
        <v>1</v>
      </c>
    </row>
    <row r="3003" spans="1:10" x14ac:dyDescent="0.3">
      <c r="A3003">
        <v>161151062</v>
      </c>
      <c r="B3003" s="1">
        <v>45169</v>
      </c>
      <c r="D3003">
        <v>39</v>
      </c>
      <c r="E3003" t="s">
        <v>6</v>
      </c>
      <c r="F3003" t="s">
        <v>7</v>
      </c>
      <c r="G3003" s="1">
        <f t="shared" si="138"/>
        <v>45199</v>
      </c>
      <c r="H3003">
        <f t="shared" si="139"/>
        <v>1</v>
      </c>
      <c r="I3003">
        <f t="shared" si="140"/>
        <v>0</v>
      </c>
      <c r="J3003">
        <f>IF(Table1[[#This Row],[Active_months]]&gt;=1, 1, 0)</f>
        <v>1</v>
      </c>
    </row>
    <row r="3004" spans="1:10" x14ac:dyDescent="0.3">
      <c r="A3004">
        <v>148085880</v>
      </c>
      <c r="B3004" s="1">
        <v>45169</v>
      </c>
      <c r="D3004">
        <v>39</v>
      </c>
      <c r="E3004" t="s">
        <v>6</v>
      </c>
      <c r="F3004" t="s">
        <v>7</v>
      </c>
      <c r="G3004" s="1">
        <f t="shared" si="138"/>
        <v>45199</v>
      </c>
      <c r="H3004">
        <f t="shared" si="139"/>
        <v>1</v>
      </c>
      <c r="I3004">
        <f t="shared" si="140"/>
        <v>0</v>
      </c>
      <c r="J3004">
        <f>IF(Table1[[#This Row],[Active_months]]&gt;=1, 1, 0)</f>
        <v>1</v>
      </c>
    </row>
    <row r="3005" spans="1:10" x14ac:dyDescent="0.3">
      <c r="A3005">
        <v>182061738</v>
      </c>
      <c r="B3005" s="1">
        <v>45170</v>
      </c>
      <c r="D3005">
        <v>39</v>
      </c>
      <c r="E3005" t="s">
        <v>6</v>
      </c>
      <c r="F3005" t="s">
        <v>7</v>
      </c>
      <c r="G3005" s="1">
        <f t="shared" si="138"/>
        <v>45199</v>
      </c>
      <c r="H3005">
        <f t="shared" si="139"/>
        <v>0</v>
      </c>
      <c r="I3005">
        <f t="shared" si="140"/>
        <v>0</v>
      </c>
      <c r="J3005">
        <f>IF(Table1[[#This Row],[Active_months]]&gt;=1, 1, 0)</f>
        <v>0</v>
      </c>
    </row>
    <row r="3006" spans="1:10" x14ac:dyDescent="0.3">
      <c r="A3006">
        <v>220860582</v>
      </c>
      <c r="B3006" s="1">
        <v>45170</v>
      </c>
      <c r="D3006">
        <v>39</v>
      </c>
      <c r="E3006" t="s">
        <v>6</v>
      </c>
      <c r="F3006" t="s">
        <v>7</v>
      </c>
      <c r="G3006" s="1">
        <f t="shared" si="138"/>
        <v>45199</v>
      </c>
      <c r="H3006">
        <f t="shared" si="139"/>
        <v>0</v>
      </c>
      <c r="I3006">
        <f t="shared" si="140"/>
        <v>0</v>
      </c>
      <c r="J3006">
        <f>IF(Table1[[#This Row],[Active_months]]&gt;=1, 1, 0)</f>
        <v>0</v>
      </c>
    </row>
    <row r="3007" spans="1:10" x14ac:dyDescent="0.3">
      <c r="A3007">
        <v>218315334</v>
      </c>
      <c r="B3007" s="1">
        <v>45170</v>
      </c>
      <c r="D3007">
        <v>39</v>
      </c>
      <c r="E3007" t="s">
        <v>6</v>
      </c>
      <c r="F3007" t="s">
        <v>7</v>
      </c>
      <c r="G3007" s="1">
        <f t="shared" si="138"/>
        <v>45199</v>
      </c>
      <c r="H3007">
        <f t="shared" si="139"/>
        <v>0</v>
      </c>
      <c r="I3007">
        <f t="shared" si="140"/>
        <v>0</v>
      </c>
      <c r="J3007">
        <f>IF(Table1[[#This Row],[Active_months]]&gt;=1, 1, 0)</f>
        <v>0</v>
      </c>
    </row>
    <row r="3008" spans="1:10" x14ac:dyDescent="0.3">
      <c r="A3008">
        <v>217246008</v>
      </c>
      <c r="B3008" s="1">
        <v>45170</v>
      </c>
      <c r="D3008">
        <v>39</v>
      </c>
      <c r="E3008" t="s">
        <v>6</v>
      </c>
      <c r="F3008" t="s">
        <v>7</v>
      </c>
      <c r="G3008" s="1">
        <f t="shared" si="138"/>
        <v>45199</v>
      </c>
      <c r="H3008">
        <f t="shared" si="139"/>
        <v>0</v>
      </c>
      <c r="I3008">
        <f t="shared" si="140"/>
        <v>0</v>
      </c>
      <c r="J3008">
        <f>IF(Table1[[#This Row],[Active_months]]&gt;=1, 1, 0)</f>
        <v>0</v>
      </c>
    </row>
    <row r="3009" spans="1:10" x14ac:dyDescent="0.3">
      <c r="A3009">
        <v>220835326</v>
      </c>
      <c r="B3009" s="1">
        <v>45170</v>
      </c>
      <c r="D3009">
        <v>39</v>
      </c>
      <c r="E3009" t="s">
        <v>6</v>
      </c>
      <c r="F3009" t="s">
        <v>7</v>
      </c>
      <c r="G3009" s="1">
        <f t="shared" si="138"/>
        <v>45199</v>
      </c>
      <c r="H3009">
        <f t="shared" si="139"/>
        <v>0</v>
      </c>
      <c r="I3009">
        <f t="shared" si="140"/>
        <v>0</v>
      </c>
      <c r="J3009">
        <f>IF(Table1[[#This Row],[Active_months]]&gt;=1, 1, 0)</f>
        <v>0</v>
      </c>
    </row>
    <row r="3010" spans="1:10" x14ac:dyDescent="0.3">
      <c r="A3010">
        <v>219470485</v>
      </c>
      <c r="B3010" s="1">
        <v>45170</v>
      </c>
      <c r="D3010">
        <v>39</v>
      </c>
      <c r="E3010" t="s">
        <v>6</v>
      </c>
      <c r="F3010" t="s">
        <v>7</v>
      </c>
      <c r="G3010" s="1">
        <f t="shared" si="138"/>
        <v>45199</v>
      </c>
      <c r="H3010">
        <f t="shared" si="139"/>
        <v>0</v>
      </c>
      <c r="I3010">
        <f t="shared" si="140"/>
        <v>0</v>
      </c>
      <c r="J3010">
        <f>IF(Table1[[#This Row],[Active_months]]&gt;=1, 1, 0)</f>
        <v>0</v>
      </c>
    </row>
    <row r="3011" spans="1:10" x14ac:dyDescent="0.3">
      <c r="A3011">
        <v>182153913</v>
      </c>
      <c r="B3011" s="1">
        <v>45171</v>
      </c>
      <c r="D3011">
        <v>39</v>
      </c>
      <c r="E3011" t="s">
        <v>6</v>
      </c>
      <c r="F3011" t="s">
        <v>7</v>
      </c>
      <c r="G3011" s="1">
        <f t="shared" ref="G3011:G3070" si="141">IF(ISBLANK(C3011), DATE(2023,9,30), C3011)</f>
        <v>45199</v>
      </c>
      <c r="H3011">
        <f t="shared" ref="H3011:H3070" si="142">(YEAR(G3011)-YEAR(B3011))*12 + (MONTH(G3011)-MONTH(B3011))</f>
        <v>0</v>
      </c>
      <c r="I3011">
        <f t="shared" ref="I3011:I3070" si="143">IF(H3011 &gt;=5, 1, 0)</f>
        <v>0</v>
      </c>
      <c r="J3011">
        <f>IF(Table1[[#This Row],[Active_months]]&gt;=1, 1, 0)</f>
        <v>0</v>
      </c>
    </row>
    <row r="3012" spans="1:10" x14ac:dyDescent="0.3">
      <c r="A3012">
        <v>217223132</v>
      </c>
      <c r="B3012" s="1">
        <v>45171</v>
      </c>
      <c r="D3012">
        <v>39</v>
      </c>
      <c r="E3012" t="s">
        <v>6</v>
      </c>
      <c r="F3012" t="s">
        <v>7</v>
      </c>
      <c r="G3012" s="1">
        <f t="shared" si="141"/>
        <v>45199</v>
      </c>
      <c r="H3012">
        <f t="shared" si="142"/>
        <v>0</v>
      </c>
      <c r="I3012">
        <f t="shared" si="143"/>
        <v>0</v>
      </c>
      <c r="J3012">
        <f>IF(Table1[[#This Row],[Active_months]]&gt;=1, 1, 0)</f>
        <v>0</v>
      </c>
    </row>
    <row r="3013" spans="1:10" x14ac:dyDescent="0.3">
      <c r="A3013">
        <v>219643599</v>
      </c>
      <c r="B3013" s="1">
        <v>45171</v>
      </c>
      <c r="D3013">
        <v>39</v>
      </c>
      <c r="E3013" t="s">
        <v>6</v>
      </c>
      <c r="F3013" t="s">
        <v>7</v>
      </c>
      <c r="G3013" s="1">
        <f t="shared" si="141"/>
        <v>45199</v>
      </c>
      <c r="H3013">
        <f t="shared" si="142"/>
        <v>0</v>
      </c>
      <c r="I3013">
        <f t="shared" si="143"/>
        <v>0</v>
      </c>
      <c r="J3013">
        <f>IF(Table1[[#This Row],[Active_months]]&gt;=1, 1, 0)</f>
        <v>0</v>
      </c>
    </row>
    <row r="3014" spans="1:10" x14ac:dyDescent="0.3">
      <c r="A3014">
        <v>152851458</v>
      </c>
      <c r="B3014" s="1">
        <v>45171</v>
      </c>
      <c r="D3014">
        <v>39</v>
      </c>
      <c r="E3014" t="s">
        <v>6</v>
      </c>
      <c r="F3014" t="s">
        <v>7</v>
      </c>
      <c r="G3014" s="1">
        <f t="shared" si="141"/>
        <v>45199</v>
      </c>
      <c r="H3014">
        <f t="shared" si="142"/>
        <v>0</v>
      </c>
      <c r="I3014">
        <f t="shared" si="143"/>
        <v>0</v>
      </c>
      <c r="J3014">
        <f>IF(Table1[[#This Row],[Active_months]]&gt;=1, 1, 0)</f>
        <v>0</v>
      </c>
    </row>
    <row r="3015" spans="1:10" x14ac:dyDescent="0.3">
      <c r="A3015">
        <v>219657672</v>
      </c>
      <c r="B3015" s="1">
        <v>45171</v>
      </c>
      <c r="D3015">
        <v>39</v>
      </c>
      <c r="E3015" t="s">
        <v>6</v>
      </c>
      <c r="F3015" t="s">
        <v>7</v>
      </c>
      <c r="G3015" s="1">
        <f t="shared" si="141"/>
        <v>45199</v>
      </c>
      <c r="H3015">
        <f t="shared" si="142"/>
        <v>0</v>
      </c>
      <c r="I3015">
        <f t="shared" si="143"/>
        <v>0</v>
      </c>
      <c r="J3015">
        <f>IF(Table1[[#This Row],[Active_months]]&gt;=1, 1, 0)</f>
        <v>0</v>
      </c>
    </row>
    <row r="3016" spans="1:10" x14ac:dyDescent="0.3">
      <c r="A3016">
        <v>220973656</v>
      </c>
      <c r="B3016" s="1">
        <v>45172</v>
      </c>
      <c r="D3016">
        <v>39</v>
      </c>
      <c r="E3016" t="s">
        <v>6</v>
      </c>
      <c r="F3016" t="s">
        <v>7</v>
      </c>
      <c r="G3016" s="1">
        <f t="shared" si="141"/>
        <v>45199</v>
      </c>
      <c r="H3016">
        <f t="shared" si="142"/>
        <v>0</v>
      </c>
      <c r="I3016">
        <f t="shared" si="143"/>
        <v>0</v>
      </c>
      <c r="J3016">
        <f>IF(Table1[[#This Row],[Active_months]]&gt;=1, 1, 0)</f>
        <v>0</v>
      </c>
    </row>
    <row r="3017" spans="1:10" x14ac:dyDescent="0.3">
      <c r="A3017">
        <v>159717680</v>
      </c>
      <c r="B3017" s="1">
        <v>45172</v>
      </c>
      <c r="D3017">
        <v>39</v>
      </c>
      <c r="E3017" t="s">
        <v>6</v>
      </c>
      <c r="F3017" t="s">
        <v>7</v>
      </c>
      <c r="G3017" s="1">
        <f t="shared" si="141"/>
        <v>45199</v>
      </c>
      <c r="H3017">
        <f t="shared" si="142"/>
        <v>0</v>
      </c>
      <c r="I3017">
        <f t="shared" si="143"/>
        <v>0</v>
      </c>
      <c r="J3017">
        <f>IF(Table1[[#This Row],[Active_months]]&gt;=1, 1, 0)</f>
        <v>0</v>
      </c>
    </row>
    <row r="3018" spans="1:10" x14ac:dyDescent="0.3">
      <c r="A3018">
        <v>220420126</v>
      </c>
      <c r="B3018" s="1">
        <v>45172</v>
      </c>
      <c r="D3018">
        <v>39</v>
      </c>
      <c r="E3018" t="s">
        <v>6</v>
      </c>
      <c r="F3018" t="s">
        <v>7</v>
      </c>
      <c r="G3018" s="1">
        <f t="shared" si="141"/>
        <v>45199</v>
      </c>
      <c r="H3018">
        <f t="shared" si="142"/>
        <v>0</v>
      </c>
      <c r="I3018">
        <f t="shared" si="143"/>
        <v>0</v>
      </c>
      <c r="J3018">
        <f>IF(Table1[[#This Row],[Active_months]]&gt;=1, 1, 0)</f>
        <v>0</v>
      </c>
    </row>
    <row r="3019" spans="1:10" x14ac:dyDescent="0.3">
      <c r="A3019">
        <v>220965750</v>
      </c>
      <c r="B3019" s="1">
        <v>45172</v>
      </c>
      <c r="D3019">
        <v>39</v>
      </c>
      <c r="E3019" t="s">
        <v>6</v>
      </c>
      <c r="F3019" t="s">
        <v>7</v>
      </c>
      <c r="G3019" s="1">
        <f t="shared" si="141"/>
        <v>45199</v>
      </c>
      <c r="H3019">
        <f t="shared" si="142"/>
        <v>0</v>
      </c>
      <c r="I3019">
        <f t="shared" si="143"/>
        <v>0</v>
      </c>
      <c r="J3019">
        <f>IF(Table1[[#This Row],[Active_months]]&gt;=1, 1, 0)</f>
        <v>0</v>
      </c>
    </row>
    <row r="3020" spans="1:10" x14ac:dyDescent="0.3">
      <c r="A3020">
        <v>219065931</v>
      </c>
      <c r="B3020" s="1">
        <v>45172</v>
      </c>
      <c r="D3020">
        <v>39</v>
      </c>
      <c r="E3020" t="s">
        <v>6</v>
      </c>
      <c r="F3020" t="s">
        <v>7</v>
      </c>
      <c r="G3020" s="1">
        <f t="shared" si="141"/>
        <v>45199</v>
      </c>
      <c r="H3020">
        <f t="shared" si="142"/>
        <v>0</v>
      </c>
      <c r="I3020">
        <f t="shared" si="143"/>
        <v>0</v>
      </c>
      <c r="J3020">
        <f>IF(Table1[[#This Row],[Active_months]]&gt;=1, 1, 0)</f>
        <v>0</v>
      </c>
    </row>
    <row r="3021" spans="1:10" x14ac:dyDescent="0.3">
      <c r="A3021">
        <v>220707034</v>
      </c>
      <c r="B3021" s="1">
        <v>45172</v>
      </c>
      <c r="D3021">
        <v>39</v>
      </c>
      <c r="E3021" t="s">
        <v>6</v>
      </c>
      <c r="F3021" t="s">
        <v>7</v>
      </c>
      <c r="G3021" s="1">
        <f t="shared" si="141"/>
        <v>45199</v>
      </c>
      <c r="H3021">
        <f t="shared" si="142"/>
        <v>0</v>
      </c>
      <c r="I3021">
        <f t="shared" si="143"/>
        <v>0</v>
      </c>
      <c r="J3021">
        <f>IF(Table1[[#This Row],[Active_months]]&gt;=1, 1, 0)</f>
        <v>0</v>
      </c>
    </row>
    <row r="3022" spans="1:10" x14ac:dyDescent="0.3">
      <c r="A3022">
        <v>220875396</v>
      </c>
      <c r="B3022" s="1">
        <v>45172</v>
      </c>
      <c r="D3022">
        <v>39</v>
      </c>
      <c r="E3022" t="s">
        <v>6</v>
      </c>
      <c r="F3022" t="s">
        <v>7</v>
      </c>
      <c r="G3022" s="1">
        <f t="shared" si="141"/>
        <v>45199</v>
      </c>
      <c r="H3022">
        <f t="shared" si="142"/>
        <v>0</v>
      </c>
      <c r="I3022">
        <f t="shared" si="143"/>
        <v>0</v>
      </c>
      <c r="J3022">
        <f>IF(Table1[[#This Row],[Active_months]]&gt;=1, 1, 0)</f>
        <v>0</v>
      </c>
    </row>
    <row r="3023" spans="1:10" x14ac:dyDescent="0.3">
      <c r="A3023">
        <v>134054676</v>
      </c>
      <c r="B3023" s="1">
        <v>45172</v>
      </c>
      <c r="C3023" s="1">
        <v>45174</v>
      </c>
      <c r="D3023">
        <v>39</v>
      </c>
      <c r="E3023" t="s">
        <v>6</v>
      </c>
      <c r="F3023" t="s">
        <v>7</v>
      </c>
      <c r="G3023" s="1">
        <f t="shared" si="141"/>
        <v>45174</v>
      </c>
      <c r="H3023">
        <f t="shared" si="142"/>
        <v>0</v>
      </c>
      <c r="I3023">
        <f t="shared" si="143"/>
        <v>0</v>
      </c>
      <c r="J3023">
        <f>IF(Table1[[#This Row],[Active_months]]&gt;=1, 1, 0)</f>
        <v>0</v>
      </c>
    </row>
    <row r="3024" spans="1:10" x14ac:dyDescent="0.3">
      <c r="A3024">
        <v>183702574</v>
      </c>
      <c r="B3024" s="1">
        <v>45172</v>
      </c>
      <c r="C3024" s="1">
        <v>45172</v>
      </c>
      <c r="D3024">
        <v>39</v>
      </c>
      <c r="E3024" t="s">
        <v>6</v>
      </c>
      <c r="F3024" t="s">
        <v>7</v>
      </c>
      <c r="G3024" s="1">
        <f t="shared" si="141"/>
        <v>45172</v>
      </c>
      <c r="H3024">
        <f t="shared" si="142"/>
        <v>0</v>
      </c>
      <c r="I3024">
        <f t="shared" si="143"/>
        <v>0</v>
      </c>
      <c r="J3024">
        <f>IF(Table1[[#This Row],[Active_months]]&gt;=1, 1, 0)</f>
        <v>0</v>
      </c>
    </row>
    <row r="3025" spans="1:10" x14ac:dyDescent="0.3">
      <c r="A3025">
        <v>220997288</v>
      </c>
      <c r="B3025" s="1">
        <v>45173</v>
      </c>
      <c r="D3025">
        <v>39</v>
      </c>
      <c r="E3025" t="s">
        <v>6</v>
      </c>
      <c r="F3025" t="s">
        <v>7</v>
      </c>
      <c r="G3025" s="1">
        <f t="shared" si="141"/>
        <v>45199</v>
      </c>
      <c r="H3025">
        <f t="shared" si="142"/>
        <v>0</v>
      </c>
      <c r="I3025">
        <f t="shared" si="143"/>
        <v>0</v>
      </c>
      <c r="J3025">
        <f>IF(Table1[[#This Row],[Active_months]]&gt;=1, 1, 0)</f>
        <v>0</v>
      </c>
    </row>
    <row r="3026" spans="1:10" x14ac:dyDescent="0.3">
      <c r="A3026">
        <v>218617631</v>
      </c>
      <c r="B3026" s="1">
        <v>45173</v>
      </c>
      <c r="D3026">
        <v>39</v>
      </c>
      <c r="E3026" t="s">
        <v>6</v>
      </c>
      <c r="F3026" t="s">
        <v>7</v>
      </c>
      <c r="G3026" s="1">
        <f t="shared" si="141"/>
        <v>45199</v>
      </c>
      <c r="H3026">
        <f t="shared" si="142"/>
        <v>0</v>
      </c>
      <c r="I3026">
        <f t="shared" si="143"/>
        <v>0</v>
      </c>
      <c r="J3026">
        <f>IF(Table1[[#This Row],[Active_months]]&gt;=1, 1, 0)</f>
        <v>0</v>
      </c>
    </row>
    <row r="3027" spans="1:10" x14ac:dyDescent="0.3">
      <c r="A3027">
        <v>220952702</v>
      </c>
      <c r="B3027" s="1">
        <v>45173</v>
      </c>
      <c r="D3027">
        <v>39</v>
      </c>
      <c r="E3027" t="s">
        <v>6</v>
      </c>
      <c r="F3027" t="s">
        <v>7</v>
      </c>
      <c r="G3027" s="1">
        <f t="shared" si="141"/>
        <v>45199</v>
      </c>
      <c r="H3027">
        <f t="shared" si="142"/>
        <v>0</v>
      </c>
      <c r="I3027">
        <f t="shared" si="143"/>
        <v>0</v>
      </c>
      <c r="J3027">
        <f>IF(Table1[[#This Row],[Active_months]]&gt;=1, 1, 0)</f>
        <v>0</v>
      </c>
    </row>
    <row r="3028" spans="1:10" x14ac:dyDescent="0.3">
      <c r="A3028">
        <v>156460574</v>
      </c>
      <c r="B3028" s="1">
        <v>45173</v>
      </c>
      <c r="D3028">
        <v>39</v>
      </c>
      <c r="E3028" t="s">
        <v>6</v>
      </c>
      <c r="F3028" t="s">
        <v>7</v>
      </c>
      <c r="G3028" s="1">
        <f t="shared" si="141"/>
        <v>45199</v>
      </c>
      <c r="H3028">
        <f t="shared" si="142"/>
        <v>0</v>
      </c>
      <c r="I3028">
        <f t="shared" si="143"/>
        <v>0</v>
      </c>
      <c r="J3028">
        <f>IF(Table1[[#This Row],[Active_months]]&gt;=1, 1, 0)</f>
        <v>0</v>
      </c>
    </row>
    <row r="3029" spans="1:10" x14ac:dyDescent="0.3">
      <c r="A3029">
        <v>221012872</v>
      </c>
      <c r="B3029" s="1">
        <v>45173</v>
      </c>
      <c r="D3029">
        <v>39</v>
      </c>
      <c r="E3029" t="s">
        <v>6</v>
      </c>
      <c r="F3029" t="s">
        <v>7</v>
      </c>
      <c r="G3029" s="1">
        <f t="shared" si="141"/>
        <v>45199</v>
      </c>
      <c r="H3029">
        <f t="shared" si="142"/>
        <v>0</v>
      </c>
      <c r="I3029">
        <f t="shared" si="143"/>
        <v>0</v>
      </c>
      <c r="J3029">
        <f>IF(Table1[[#This Row],[Active_months]]&gt;=1, 1, 0)</f>
        <v>0</v>
      </c>
    </row>
    <row r="3030" spans="1:10" x14ac:dyDescent="0.3">
      <c r="A3030">
        <v>220845656</v>
      </c>
      <c r="B3030" s="1">
        <v>45173</v>
      </c>
      <c r="D3030">
        <v>39</v>
      </c>
      <c r="E3030" t="s">
        <v>6</v>
      </c>
      <c r="F3030" t="s">
        <v>7</v>
      </c>
      <c r="G3030" s="1">
        <f t="shared" si="141"/>
        <v>45199</v>
      </c>
      <c r="H3030">
        <f t="shared" si="142"/>
        <v>0</v>
      </c>
      <c r="I3030">
        <f t="shared" si="143"/>
        <v>0</v>
      </c>
      <c r="J3030">
        <f>IF(Table1[[#This Row],[Active_months]]&gt;=1, 1, 0)</f>
        <v>0</v>
      </c>
    </row>
    <row r="3031" spans="1:10" x14ac:dyDescent="0.3">
      <c r="A3031">
        <v>220989516</v>
      </c>
      <c r="B3031" s="1">
        <v>45173</v>
      </c>
      <c r="D3031">
        <v>39</v>
      </c>
      <c r="E3031" t="s">
        <v>6</v>
      </c>
      <c r="F3031" t="s">
        <v>7</v>
      </c>
      <c r="G3031" s="1">
        <f t="shared" si="141"/>
        <v>45199</v>
      </c>
      <c r="H3031">
        <f t="shared" si="142"/>
        <v>0</v>
      </c>
      <c r="I3031">
        <f t="shared" si="143"/>
        <v>0</v>
      </c>
      <c r="J3031">
        <f>IF(Table1[[#This Row],[Active_months]]&gt;=1, 1, 0)</f>
        <v>0</v>
      </c>
    </row>
    <row r="3032" spans="1:10" x14ac:dyDescent="0.3">
      <c r="A3032">
        <v>135317128</v>
      </c>
      <c r="B3032" s="1">
        <v>45173</v>
      </c>
      <c r="D3032">
        <v>39</v>
      </c>
      <c r="E3032" t="s">
        <v>6</v>
      </c>
      <c r="F3032" t="s">
        <v>7</v>
      </c>
      <c r="G3032" s="1">
        <f t="shared" si="141"/>
        <v>45199</v>
      </c>
      <c r="H3032">
        <f t="shared" si="142"/>
        <v>0</v>
      </c>
      <c r="I3032">
        <f t="shared" si="143"/>
        <v>0</v>
      </c>
      <c r="J3032">
        <f>IF(Table1[[#This Row],[Active_months]]&gt;=1, 1, 0)</f>
        <v>0</v>
      </c>
    </row>
    <row r="3033" spans="1:10" x14ac:dyDescent="0.3">
      <c r="A3033">
        <v>220984730</v>
      </c>
      <c r="B3033" s="1">
        <v>45173</v>
      </c>
      <c r="D3033">
        <v>39</v>
      </c>
      <c r="E3033" t="s">
        <v>6</v>
      </c>
      <c r="F3033" t="s">
        <v>7</v>
      </c>
      <c r="G3033" s="1">
        <f t="shared" si="141"/>
        <v>45199</v>
      </c>
      <c r="H3033">
        <f t="shared" si="142"/>
        <v>0</v>
      </c>
      <c r="I3033">
        <f t="shared" si="143"/>
        <v>0</v>
      </c>
      <c r="J3033">
        <f>IF(Table1[[#This Row],[Active_months]]&gt;=1, 1, 0)</f>
        <v>0</v>
      </c>
    </row>
    <row r="3034" spans="1:10" x14ac:dyDescent="0.3">
      <c r="A3034">
        <v>220984628</v>
      </c>
      <c r="B3034" s="1">
        <v>45173</v>
      </c>
      <c r="D3034">
        <v>39</v>
      </c>
      <c r="E3034" t="s">
        <v>6</v>
      </c>
      <c r="F3034" t="s">
        <v>7</v>
      </c>
      <c r="G3034" s="1">
        <f t="shared" si="141"/>
        <v>45199</v>
      </c>
      <c r="H3034">
        <f t="shared" si="142"/>
        <v>0</v>
      </c>
      <c r="I3034">
        <f t="shared" si="143"/>
        <v>0</v>
      </c>
      <c r="J3034">
        <f>IF(Table1[[#This Row],[Active_months]]&gt;=1, 1, 0)</f>
        <v>0</v>
      </c>
    </row>
    <row r="3035" spans="1:10" x14ac:dyDescent="0.3">
      <c r="A3035">
        <v>220989226</v>
      </c>
      <c r="B3035" s="1">
        <v>45173</v>
      </c>
      <c r="D3035">
        <v>39</v>
      </c>
      <c r="E3035" t="s">
        <v>6</v>
      </c>
      <c r="F3035" t="s">
        <v>7</v>
      </c>
      <c r="G3035" s="1">
        <f t="shared" si="141"/>
        <v>45199</v>
      </c>
      <c r="H3035">
        <f t="shared" si="142"/>
        <v>0</v>
      </c>
      <c r="I3035">
        <f t="shared" si="143"/>
        <v>0</v>
      </c>
      <c r="J3035">
        <f>IF(Table1[[#This Row],[Active_months]]&gt;=1, 1, 0)</f>
        <v>0</v>
      </c>
    </row>
    <row r="3036" spans="1:10" x14ac:dyDescent="0.3">
      <c r="A3036">
        <v>220988969</v>
      </c>
      <c r="B3036" s="1">
        <v>45173</v>
      </c>
      <c r="D3036">
        <v>39</v>
      </c>
      <c r="E3036" t="s">
        <v>6</v>
      </c>
      <c r="F3036" t="s">
        <v>7</v>
      </c>
      <c r="G3036" s="1">
        <f t="shared" si="141"/>
        <v>45199</v>
      </c>
      <c r="H3036">
        <f t="shared" si="142"/>
        <v>0</v>
      </c>
      <c r="I3036">
        <f t="shared" si="143"/>
        <v>0</v>
      </c>
      <c r="J3036">
        <f>IF(Table1[[#This Row],[Active_months]]&gt;=1, 1, 0)</f>
        <v>0</v>
      </c>
    </row>
    <row r="3037" spans="1:10" x14ac:dyDescent="0.3">
      <c r="A3037">
        <v>220988022</v>
      </c>
      <c r="B3037" s="1">
        <v>45173</v>
      </c>
      <c r="D3037">
        <v>39</v>
      </c>
      <c r="E3037" t="s">
        <v>6</v>
      </c>
      <c r="F3037" t="s">
        <v>7</v>
      </c>
      <c r="G3037" s="1">
        <f t="shared" si="141"/>
        <v>45199</v>
      </c>
      <c r="H3037">
        <f t="shared" si="142"/>
        <v>0</v>
      </c>
      <c r="I3037">
        <f t="shared" si="143"/>
        <v>0</v>
      </c>
      <c r="J3037">
        <f>IF(Table1[[#This Row],[Active_months]]&gt;=1, 1, 0)</f>
        <v>0</v>
      </c>
    </row>
    <row r="3038" spans="1:10" x14ac:dyDescent="0.3">
      <c r="A3038">
        <v>220984390</v>
      </c>
      <c r="B3038" s="1">
        <v>45173</v>
      </c>
      <c r="D3038">
        <v>39</v>
      </c>
      <c r="E3038" t="s">
        <v>6</v>
      </c>
      <c r="F3038" t="s">
        <v>7</v>
      </c>
      <c r="G3038" s="1">
        <f t="shared" si="141"/>
        <v>45199</v>
      </c>
      <c r="H3038">
        <f t="shared" si="142"/>
        <v>0</v>
      </c>
      <c r="I3038">
        <f t="shared" si="143"/>
        <v>0</v>
      </c>
      <c r="J3038">
        <f>IF(Table1[[#This Row],[Active_months]]&gt;=1, 1, 0)</f>
        <v>0</v>
      </c>
    </row>
    <row r="3039" spans="1:10" x14ac:dyDescent="0.3">
      <c r="A3039">
        <v>181480437</v>
      </c>
      <c r="B3039" s="1">
        <v>45173</v>
      </c>
      <c r="D3039">
        <v>39</v>
      </c>
      <c r="E3039" t="s">
        <v>6</v>
      </c>
      <c r="F3039" t="s">
        <v>7</v>
      </c>
      <c r="G3039" s="1">
        <f t="shared" si="141"/>
        <v>45199</v>
      </c>
      <c r="H3039">
        <f t="shared" si="142"/>
        <v>0</v>
      </c>
      <c r="I3039">
        <f t="shared" si="143"/>
        <v>0</v>
      </c>
      <c r="J3039">
        <f>IF(Table1[[#This Row],[Active_months]]&gt;=1, 1, 0)</f>
        <v>0</v>
      </c>
    </row>
    <row r="3040" spans="1:10" x14ac:dyDescent="0.3">
      <c r="A3040">
        <v>125219153</v>
      </c>
      <c r="B3040" s="1">
        <v>45174</v>
      </c>
      <c r="D3040">
        <v>39</v>
      </c>
      <c r="E3040" t="s">
        <v>6</v>
      </c>
      <c r="F3040" t="s">
        <v>7</v>
      </c>
      <c r="G3040" s="1">
        <f t="shared" si="141"/>
        <v>45199</v>
      </c>
      <c r="H3040">
        <f t="shared" si="142"/>
        <v>0</v>
      </c>
      <c r="I3040">
        <f t="shared" si="143"/>
        <v>0</v>
      </c>
      <c r="J3040">
        <f>IF(Table1[[#This Row],[Active_months]]&gt;=1, 1, 0)</f>
        <v>0</v>
      </c>
    </row>
    <row r="3041" spans="1:10" x14ac:dyDescent="0.3">
      <c r="A3041">
        <v>160833652</v>
      </c>
      <c r="B3041" s="1">
        <v>45174</v>
      </c>
      <c r="D3041">
        <v>39</v>
      </c>
      <c r="E3041" t="s">
        <v>6</v>
      </c>
      <c r="F3041" t="s">
        <v>7</v>
      </c>
      <c r="G3041" s="1">
        <f t="shared" si="141"/>
        <v>45199</v>
      </c>
      <c r="H3041">
        <f t="shared" si="142"/>
        <v>0</v>
      </c>
      <c r="I3041">
        <f t="shared" si="143"/>
        <v>0</v>
      </c>
      <c r="J3041">
        <f>IF(Table1[[#This Row],[Active_months]]&gt;=1, 1, 0)</f>
        <v>0</v>
      </c>
    </row>
    <row r="3042" spans="1:10" x14ac:dyDescent="0.3">
      <c r="A3042">
        <v>221073196</v>
      </c>
      <c r="B3042" s="1">
        <v>45174</v>
      </c>
      <c r="D3042">
        <v>39</v>
      </c>
      <c r="E3042" t="s">
        <v>6</v>
      </c>
      <c r="F3042" t="s">
        <v>7</v>
      </c>
      <c r="G3042" s="1">
        <f t="shared" si="141"/>
        <v>45199</v>
      </c>
      <c r="H3042">
        <f t="shared" si="142"/>
        <v>0</v>
      </c>
      <c r="I3042">
        <f t="shared" si="143"/>
        <v>0</v>
      </c>
      <c r="J3042">
        <f>IF(Table1[[#This Row],[Active_months]]&gt;=1, 1, 0)</f>
        <v>0</v>
      </c>
    </row>
    <row r="3043" spans="1:10" x14ac:dyDescent="0.3">
      <c r="A3043">
        <v>153733292</v>
      </c>
      <c r="B3043" s="1">
        <v>45174</v>
      </c>
      <c r="D3043">
        <v>39</v>
      </c>
      <c r="E3043" t="s">
        <v>6</v>
      </c>
      <c r="F3043" t="s">
        <v>7</v>
      </c>
      <c r="G3043" s="1">
        <f t="shared" si="141"/>
        <v>45199</v>
      </c>
      <c r="H3043">
        <f t="shared" si="142"/>
        <v>0</v>
      </c>
      <c r="I3043">
        <f t="shared" si="143"/>
        <v>0</v>
      </c>
      <c r="J3043">
        <f>IF(Table1[[#This Row],[Active_months]]&gt;=1, 1, 0)</f>
        <v>0</v>
      </c>
    </row>
    <row r="3044" spans="1:10" x14ac:dyDescent="0.3">
      <c r="A3044">
        <v>152692003</v>
      </c>
      <c r="B3044" s="1">
        <v>45174</v>
      </c>
      <c r="D3044">
        <v>39</v>
      </c>
      <c r="E3044" t="s">
        <v>6</v>
      </c>
      <c r="F3044" t="s">
        <v>7</v>
      </c>
      <c r="G3044" s="1">
        <f t="shared" si="141"/>
        <v>45199</v>
      </c>
      <c r="H3044">
        <f t="shared" si="142"/>
        <v>0</v>
      </c>
      <c r="I3044">
        <f t="shared" si="143"/>
        <v>0</v>
      </c>
      <c r="J3044">
        <f>IF(Table1[[#This Row],[Active_months]]&gt;=1, 1, 0)</f>
        <v>0</v>
      </c>
    </row>
    <row r="3045" spans="1:10" x14ac:dyDescent="0.3">
      <c r="A3045">
        <v>220528931</v>
      </c>
      <c r="B3045" s="1">
        <v>45174</v>
      </c>
      <c r="D3045">
        <v>39</v>
      </c>
      <c r="E3045" t="s">
        <v>6</v>
      </c>
      <c r="F3045" t="s">
        <v>7</v>
      </c>
      <c r="G3045" s="1">
        <f t="shared" si="141"/>
        <v>45199</v>
      </c>
      <c r="H3045">
        <f t="shared" si="142"/>
        <v>0</v>
      </c>
      <c r="I3045">
        <f t="shared" si="143"/>
        <v>0</v>
      </c>
      <c r="J3045">
        <f>IF(Table1[[#This Row],[Active_months]]&gt;=1, 1, 0)</f>
        <v>0</v>
      </c>
    </row>
    <row r="3046" spans="1:10" x14ac:dyDescent="0.3">
      <c r="A3046">
        <v>221052611</v>
      </c>
      <c r="B3046" s="1">
        <v>45174</v>
      </c>
      <c r="D3046">
        <v>39</v>
      </c>
      <c r="E3046" t="s">
        <v>6</v>
      </c>
      <c r="F3046" t="s">
        <v>7</v>
      </c>
      <c r="G3046" s="1">
        <f t="shared" si="141"/>
        <v>45199</v>
      </c>
      <c r="H3046">
        <f t="shared" si="142"/>
        <v>0</v>
      </c>
      <c r="I3046">
        <f t="shared" si="143"/>
        <v>0</v>
      </c>
      <c r="J3046">
        <f>IF(Table1[[#This Row],[Active_months]]&gt;=1, 1, 0)</f>
        <v>0</v>
      </c>
    </row>
    <row r="3047" spans="1:10" x14ac:dyDescent="0.3">
      <c r="A3047">
        <v>220665801</v>
      </c>
      <c r="B3047" s="1">
        <v>45174</v>
      </c>
      <c r="D3047">
        <v>39</v>
      </c>
      <c r="E3047" t="s">
        <v>6</v>
      </c>
      <c r="F3047" t="s">
        <v>7</v>
      </c>
      <c r="G3047" s="1">
        <f t="shared" si="141"/>
        <v>45199</v>
      </c>
      <c r="H3047">
        <f t="shared" si="142"/>
        <v>0</v>
      </c>
      <c r="I3047">
        <f t="shared" si="143"/>
        <v>0</v>
      </c>
      <c r="J3047">
        <f>IF(Table1[[#This Row],[Active_months]]&gt;=1, 1, 0)</f>
        <v>0</v>
      </c>
    </row>
    <row r="3048" spans="1:10" x14ac:dyDescent="0.3">
      <c r="A3048">
        <v>221028388</v>
      </c>
      <c r="B3048" s="1">
        <v>45174</v>
      </c>
      <c r="D3048">
        <v>39</v>
      </c>
      <c r="E3048" t="s">
        <v>6</v>
      </c>
      <c r="F3048" t="s">
        <v>7</v>
      </c>
      <c r="G3048" s="1">
        <f t="shared" si="141"/>
        <v>45199</v>
      </c>
      <c r="H3048">
        <f t="shared" si="142"/>
        <v>0</v>
      </c>
      <c r="I3048">
        <f t="shared" si="143"/>
        <v>0</v>
      </c>
      <c r="J3048">
        <f>IF(Table1[[#This Row],[Active_months]]&gt;=1, 1, 0)</f>
        <v>0</v>
      </c>
    </row>
    <row r="3049" spans="1:10" x14ac:dyDescent="0.3">
      <c r="A3049">
        <v>206284545</v>
      </c>
      <c r="B3049" s="1">
        <v>45174</v>
      </c>
      <c r="D3049">
        <v>39</v>
      </c>
      <c r="E3049" t="s">
        <v>6</v>
      </c>
      <c r="F3049" t="s">
        <v>7</v>
      </c>
      <c r="G3049" s="1">
        <f t="shared" si="141"/>
        <v>45199</v>
      </c>
      <c r="H3049">
        <f t="shared" si="142"/>
        <v>0</v>
      </c>
      <c r="I3049">
        <f t="shared" si="143"/>
        <v>0</v>
      </c>
      <c r="J3049">
        <f>IF(Table1[[#This Row],[Active_months]]&gt;=1, 1, 0)</f>
        <v>0</v>
      </c>
    </row>
    <row r="3050" spans="1:10" x14ac:dyDescent="0.3">
      <c r="A3050">
        <v>178531928</v>
      </c>
      <c r="B3050" s="1">
        <v>45174</v>
      </c>
      <c r="D3050">
        <v>39</v>
      </c>
      <c r="E3050" t="s">
        <v>6</v>
      </c>
      <c r="F3050" t="s">
        <v>7</v>
      </c>
      <c r="G3050" s="1">
        <f t="shared" si="141"/>
        <v>45199</v>
      </c>
      <c r="H3050">
        <f t="shared" si="142"/>
        <v>0</v>
      </c>
      <c r="I3050">
        <f t="shared" si="143"/>
        <v>0</v>
      </c>
      <c r="J3050">
        <f>IF(Table1[[#This Row],[Active_months]]&gt;=1, 1, 0)</f>
        <v>0</v>
      </c>
    </row>
    <row r="3051" spans="1:10" x14ac:dyDescent="0.3">
      <c r="A3051">
        <v>220994271</v>
      </c>
      <c r="B3051" s="1">
        <v>45174</v>
      </c>
      <c r="D3051">
        <v>39</v>
      </c>
      <c r="E3051" t="s">
        <v>6</v>
      </c>
      <c r="F3051" t="s">
        <v>7</v>
      </c>
      <c r="G3051" s="1">
        <f t="shared" si="141"/>
        <v>45199</v>
      </c>
      <c r="H3051">
        <f t="shared" si="142"/>
        <v>0</v>
      </c>
      <c r="I3051">
        <f t="shared" si="143"/>
        <v>0</v>
      </c>
      <c r="J3051">
        <f>IF(Table1[[#This Row],[Active_months]]&gt;=1, 1, 0)</f>
        <v>0</v>
      </c>
    </row>
    <row r="3052" spans="1:10" x14ac:dyDescent="0.3">
      <c r="A3052">
        <v>218720472</v>
      </c>
      <c r="B3052" s="1">
        <v>45174</v>
      </c>
      <c r="D3052">
        <v>39</v>
      </c>
      <c r="E3052" t="s">
        <v>6</v>
      </c>
      <c r="F3052" t="s">
        <v>7</v>
      </c>
      <c r="G3052" s="1">
        <f t="shared" si="141"/>
        <v>45199</v>
      </c>
      <c r="H3052">
        <f t="shared" si="142"/>
        <v>0</v>
      </c>
      <c r="I3052">
        <f t="shared" si="143"/>
        <v>0</v>
      </c>
      <c r="J3052">
        <f>IF(Table1[[#This Row],[Active_months]]&gt;=1, 1, 0)</f>
        <v>0</v>
      </c>
    </row>
    <row r="3053" spans="1:10" x14ac:dyDescent="0.3">
      <c r="A3053">
        <v>218900441</v>
      </c>
      <c r="B3053" s="1">
        <v>45175</v>
      </c>
      <c r="D3053">
        <v>39</v>
      </c>
      <c r="E3053" t="s">
        <v>6</v>
      </c>
      <c r="F3053" t="s">
        <v>7</v>
      </c>
      <c r="G3053" s="1">
        <f t="shared" si="141"/>
        <v>45199</v>
      </c>
      <c r="H3053">
        <f t="shared" si="142"/>
        <v>0</v>
      </c>
      <c r="I3053">
        <f t="shared" si="143"/>
        <v>0</v>
      </c>
      <c r="J3053">
        <f>IF(Table1[[#This Row],[Active_months]]&gt;=1, 1, 0)</f>
        <v>0</v>
      </c>
    </row>
    <row r="3054" spans="1:10" x14ac:dyDescent="0.3">
      <c r="A3054">
        <v>221123938</v>
      </c>
      <c r="B3054" s="1">
        <v>45175</v>
      </c>
      <c r="D3054">
        <v>39</v>
      </c>
      <c r="E3054" t="s">
        <v>6</v>
      </c>
      <c r="F3054" t="s">
        <v>7</v>
      </c>
      <c r="G3054" s="1">
        <f t="shared" si="141"/>
        <v>45199</v>
      </c>
      <c r="H3054">
        <f t="shared" si="142"/>
        <v>0</v>
      </c>
      <c r="I3054">
        <f t="shared" si="143"/>
        <v>0</v>
      </c>
      <c r="J3054">
        <f>IF(Table1[[#This Row],[Active_months]]&gt;=1, 1, 0)</f>
        <v>0</v>
      </c>
    </row>
    <row r="3055" spans="1:10" x14ac:dyDescent="0.3">
      <c r="A3055">
        <v>166750222</v>
      </c>
      <c r="B3055" s="1">
        <v>45175</v>
      </c>
      <c r="D3055">
        <v>39</v>
      </c>
      <c r="E3055" t="s">
        <v>6</v>
      </c>
      <c r="F3055" t="s">
        <v>7</v>
      </c>
      <c r="G3055" s="1">
        <f t="shared" si="141"/>
        <v>45199</v>
      </c>
      <c r="H3055">
        <f t="shared" si="142"/>
        <v>0</v>
      </c>
      <c r="I3055">
        <f t="shared" si="143"/>
        <v>0</v>
      </c>
      <c r="J3055">
        <f>IF(Table1[[#This Row],[Active_months]]&gt;=1, 1, 0)</f>
        <v>0</v>
      </c>
    </row>
    <row r="3056" spans="1:10" x14ac:dyDescent="0.3">
      <c r="A3056">
        <v>154783053</v>
      </c>
      <c r="B3056" s="1">
        <v>45175</v>
      </c>
      <c r="D3056">
        <v>39</v>
      </c>
      <c r="E3056" t="s">
        <v>6</v>
      </c>
      <c r="F3056" t="s">
        <v>7</v>
      </c>
      <c r="G3056" s="1">
        <f t="shared" si="141"/>
        <v>45199</v>
      </c>
      <c r="H3056">
        <f t="shared" si="142"/>
        <v>0</v>
      </c>
      <c r="I3056">
        <f t="shared" si="143"/>
        <v>0</v>
      </c>
      <c r="J3056">
        <f>IF(Table1[[#This Row],[Active_months]]&gt;=1, 1, 0)</f>
        <v>0</v>
      </c>
    </row>
    <row r="3057" spans="1:10" x14ac:dyDescent="0.3">
      <c r="A3057">
        <v>221100604</v>
      </c>
      <c r="B3057" s="1">
        <v>45175</v>
      </c>
      <c r="D3057">
        <v>39</v>
      </c>
      <c r="E3057" t="s">
        <v>6</v>
      </c>
      <c r="F3057" t="s">
        <v>7</v>
      </c>
      <c r="G3057" s="1">
        <f t="shared" si="141"/>
        <v>45199</v>
      </c>
      <c r="H3057">
        <f t="shared" si="142"/>
        <v>0</v>
      </c>
      <c r="I3057">
        <f t="shared" si="143"/>
        <v>0</v>
      </c>
      <c r="J3057">
        <f>IF(Table1[[#This Row],[Active_months]]&gt;=1, 1, 0)</f>
        <v>0</v>
      </c>
    </row>
    <row r="3058" spans="1:10" x14ac:dyDescent="0.3">
      <c r="A3058">
        <v>220703723</v>
      </c>
      <c r="B3058" s="1">
        <v>45175</v>
      </c>
      <c r="D3058">
        <v>39</v>
      </c>
      <c r="E3058" t="s">
        <v>6</v>
      </c>
      <c r="F3058" t="s">
        <v>7</v>
      </c>
      <c r="G3058" s="1">
        <f t="shared" si="141"/>
        <v>45199</v>
      </c>
      <c r="H3058">
        <f t="shared" si="142"/>
        <v>0</v>
      </c>
      <c r="I3058">
        <f t="shared" si="143"/>
        <v>0</v>
      </c>
      <c r="J3058">
        <f>IF(Table1[[#This Row],[Active_months]]&gt;=1, 1, 0)</f>
        <v>0</v>
      </c>
    </row>
    <row r="3059" spans="1:10" x14ac:dyDescent="0.3">
      <c r="A3059">
        <v>220815627</v>
      </c>
      <c r="B3059" s="1">
        <v>45175</v>
      </c>
      <c r="D3059">
        <v>39</v>
      </c>
      <c r="E3059" t="s">
        <v>6</v>
      </c>
      <c r="F3059" t="s">
        <v>7</v>
      </c>
      <c r="G3059" s="1">
        <f t="shared" si="141"/>
        <v>45199</v>
      </c>
      <c r="H3059">
        <f t="shared" si="142"/>
        <v>0</v>
      </c>
      <c r="I3059">
        <f t="shared" si="143"/>
        <v>0</v>
      </c>
      <c r="J3059">
        <f>IF(Table1[[#This Row],[Active_months]]&gt;=1, 1, 0)</f>
        <v>0</v>
      </c>
    </row>
    <row r="3060" spans="1:10" x14ac:dyDescent="0.3">
      <c r="A3060">
        <v>214764106</v>
      </c>
      <c r="B3060" s="1">
        <v>45175</v>
      </c>
      <c r="D3060">
        <v>39</v>
      </c>
      <c r="E3060" t="s">
        <v>6</v>
      </c>
      <c r="F3060" t="s">
        <v>7</v>
      </c>
      <c r="G3060" s="1">
        <f t="shared" si="141"/>
        <v>45199</v>
      </c>
      <c r="H3060">
        <f t="shared" si="142"/>
        <v>0</v>
      </c>
      <c r="I3060">
        <f t="shared" si="143"/>
        <v>0</v>
      </c>
      <c r="J3060">
        <f>IF(Table1[[#This Row],[Active_months]]&gt;=1, 1, 0)</f>
        <v>0</v>
      </c>
    </row>
    <row r="3061" spans="1:10" x14ac:dyDescent="0.3">
      <c r="A3061">
        <v>158763940</v>
      </c>
      <c r="B3061" s="1">
        <v>45176</v>
      </c>
      <c r="D3061">
        <v>39</v>
      </c>
      <c r="E3061" t="s">
        <v>6</v>
      </c>
      <c r="F3061" t="s">
        <v>7</v>
      </c>
      <c r="G3061" s="1">
        <f t="shared" si="141"/>
        <v>45199</v>
      </c>
      <c r="H3061">
        <f t="shared" si="142"/>
        <v>0</v>
      </c>
      <c r="I3061">
        <f t="shared" si="143"/>
        <v>0</v>
      </c>
      <c r="J3061">
        <f>IF(Table1[[#This Row],[Active_months]]&gt;=1, 1, 0)</f>
        <v>0</v>
      </c>
    </row>
    <row r="3062" spans="1:10" x14ac:dyDescent="0.3">
      <c r="A3062">
        <v>220065316</v>
      </c>
      <c r="B3062" s="1">
        <v>45176</v>
      </c>
      <c r="D3062">
        <v>39</v>
      </c>
      <c r="E3062" t="s">
        <v>6</v>
      </c>
      <c r="F3062" t="s">
        <v>7</v>
      </c>
      <c r="G3062" s="1">
        <f t="shared" si="141"/>
        <v>45199</v>
      </c>
      <c r="H3062">
        <f t="shared" si="142"/>
        <v>0</v>
      </c>
      <c r="I3062">
        <f t="shared" si="143"/>
        <v>0</v>
      </c>
      <c r="J3062">
        <f>IF(Table1[[#This Row],[Active_months]]&gt;=1, 1, 0)</f>
        <v>0</v>
      </c>
    </row>
    <row r="3063" spans="1:10" x14ac:dyDescent="0.3">
      <c r="A3063">
        <v>217662862</v>
      </c>
      <c r="B3063" s="1">
        <v>45176</v>
      </c>
      <c r="D3063">
        <v>39</v>
      </c>
      <c r="E3063" t="s">
        <v>6</v>
      </c>
      <c r="F3063" t="s">
        <v>7</v>
      </c>
      <c r="G3063" s="1">
        <f t="shared" si="141"/>
        <v>45199</v>
      </c>
      <c r="H3063">
        <f t="shared" si="142"/>
        <v>0</v>
      </c>
      <c r="I3063">
        <f t="shared" si="143"/>
        <v>0</v>
      </c>
      <c r="J3063">
        <f>IF(Table1[[#This Row],[Active_months]]&gt;=1, 1, 0)</f>
        <v>0</v>
      </c>
    </row>
    <row r="3064" spans="1:10" x14ac:dyDescent="0.3">
      <c r="A3064">
        <v>220328388</v>
      </c>
      <c r="B3064" s="1">
        <v>45176</v>
      </c>
      <c r="D3064">
        <v>39</v>
      </c>
      <c r="E3064" t="s">
        <v>6</v>
      </c>
      <c r="F3064" t="s">
        <v>7</v>
      </c>
      <c r="G3064" s="1">
        <f t="shared" si="141"/>
        <v>45199</v>
      </c>
      <c r="H3064">
        <f t="shared" si="142"/>
        <v>0</v>
      </c>
      <c r="I3064">
        <f t="shared" si="143"/>
        <v>0</v>
      </c>
      <c r="J3064">
        <f>IF(Table1[[#This Row],[Active_months]]&gt;=1, 1, 0)</f>
        <v>0</v>
      </c>
    </row>
    <row r="3065" spans="1:10" x14ac:dyDescent="0.3">
      <c r="A3065">
        <v>219521019</v>
      </c>
      <c r="B3065" s="1">
        <v>45176</v>
      </c>
      <c r="D3065">
        <v>39</v>
      </c>
      <c r="E3065" t="s">
        <v>6</v>
      </c>
      <c r="F3065" t="s">
        <v>7</v>
      </c>
      <c r="G3065" s="1">
        <f t="shared" si="141"/>
        <v>45199</v>
      </c>
      <c r="H3065">
        <f t="shared" si="142"/>
        <v>0</v>
      </c>
      <c r="I3065">
        <f t="shared" si="143"/>
        <v>0</v>
      </c>
      <c r="J3065">
        <f>IF(Table1[[#This Row],[Active_months]]&gt;=1, 1, 0)</f>
        <v>0</v>
      </c>
    </row>
    <row r="3066" spans="1:10" x14ac:dyDescent="0.3">
      <c r="A3066">
        <v>221145374</v>
      </c>
      <c r="B3066" s="1">
        <v>45176</v>
      </c>
      <c r="D3066">
        <v>39</v>
      </c>
      <c r="E3066" t="s">
        <v>6</v>
      </c>
      <c r="F3066" t="s">
        <v>7</v>
      </c>
      <c r="G3066" s="1">
        <f t="shared" si="141"/>
        <v>45199</v>
      </c>
      <c r="H3066">
        <f t="shared" si="142"/>
        <v>0</v>
      </c>
      <c r="I3066">
        <f t="shared" si="143"/>
        <v>0</v>
      </c>
      <c r="J3066">
        <f>IF(Table1[[#This Row],[Active_months]]&gt;=1, 1, 0)</f>
        <v>0</v>
      </c>
    </row>
    <row r="3067" spans="1:10" x14ac:dyDescent="0.3">
      <c r="A3067">
        <v>221130434</v>
      </c>
      <c r="B3067" s="1">
        <v>45176</v>
      </c>
      <c r="D3067">
        <v>39</v>
      </c>
      <c r="E3067" t="s">
        <v>6</v>
      </c>
      <c r="F3067" t="s">
        <v>7</v>
      </c>
      <c r="G3067" s="1">
        <f t="shared" si="141"/>
        <v>45199</v>
      </c>
      <c r="H3067">
        <f t="shared" si="142"/>
        <v>0</v>
      </c>
      <c r="I3067">
        <f t="shared" si="143"/>
        <v>0</v>
      </c>
      <c r="J3067">
        <f>IF(Table1[[#This Row],[Active_months]]&gt;=1, 1, 0)</f>
        <v>0</v>
      </c>
    </row>
    <row r="3068" spans="1:10" x14ac:dyDescent="0.3">
      <c r="A3068">
        <v>221189604</v>
      </c>
      <c r="B3068" s="1">
        <v>45177</v>
      </c>
      <c r="D3068">
        <v>39</v>
      </c>
      <c r="E3068" t="s">
        <v>6</v>
      </c>
      <c r="F3068" t="s">
        <v>7</v>
      </c>
      <c r="G3068" s="1">
        <f t="shared" si="141"/>
        <v>45199</v>
      </c>
      <c r="H3068">
        <f t="shared" si="142"/>
        <v>0</v>
      </c>
      <c r="I3068">
        <f t="shared" si="143"/>
        <v>0</v>
      </c>
      <c r="J3068">
        <f>IF(Table1[[#This Row],[Active_months]]&gt;=1, 1, 0)</f>
        <v>0</v>
      </c>
    </row>
    <row r="3069" spans="1:10" x14ac:dyDescent="0.3">
      <c r="A3069">
        <v>215174643</v>
      </c>
      <c r="B3069" s="1">
        <v>45177</v>
      </c>
      <c r="D3069">
        <v>39</v>
      </c>
      <c r="E3069" t="s">
        <v>6</v>
      </c>
      <c r="F3069" t="s">
        <v>7</v>
      </c>
      <c r="G3069" s="1">
        <f t="shared" si="141"/>
        <v>45199</v>
      </c>
      <c r="H3069">
        <f t="shared" si="142"/>
        <v>0</v>
      </c>
      <c r="I3069">
        <f t="shared" si="143"/>
        <v>0</v>
      </c>
      <c r="J3069">
        <f>IF(Table1[[#This Row],[Active_months]]&gt;=1, 1, 0)</f>
        <v>0</v>
      </c>
    </row>
    <row r="3070" spans="1:10" x14ac:dyDescent="0.3">
      <c r="A3070">
        <v>188354637</v>
      </c>
      <c r="B3070" s="1">
        <v>45177</v>
      </c>
      <c r="D3070">
        <v>39</v>
      </c>
      <c r="E3070" t="s">
        <v>6</v>
      </c>
      <c r="F3070" t="s">
        <v>7</v>
      </c>
      <c r="G3070" s="1">
        <f t="shared" si="141"/>
        <v>45199</v>
      </c>
      <c r="H3070">
        <f t="shared" si="142"/>
        <v>0</v>
      </c>
      <c r="I3070">
        <f t="shared" si="143"/>
        <v>0</v>
      </c>
      <c r="J3070">
        <f>IF(Table1[[#This Row],[Active_months]]&gt;=1, 1, 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768D-BB74-4B17-B5D4-A9FD49AEE6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Subscription Cohort Analysis Da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 Mulonikuntla</cp:lastModifiedBy>
  <dcterms:created xsi:type="dcterms:W3CDTF">2026-06-05T06:00:17Z</dcterms:created>
  <dcterms:modified xsi:type="dcterms:W3CDTF">2026-06-05T06:00:17Z</dcterms:modified>
</cp:coreProperties>
</file>